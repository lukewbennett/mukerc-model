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codeName="ThisWorkbook" defaultThemeVersion="124226"/>
  <mc:AlternateContent xmlns:mc="http://schemas.openxmlformats.org/markup-compatibility/2006">
    <mc:Choice Requires="x15">
      <x15ac:absPath xmlns:x15ac="http://schemas.microsoft.com/office/spreadsheetml/2010/11/ac" url="C:\Users\Matt\OneDrive\Summer Work 2020\Electricity Import Prices\UK Electricity Data Emporium\Code Run Folder\Input\DNO Spreadsheets\2020\"/>
    </mc:Choice>
  </mc:AlternateContent>
  <xr:revisionPtr revIDLastSave="0" documentId="11_560E20244CA1A69C1F4D53DB23219CC8EA7027CB" xr6:coauthVersionLast="45" xr6:coauthVersionMax="45" xr10:uidLastSave="{00000000-0000-0000-0000-000000000000}"/>
  <bookViews>
    <workbookView xWindow="20655" yWindow="1935" windowWidth="16080" windowHeight="11400" tabRatio="916" activeTab="1" xr2:uid="{00000000-000D-0000-FFFF-FFFF00000000}"/>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17" r:id="rId8"/>
    <sheet name="Annex 6 new or amended EHV" sheetId="8" r:id="rId9"/>
    <sheet name="Nodal prices" sheetId="7" r:id="rId10"/>
    <sheet name="SSC TPR unit rate lookup" sheetId="16" r:id="rId11"/>
    <sheet name="Charge Calculator" sheetId="15" r:id="rId12"/>
  </sheets>
  <definedNames>
    <definedName name="_xlnm._FilterDatabase" localSheetId="1" hidden="1">'Annex 1 LV and HV charges'!$A$11:$S$44</definedName>
    <definedName name="_xlnm._FilterDatabase" localSheetId="2" hidden="1">'Annex 2 EHV charges'!$A$9:$O$260</definedName>
    <definedName name="_xlnm._FilterDatabase" localSheetId="6" hidden="1">'Annex 4 LDNO charges'!$A$11:$Q$189</definedName>
    <definedName name="_xlnm._FilterDatabase" localSheetId="9" hidden="1">'Nodal prices'!$A$3:$D$758</definedName>
    <definedName name="_xlnm._FilterDatabase" localSheetId="10" hidden="1">'SSC TPR unit rate lookup'!$A$28:$D$1205</definedName>
    <definedName name="OLE_LINK1" localSheetId="5">'Annex 3 Preserved charges'!#REF!</definedName>
    <definedName name="_xlnm.Print_Area" localSheetId="1">'Annex 1 LV and HV charges'!$A$2:$K$44</definedName>
    <definedName name="_xlnm.Print_Area" localSheetId="2">'Annex 2 EHV charges'!$A$2:$O$260</definedName>
    <definedName name="_xlnm.Print_Area" localSheetId="3">'Annex 2a Import'!$A$2:$H$242</definedName>
    <definedName name="_xlnm.Print_Area" localSheetId="4">'Annex 2b Export'!$A$2:$H$146</definedName>
    <definedName name="_xlnm.Print_Area" localSheetId="5">'Annex 3 Preserved charges'!$A$2:$J$16</definedName>
    <definedName name="_xlnm.Print_Area" localSheetId="6">'Annex 4 LDNO charges'!$A$2:$J$189</definedName>
    <definedName name="_xlnm.Print_Area" localSheetId="7">'Annex 5 LLFs'!$A$2:$H$462</definedName>
    <definedName name="_xlnm.Print_Area" localSheetId="8">'Annex 6 new or amended EHV'!$A$2:$R$32</definedName>
    <definedName name="_xlnm.Print_Area" localSheetId="9">'Nodal prices'!$A$2:$D$26</definedName>
    <definedName name="_xlnm.Print_Titles" localSheetId="1">'Annex 1 LV and HV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8">'Annex 6 new or amended EHV'!$18:$19</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charges'!$A$2:$K$43</definedName>
    <definedName name="Z_5032A364_B81A_48DA_88DA_AB3B86B47EE9_.wvu.PrintArea" localSheetId="2" hidden="1">'Annex 2 EHV charges'!$A$2:$I$19</definedName>
    <definedName name="Z_5032A364_B81A_48DA_88DA_AB3B86B47EE9_.wvu.PrintArea" localSheetId="5" hidden="1">'Annex 3 Preserved charges'!$A$2:$J$14</definedName>
    <definedName name="Z_5032A364_B81A_48DA_88DA_AB3B86B47EE9_.wvu.PrintArea" localSheetId="6" hidden="1">'Annex 4 LDNO charges'!$A$2:$I$189</definedName>
    <definedName name="Z_5032A364_B81A_48DA_88DA_AB3B86B47EE9_.wvu.PrintArea" localSheetId="7" hidden="1">'Annex 5 LLFs'!$A$3:$G$71</definedName>
    <definedName name="Z_5032A364_B81A_48DA_88DA_AB3B86B47EE9_.wvu.PrintArea" localSheetId="8" hidden="1">'Annex 6 new or amended EHV'!$A$1:$P$30</definedName>
    <definedName name="Z_5032A364_B81A_48DA_88DA_AB3B86B47EE9_.wvu.PrintArea" localSheetId="9" hidden="1">'Nodal prices'!$A$2:$D$26</definedName>
    <definedName name="Z_5032A364_B81A_48DA_88DA_AB3B86B47EE9_.wvu.PrintTitles" localSheetId="1" hidden="1">'Annex 1 LV and HV charges'!$2:$11</definedName>
    <definedName name="Z_5032A364_B81A_48DA_88DA_AB3B86B47EE9_.wvu.PrintTitles" localSheetId="2" hidden="1">'Annex 2 EHV charges'!$2:$9</definedName>
    <definedName name="Z_5032A364_B81A_48DA_88DA_AB3B86B47EE9_.wvu.PrintTitles" localSheetId="6" hidden="1">'Annex 4 LDNO charges'!$2:$11</definedName>
    <definedName name="Z_5032A364_B81A_48DA_88DA_AB3B86B47EE9_.wvu.PrintTitles" localSheetId="8" hidden="1">'Annex 6 new or amended EHV'!$4:$5</definedName>
    <definedName name="Z_5032A364_B81A_48DA_88DA_AB3B86B47EE9_.wvu.PrintTitles" localSheetId="9"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 i="17" l="1"/>
  <c r="A5" i="14" a="1"/>
  <c r="A5" i="14" s="1"/>
  <c r="A5" i="13" a="1"/>
  <c r="A5" i="13" s="1"/>
  <c r="T14" i="15"/>
  <c r="S14" i="15"/>
  <c r="Q14" i="15"/>
  <c r="P14" i="15"/>
  <c r="O14" i="15"/>
  <c r="N14" i="15"/>
  <c r="M14" i="15"/>
  <c r="I14" i="15"/>
  <c r="H14" i="15"/>
  <c r="G14" i="15"/>
  <c r="F14" i="15"/>
  <c r="E14" i="15"/>
  <c r="D14" i="15"/>
  <c r="C14" i="15"/>
  <c r="R13" i="15"/>
  <c r="R14" i="15" s="1"/>
  <c r="T10" i="15"/>
  <c r="S10" i="15"/>
  <c r="R10" i="15"/>
  <c r="Q10" i="15"/>
  <c r="Q18" i="15" s="1"/>
  <c r="P10" i="15"/>
  <c r="P17" i="15" s="1"/>
  <c r="O10" i="15"/>
  <c r="N10" i="15"/>
  <c r="N17" i="15" s="1"/>
  <c r="M10" i="15"/>
  <c r="M18" i="15" s="1"/>
  <c r="T9" i="15"/>
  <c r="S9" i="15"/>
  <c r="R9" i="15"/>
  <c r="Q9" i="15"/>
  <c r="P9" i="15"/>
  <c r="O9" i="15"/>
  <c r="N9" i="15"/>
  <c r="M9" i="15"/>
  <c r="I9" i="15"/>
  <c r="H9" i="15"/>
  <c r="G9" i="15"/>
  <c r="F9" i="15"/>
  <c r="E9" i="15"/>
  <c r="D9" i="15"/>
  <c r="C9" i="15"/>
  <c r="B2" i="15"/>
  <c r="A2" i="7"/>
  <c r="A18" i="8"/>
  <c r="A4" i="8"/>
  <c r="J11" i="5"/>
  <c r="I11" i="5"/>
  <c r="H11" i="5"/>
  <c r="G11" i="5"/>
  <c r="F11" i="5"/>
  <c r="E11" i="5"/>
  <c r="D11" i="5"/>
  <c r="A2" i="5"/>
  <c r="A2" i="4"/>
  <c r="H4" i="14"/>
  <c r="G4" i="14"/>
  <c r="F4" i="14"/>
  <c r="E4" i="14"/>
  <c r="A2" i="14"/>
  <c r="H4" i="13"/>
  <c r="G4" i="13"/>
  <c r="F4" i="13"/>
  <c r="E4" i="13"/>
  <c r="A2" i="13"/>
  <c r="A2" i="12"/>
  <c r="A2" i="2"/>
  <c r="H10" i="15" s="1"/>
  <c r="B13" i="1"/>
  <c r="B11" i="1"/>
  <c r="B9" i="1"/>
  <c r="I10" i="15"/>
  <c r="I17" i="15" s="1"/>
  <c r="E10" i="15"/>
  <c r="E17" i="15" s="1"/>
  <c r="G10" i="15"/>
  <c r="G17" i="15" s="1"/>
  <c r="C10" i="15"/>
  <c r="C17" i="15" s="1"/>
  <c r="H18" i="15" l="1"/>
  <c r="H17" i="15"/>
  <c r="T18" i="15"/>
  <c r="I18" i="15"/>
  <c r="D10" i="15"/>
  <c r="R17" i="15"/>
  <c r="G18" i="15"/>
  <c r="F10" i="15"/>
  <c r="O18" i="15"/>
  <c r="S18" i="15"/>
  <c r="C18" i="15"/>
  <c r="E18" i="15"/>
  <c r="T17" i="15"/>
  <c r="D5" i="14"/>
  <c r="B5" i="14"/>
  <c r="F5" i="14"/>
  <c r="M17" i="15"/>
  <c r="R18" i="15"/>
  <c r="N22" i="15" s="1"/>
  <c r="O17" i="15"/>
  <c r="N18" i="15"/>
  <c r="P18" i="15"/>
  <c r="S17" i="15"/>
  <c r="B5" i="13"/>
  <c r="G5" i="13"/>
  <c r="D5" i="13"/>
  <c r="G5" i="14"/>
  <c r="E5" i="14"/>
  <c r="A6" i="14" a="1"/>
  <c r="A6" i="14" s="1"/>
  <c r="A7" i="14" s="1" a="1"/>
  <c r="A7" i="14" s="1"/>
  <c r="C5" i="14"/>
  <c r="H5" i="14"/>
  <c r="F5" i="13"/>
  <c r="H5" i="13"/>
  <c r="E5" i="13"/>
  <c r="A6" i="13" a="1"/>
  <c r="A6" i="13" s="1"/>
  <c r="Q17" i="15"/>
  <c r="C5" i="13"/>
  <c r="F17" i="15" l="1"/>
  <c r="F18" i="15"/>
  <c r="D18" i="15"/>
  <c r="C22" i="15" s="1"/>
  <c r="D17" i="15"/>
  <c r="C21" i="15" s="1"/>
  <c r="M22" i="15"/>
  <c r="M21" i="15"/>
  <c r="N21" i="15"/>
  <c r="E7" i="14"/>
  <c r="C7" i="14"/>
  <c r="H7" i="14"/>
  <c r="F7" i="14"/>
  <c r="G7" i="14"/>
  <c r="B7" i="14"/>
  <c r="D7" i="14"/>
  <c r="F6" i="14"/>
  <c r="D6" i="14"/>
  <c r="B6" i="14"/>
  <c r="G6" i="14"/>
  <c r="E6" i="14"/>
  <c r="H6" i="14"/>
  <c r="A8" i="14" a="1"/>
  <c r="A8" i="14" s="1"/>
  <c r="A9" i="14" s="1" a="1"/>
  <c r="A9" i="14" s="1"/>
  <c r="C6" i="14"/>
  <c r="F6" i="13"/>
  <c r="C6" i="13"/>
  <c r="H6" i="13"/>
  <c r="G6" i="13"/>
  <c r="B6" i="13"/>
  <c r="E6" i="13"/>
  <c r="D6" i="13"/>
  <c r="A7" i="13" a="1"/>
  <c r="A7" i="13" s="1"/>
  <c r="A8" i="13" s="1" a="1"/>
  <c r="A8" i="13" s="1"/>
  <c r="A10" i="14" l="1" a="1"/>
  <c r="A10" i="14" s="1"/>
  <c r="C10" i="14" s="1"/>
  <c r="A9" i="13" a="1"/>
  <c r="A9" i="13" s="1"/>
  <c r="G9" i="13" s="1"/>
  <c r="G8" i="13"/>
  <c r="F8" i="13"/>
  <c r="B8" i="13"/>
  <c r="H8" i="13"/>
  <c r="D8" i="13"/>
  <c r="E8" i="13"/>
  <c r="C8" i="13"/>
  <c r="G7" i="13"/>
  <c r="C7" i="13"/>
  <c r="H7" i="13"/>
  <c r="D7" i="13"/>
  <c r="B7" i="13"/>
  <c r="E7" i="13"/>
  <c r="F7" i="13"/>
  <c r="G8" i="14"/>
  <c r="E8" i="14"/>
  <c r="C8" i="14"/>
  <c r="H8" i="14"/>
  <c r="D8" i="14"/>
  <c r="F8" i="14"/>
  <c r="B8" i="14"/>
  <c r="C9" i="14"/>
  <c r="H9" i="14"/>
  <c r="F9" i="14"/>
  <c r="D9" i="14"/>
  <c r="G9" i="14"/>
  <c r="B9" i="14"/>
  <c r="E9" i="14"/>
  <c r="F10" i="14" l="1"/>
  <c r="E10" i="14"/>
  <c r="F9" i="13"/>
  <c r="H9" i="13"/>
  <c r="B10" i="14"/>
  <c r="C9" i="13"/>
  <c r="B9" i="13"/>
  <c r="A10" i="13" a="1"/>
  <c r="A10" i="13" s="1"/>
  <c r="A11" i="13" s="1" a="1"/>
  <c r="A11" i="13" s="1"/>
  <c r="G11" i="13" s="1"/>
  <c r="D10" i="14"/>
  <c r="E9" i="13"/>
  <c r="D9" i="13"/>
  <c r="A11" i="14" a="1"/>
  <c r="A11" i="14" s="1"/>
  <c r="D11" i="14" s="1"/>
  <c r="H10" i="14"/>
  <c r="G10" i="14"/>
  <c r="D11" i="13" l="1"/>
  <c r="H10" i="13"/>
  <c r="F11" i="13"/>
  <c r="B10" i="13"/>
  <c r="H11" i="13"/>
  <c r="D10" i="13"/>
  <c r="E11" i="13"/>
  <c r="F10" i="13"/>
  <c r="B11" i="13"/>
  <c r="C11" i="13"/>
  <c r="E10" i="13"/>
  <c r="C10" i="13"/>
  <c r="A12" i="13" a="1"/>
  <c r="A12" i="13" s="1"/>
  <c r="D12" i="13" s="1"/>
  <c r="G10" i="13"/>
  <c r="A12" i="14" a="1"/>
  <c r="A12" i="14" s="1"/>
  <c r="A13" i="14" s="1" a="1"/>
  <c r="A13" i="14" s="1"/>
  <c r="C11" i="14"/>
  <c r="G11" i="14"/>
  <c r="F11" i="14"/>
  <c r="E11" i="14"/>
  <c r="B11" i="14"/>
  <c r="H11" i="14"/>
  <c r="C12" i="13" l="1"/>
  <c r="B12" i="13"/>
  <c r="E12" i="13"/>
  <c r="H12" i="13"/>
  <c r="A13" i="13" a="1"/>
  <c r="A13" i="13" s="1"/>
  <c r="A14" i="13" s="1" a="1"/>
  <c r="A14" i="13" s="1"/>
  <c r="B14" i="13" s="1"/>
  <c r="F12" i="13"/>
  <c r="G12" i="13"/>
  <c r="C12" i="14"/>
  <c r="B12" i="14"/>
  <c r="H12" i="14"/>
  <c r="D12" i="14"/>
  <c r="E12" i="14"/>
  <c r="F12" i="14"/>
  <c r="G12" i="14"/>
  <c r="B13" i="14"/>
  <c r="C13" i="14"/>
  <c r="G13" i="14"/>
  <c r="F13" i="14"/>
  <c r="E13" i="14"/>
  <c r="D13" i="14"/>
  <c r="H13" i="14"/>
  <c r="A14" i="14" a="1"/>
  <c r="A14" i="14" s="1"/>
  <c r="C13" i="13" l="1"/>
  <c r="B13" i="13"/>
  <c r="D14" i="13"/>
  <c r="A15" i="13" a="1"/>
  <c r="A15" i="13" s="1"/>
  <c r="D15" i="13" s="1"/>
  <c r="D13" i="13"/>
  <c r="G14" i="13"/>
  <c r="H14" i="13"/>
  <c r="E13" i="13"/>
  <c r="H13" i="13"/>
  <c r="E14" i="13"/>
  <c r="F14" i="13"/>
  <c r="G13" i="13"/>
  <c r="F13" i="13"/>
  <c r="C14" i="13"/>
  <c r="F14" i="14"/>
  <c r="D14" i="14"/>
  <c r="G14" i="14"/>
  <c r="E14" i="14"/>
  <c r="B14" i="14"/>
  <c r="C14" i="14"/>
  <c r="H14" i="14"/>
  <c r="A15" i="14" a="1"/>
  <c r="A15" i="14" s="1"/>
  <c r="G15" i="13" l="1"/>
  <c r="E15" i="13"/>
  <c r="C15" i="13"/>
  <c r="F15" i="13"/>
  <c r="A16" i="13" a="1"/>
  <c r="A16" i="13" s="1"/>
  <c r="F16" i="13" s="1"/>
  <c r="H15" i="13"/>
  <c r="B15" i="13"/>
  <c r="H15" i="14"/>
  <c r="C15" i="14"/>
  <c r="F15" i="14"/>
  <c r="E15" i="14"/>
  <c r="D15" i="14"/>
  <c r="B15" i="14"/>
  <c r="G15" i="14"/>
  <c r="A16" i="14" a="1"/>
  <c r="A16" i="14" s="1"/>
  <c r="A17" i="14" s="1" a="1"/>
  <c r="A17" i="14" s="1"/>
  <c r="E16" i="13" l="1"/>
  <c r="A17" i="13" a="1"/>
  <c r="A17" i="13" s="1"/>
  <c r="B17" i="13" s="1"/>
  <c r="D16" i="13"/>
  <c r="H16" i="13"/>
  <c r="B16" i="13"/>
  <c r="C16" i="13"/>
  <c r="G16" i="13"/>
  <c r="C17" i="14"/>
  <c r="H17" i="14"/>
  <c r="B17" i="14"/>
  <c r="F17" i="14"/>
  <c r="E17" i="14"/>
  <c r="D17" i="14"/>
  <c r="G17" i="14"/>
  <c r="B16" i="14"/>
  <c r="F16" i="14"/>
  <c r="D16" i="14"/>
  <c r="C16" i="14"/>
  <c r="E16" i="14"/>
  <c r="H16" i="14"/>
  <c r="G16" i="14"/>
  <c r="A18" i="14" a="1"/>
  <c r="A18" i="14" s="1"/>
  <c r="G17" i="13" l="1"/>
  <c r="F17" i="13"/>
  <c r="C17" i="13"/>
  <c r="D17" i="13"/>
  <c r="A18" i="13" a="1"/>
  <c r="A18" i="13" s="1"/>
  <c r="C18" i="13" s="1"/>
  <c r="H17" i="13"/>
  <c r="E17" i="13"/>
  <c r="E18" i="14"/>
  <c r="H18" i="14"/>
  <c r="G18" i="14"/>
  <c r="B18" i="14"/>
  <c r="F18" i="14"/>
  <c r="C18" i="14"/>
  <c r="D18" i="14"/>
  <c r="A19" i="14" a="1"/>
  <c r="A19" i="14" s="1"/>
  <c r="A19" i="13" l="1" a="1"/>
  <c r="A19" i="13" s="1"/>
  <c r="H19" i="13" s="1"/>
  <c r="G18" i="13"/>
  <c r="E18" i="13"/>
  <c r="F18" i="13"/>
  <c r="H18" i="13"/>
  <c r="B18" i="13"/>
  <c r="D18" i="13"/>
  <c r="G19" i="14"/>
  <c r="F19" i="14"/>
  <c r="D19" i="14"/>
  <c r="H19" i="14"/>
  <c r="E19" i="14"/>
  <c r="B19" i="14"/>
  <c r="C19" i="14"/>
  <c r="A20" i="14" a="1"/>
  <c r="A20" i="14" s="1"/>
  <c r="A21" i="14" s="1" a="1"/>
  <c r="A21" i="14" s="1"/>
  <c r="E19" i="13" l="1"/>
  <c r="F19" i="13"/>
  <c r="G19" i="13"/>
  <c r="B19" i="13"/>
  <c r="C19" i="13"/>
  <c r="D19" i="13"/>
  <c r="A20" i="13" a="1"/>
  <c r="A20" i="13" s="1"/>
  <c r="B20" i="13" s="1"/>
  <c r="B21" i="14"/>
  <c r="C21" i="14"/>
  <c r="F21" i="14"/>
  <c r="G21" i="14"/>
  <c r="E21" i="14"/>
  <c r="H21" i="14"/>
  <c r="D21" i="14"/>
  <c r="A22" i="14" a="1"/>
  <c r="A22" i="14" s="1"/>
  <c r="D22" i="14" s="1"/>
  <c r="H20" i="14"/>
  <c r="G20" i="14"/>
  <c r="F20" i="14"/>
  <c r="B20" i="14"/>
  <c r="E20" i="14"/>
  <c r="C20" i="14"/>
  <c r="D20" i="14"/>
  <c r="F20" i="13" l="1"/>
  <c r="D20" i="13"/>
  <c r="E20" i="13"/>
  <c r="G20" i="13"/>
  <c r="C20" i="13"/>
  <c r="H20" i="13"/>
  <c r="A21" i="13" a="1"/>
  <c r="A21" i="13" s="1"/>
  <c r="F21" i="13" s="1"/>
  <c r="G22" i="14"/>
  <c r="F22" i="14"/>
  <c r="A23" i="14" a="1"/>
  <c r="A23" i="14" s="1"/>
  <c r="C23" i="14" s="1"/>
  <c r="H22" i="14"/>
  <c r="C22" i="14"/>
  <c r="E22" i="14"/>
  <c r="B22" i="14"/>
  <c r="D21" i="13" l="1"/>
  <c r="C21" i="13"/>
  <c r="A22" i="13" a="1"/>
  <c r="A22" i="13" s="1"/>
  <c r="B22" i="13" s="1"/>
  <c r="B21" i="13"/>
  <c r="H21" i="13"/>
  <c r="E21" i="13"/>
  <c r="G21" i="13"/>
  <c r="F23" i="14"/>
  <c r="E23" i="14"/>
  <c r="H23" i="14"/>
  <c r="D23" i="14"/>
  <c r="A24" i="14" a="1"/>
  <c r="A24" i="14" s="1"/>
  <c r="H24" i="14" s="1"/>
  <c r="G23" i="14"/>
  <c r="B23" i="14"/>
  <c r="D22" i="13" l="1"/>
  <c r="H22" i="13"/>
  <c r="G22" i="13"/>
  <c r="F22" i="13"/>
  <c r="A23" i="13" a="1"/>
  <c r="A23" i="13" s="1"/>
  <c r="F23" i="13" s="1"/>
  <c r="E22" i="13"/>
  <c r="C22" i="13"/>
  <c r="E24" i="14"/>
  <c r="F24" i="14"/>
  <c r="D24" i="14"/>
  <c r="G24" i="14"/>
  <c r="A25" i="14" a="1"/>
  <c r="A25" i="14" s="1"/>
  <c r="D25" i="14" s="1"/>
  <c r="B24" i="14"/>
  <c r="C24" i="14"/>
  <c r="E23" i="13" l="1"/>
  <c r="D23" i="13"/>
  <c r="H23" i="13"/>
  <c r="B23" i="13"/>
  <c r="C23" i="13"/>
  <c r="G23" i="13"/>
  <c r="A24" i="13" a="1"/>
  <c r="A24" i="13" s="1"/>
  <c r="C24" i="13" s="1"/>
  <c r="E25" i="14"/>
  <c r="F25" i="14"/>
  <c r="B25" i="14"/>
  <c r="H25" i="14"/>
  <c r="G25" i="14"/>
  <c r="C25" i="14"/>
  <c r="A26" i="14" a="1"/>
  <c r="A26" i="14" s="1"/>
  <c r="C26" i="14" s="1"/>
  <c r="D24" i="13" l="1"/>
  <c r="B24" i="13"/>
  <c r="G24" i="13"/>
  <c r="E24" i="13"/>
  <c r="A25" i="13" a="1"/>
  <c r="A25" i="13" s="1"/>
  <c r="F25" i="13" s="1"/>
  <c r="H24" i="13"/>
  <c r="F24" i="13"/>
  <c r="A27" i="14" a="1"/>
  <c r="A27" i="14" s="1"/>
  <c r="F27" i="14" s="1"/>
  <c r="E26" i="14"/>
  <c r="G26" i="14"/>
  <c r="B26" i="14"/>
  <c r="D26" i="14"/>
  <c r="H26" i="14"/>
  <c r="F26" i="14"/>
  <c r="D25" i="13" l="1"/>
  <c r="B25" i="13"/>
  <c r="C25" i="13"/>
  <c r="G25" i="13"/>
  <c r="H25" i="13"/>
  <c r="E25" i="13"/>
  <c r="A26" i="13" a="1"/>
  <c r="A26" i="13" s="1"/>
  <c r="H26" i="13" s="1"/>
  <c r="D27" i="14"/>
  <c r="C27" i="14"/>
  <c r="B27" i="14"/>
  <c r="E27" i="14"/>
  <c r="A28" i="14" a="1"/>
  <c r="A28" i="14" s="1"/>
  <c r="H28" i="14" s="1"/>
  <c r="H27" i="14"/>
  <c r="G27" i="14"/>
  <c r="E26" i="13" l="1"/>
  <c r="B26" i="13"/>
  <c r="D26" i="13"/>
  <c r="C26" i="13"/>
  <c r="A27" i="13" a="1"/>
  <c r="A27" i="13" s="1"/>
  <c r="H27" i="13" s="1"/>
  <c r="F26" i="13"/>
  <c r="G26" i="13"/>
  <c r="E28" i="14"/>
  <c r="C28" i="14"/>
  <c r="A29" i="14" a="1"/>
  <c r="A29" i="14" s="1"/>
  <c r="H29" i="14" s="1"/>
  <c r="D28" i="14"/>
  <c r="F28" i="14"/>
  <c r="B28" i="14"/>
  <c r="G28" i="14"/>
  <c r="D27" i="13" l="1"/>
  <c r="F27" i="13"/>
  <c r="G27" i="13"/>
  <c r="E27" i="13"/>
  <c r="A28" i="13" a="1"/>
  <c r="A28" i="13" s="1"/>
  <c r="D28" i="13" s="1"/>
  <c r="B27" i="13"/>
  <c r="C27" i="13"/>
  <c r="E29" i="14"/>
  <c r="C29" i="14"/>
  <c r="D29" i="14"/>
  <c r="F29" i="14"/>
  <c r="A30" i="14" a="1"/>
  <c r="A30" i="14" s="1"/>
  <c r="D30" i="14" s="1"/>
  <c r="B29" i="14"/>
  <c r="G29" i="14"/>
  <c r="B28" i="13" l="1"/>
  <c r="F28" i="13"/>
  <c r="A29" i="13" a="1"/>
  <c r="A29" i="13" s="1"/>
  <c r="C29" i="13" s="1"/>
  <c r="C28" i="13"/>
  <c r="H28" i="13"/>
  <c r="E28" i="13"/>
  <c r="G28" i="13"/>
  <c r="B30" i="14"/>
  <c r="H30" i="14"/>
  <c r="A31" i="14" a="1"/>
  <c r="A31" i="14" s="1"/>
  <c r="F31" i="14" s="1"/>
  <c r="G30" i="14"/>
  <c r="E30" i="14"/>
  <c r="F30" i="14"/>
  <c r="C30" i="14"/>
  <c r="H29" i="13" l="1"/>
  <c r="E29" i="13"/>
  <c r="F29" i="13"/>
  <c r="B29" i="13"/>
  <c r="A30" i="13" a="1"/>
  <c r="A30" i="13" s="1"/>
  <c r="G30" i="13" s="1"/>
  <c r="G29" i="13"/>
  <c r="D29" i="13"/>
  <c r="A32" i="14" a="1"/>
  <c r="A32" i="14" s="1"/>
  <c r="F32" i="14" s="1"/>
  <c r="B31" i="14"/>
  <c r="C31" i="14"/>
  <c r="E31" i="14"/>
  <c r="D31" i="14"/>
  <c r="H31" i="14"/>
  <c r="G31" i="14"/>
  <c r="C30" i="13" l="1"/>
  <c r="H30" i="13"/>
  <c r="E30" i="13"/>
  <c r="F30" i="13"/>
  <c r="D30" i="13"/>
  <c r="B30" i="13"/>
  <c r="A31" i="13" a="1"/>
  <c r="A31" i="13" s="1"/>
  <c r="E31" i="13" s="1"/>
  <c r="D32" i="14"/>
  <c r="G32" i="14"/>
  <c r="B32" i="14"/>
  <c r="C32" i="14"/>
  <c r="A33" i="14" a="1"/>
  <c r="A33" i="14" s="1"/>
  <c r="E33" i="14" s="1"/>
  <c r="H32" i="14"/>
  <c r="E32" i="14"/>
  <c r="C31" i="13" l="1"/>
  <c r="B31" i="13"/>
  <c r="F31" i="13"/>
  <c r="G31" i="13"/>
  <c r="A32" i="13" a="1"/>
  <c r="A32" i="13" s="1"/>
  <c r="D32" i="13" s="1"/>
  <c r="D31" i="13"/>
  <c r="H31" i="13"/>
  <c r="A34" i="14" a="1"/>
  <c r="A34" i="14" s="1"/>
  <c r="C34" i="14" s="1"/>
  <c r="G33" i="14"/>
  <c r="F33" i="14"/>
  <c r="H33" i="14"/>
  <c r="D33" i="14"/>
  <c r="C33" i="14"/>
  <c r="B33" i="14"/>
  <c r="E32" i="13" l="1"/>
  <c r="G32" i="13"/>
  <c r="F32" i="13"/>
  <c r="H32" i="13"/>
  <c r="C32" i="13"/>
  <c r="B32" i="13"/>
  <c r="A33" i="13" a="1"/>
  <c r="A33" i="13" s="1"/>
  <c r="E33" i="13" s="1"/>
  <c r="G34" i="14"/>
  <c r="B34" i="14"/>
  <c r="D34" i="14"/>
  <c r="H34" i="14"/>
  <c r="A35" i="14" a="1"/>
  <c r="A35" i="14" s="1"/>
  <c r="G35" i="14" s="1"/>
  <c r="E34" i="14"/>
  <c r="F34" i="14"/>
  <c r="B33" i="13" l="1"/>
  <c r="H33" i="13"/>
  <c r="D33" i="13"/>
  <c r="C33" i="13"/>
  <c r="A34" i="13" a="1"/>
  <c r="A34" i="13" s="1"/>
  <c r="H34" i="13" s="1"/>
  <c r="F33" i="13"/>
  <c r="G33" i="13"/>
  <c r="B35" i="14"/>
  <c r="F35" i="14"/>
  <c r="E35" i="14"/>
  <c r="H35" i="14"/>
  <c r="A36" i="14" a="1"/>
  <c r="A36" i="14" s="1"/>
  <c r="B36" i="14" s="1"/>
  <c r="C35" i="14"/>
  <c r="D35" i="14"/>
  <c r="G34" i="13" l="1"/>
  <c r="D34" i="13"/>
  <c r="C34" i="13"/>
  <c r="B34" i="13"/>
  <c r="E34" i="13"/>
  <c r="F34" i="13"/>
  <c r="A35" i="13" a="1"/>
  <c r="A35" i="13" s="1"/>
  <c r="G35" i="13" s="1"/>
  <c r="G36" i="14"/>
  <c r="H36" i="14"/>
  <c r="E36" i="14"/>
  <c r="C36" i="14"/>
  <c r="A37" i="14" a="1"/>
  <c r="A37" i="14" s="1"/>
  <c r="F37" i="14" s="1"/>
  <c r="D36" i="14"/>
  <c r="F36" i="14"/>
  <c r="F35" i="13" l="1"/>
  <c r="E35" i="13"/>
  <c r="D35" i="13"/>
  <c r="H35" i="13"/>
  <c r="A36" i="13" a="1"/>
  <c r="A36" i="13" s="1"/>
  <c r="C36" i="13" s="1"/>
  <c r="B35" i="13"/>
  <c r="C35" i="13"/>
  <c r="D37" i="14"/>
  <c r="H37" i="14"/>
  <c r="E37" i="14"/>
  <c r="C37" i="14"/>
  <c r="A38" i="14" a="1"/>
  <c r="A38" i="14" s="1"/>
  <c r="F38" i="14" s="1"/>
  <c r="B37" i="14"/>
  <c r="G37" i="14"/>
  <c r="F36" i="13" l="1"/>
  <c r="D36" i="13"/>
  <c r="H36" i="13"/>
  <c r="E36" i="13"/>
  <c r="G36" i="13"/>
  <c r="B36" i="13"/>
  <c r="A37" i="13" a="1"/>
  <c r="A37" i="13" s="1"/>
  <c r="D37" i="13" s="1"/>
  <c r="C38" i="14"/>
  <c r="D38" i="14"/>
  <c r="B38" i="14"/>
  <c r="H38" i="14"/>
  <c r="A39" i="14" a="1"/>
  <c r="A39" i="14" s="1"/>
  <c r="E39" i="14" s="1"/>
  <c r="G38" i="14"/>
  <c r="E38" i="14"/>
  <c r="H37" i="13" l="1"/>
  <c r="G37" i="13"/>
  <c r="F37" i="13"/>
  <c r="C37" i="13"/>
  <c r="A38" i="13" a="1"/>
  <c r="A38" i="13" s="1"/>
  <c r="E38" i="13" s="1"/>
  <c r="E37" i="13"/>
  <c r="B37" i="13"/>
  <c r="G39" i="14"/>
  <c r="F39" i="14"/>
  <c r="D39" i="14"/>
  <c r="H39" i="14"/>
  <c r="A40" i="14" a="1"/>
  <c r="A40" i="14" s="1"/>
  <c r="C40" i="14" s="1"/>
  <c r="B39" i="14"/>
  <c r="C39" i="14"/>
  <c r="G38" i="13" l="1"/>
  <c r="C38" i="13"/>
  <c r="H38" i="13"/>
  <c r="B38" i="13"/>
  <c r="F38" i="13"/>
  <c r="D38" i="13"/>
  <c r="A39" i="13" a="1"/>
  <c r="A39" i="13" s="1"/>
  <c r="H39" i="13" s="1"/>
  <c r="A41" i="14" a="1"/>
  <c r="A41" i="14" s="1"/>
  <c r="E41" i="14" s="1"/>
  <c r="H40" i="14"/>
  <c r="D40" i="14"/>
  <c r="F40" i="14"/>
  <c r="E40" i="14"/>
  <c r="G40" i="14"/>
  <c r="B40" i="14"/>
  <c r="D39" i="13" l="1"/>
  <c r="G39" i="13"/>
  <c r="F39" i="13"/>
  <c r="E39" i="13"/>
  <c r="A40" i="13" a="1"/>
  <c r="A40" i="13" s="1"/>
  <c r="E40" i="13" s="1"/>
  <c r="C39" i="13"/>
  <c r="B39" i="13"/>
  <c r="F41" i="14"/>
  <c r="H41" i="14"/>
  <c r="D41" i="14"/>
  <c r="C41" i="14"/>
  <c r="A42" i="14" a="1"/>
  <c r="A42" i="14" s="1"/>
  <c r="C42" i="14" s="1"/>
  <c r="G41" i="14"/>
  <c r="B41" i="14"/>
  <c r="F40" i="13" l="1"/>
  <c r="C40" i="13"/>
  <c r="G40" i="13"/>
  <c r="D40" i="13"/>
  <c r="H40" i="13"/>
  <c r="B40" i="13"/>
  <c r="A41" i="13" a="1"/>
  <c r="A41" i="13" s="1"/>
  <c r="G41" i="13" s="1"/>
  <c r="F42" i="14"/>
  <c r="B42" i="14"/>
  <c r="D42" i="14"/>
  <c r="H42" i="14"/>
  <c r="A43" i="14" a="1"/>
  <c r="A43" i="14" s="1"/>
  <c r="G43" i="14" s="1"/>
  <c r="E42" i="14"/>
  <c r="G42" i="14"/>
  <c r="H41" i="13" l="1"/>
  <c r="F41" i="13"/>
  <c r="C41" i="13"/>
  <c r="D41" i="13"/>
  <c r="B41" i="13"/>
  <c r="A42" i="13" a="1"/>
  <c r="A42" i="13" s="1"/>
  <c r="B42" i="13" s="1"/>
  <c r="E41" i="13"/>
  <c r="B43" i="14"/>
  <c r="F43" i="14"/>
  <c r="E43" i="14"/>
  <c r="H43" i="14"/>
  <c r="A44" i="14" a="1"/>
  <c r="A44" i="14" s="1"/>
  <c r="H44" i="14" s="1"/>
  <c r="C43" i="14"/>
  <c r="D43" i="14"/>
  <c r="A43" i="13" l="1" a="1"/>
  <c r="A43" i="13" s="1"/>
  <c r="B43" i="13" s="1"/>
  <c r="C42" i="13"/>
  <c r="H42" i="13"/>
  <c r="F42" i="13"/>
  <c r="D42" i="13"/>
  <c r="E42" i="13"/>
  <c r="G42" i="13"/>
  <c r="E44" i="14"/>
  <c r="C44" i="14"/>
  <c r="A45" i="14" a="1"/>
  <c r="A45" i="14" s="1"/>
  <c r="H45" i="14" s="1"/>
  <c r="D44" i="14"/>
  <c r="F44" i="14"/>
  <c r="B44" i="14"/>
  <c r="G44" i="14"/>
  <c r="H43" i="13" l="1"/>
  <c r="G43" i="13"/>
  <c r="C43" i="13"/>
  <c r="A44" i="13" a="1"/>
  <c r="A44" i="13" s="1"/>
  <c r="G44" i="13" s="1"/>
  <c r="F43" i="13"/>
  <c r="E43" i="13"/>
  <c r="D43" i="13"/>
  <c r="E45" i="14"/>
  <c r="C45" i="14"/>
  <c r="D45" i="14"/>
  <c r="F45" i="14"/>
  <c r="A46" i="14" a="1"/>
  <c r="A46" i="14" s="1"/>
  <c r="F46" i="14" s="1"/>
  <c r="B45" i="14"/>
  <c r="G45" i="14"/>
  <c r="E44" i="13" l="1"/>
  <c r="C44" i="13"/>
  <c r="H44" i="13"/>
  <c r="D44" i="13"/>
  <c r="A45" i="13" a="1"/>
  <c r="A45" i="13" s="1"/>
  <c r="B45" i="13" s="1"/>
  <c r="F44" i="13"/>
  <c r="B44" i="13"/>
  <c r="C46" i="14"/>
  <c r="D46" i="14"/>
  <c r="B46" i="14"/>
  <c r="H46" i="14"/>
  <c r="A47" i="14" a="1"/>
  <c r="A47" i="14" s="1"/>
  <c r="E47" i="14" s="1"/>
  <c r="G46" i="14"/>
  <c r="E46" i="14"/>
  <c r="F45" i="13" l="1"/>
  <c r="D45" i="13"/>
  <c r="E45" i="13"/>
  <c r="H45" i="13"/>
  <c r="G45" i="13"/>
  <c r="C45" i="13"/>
  <c r="A46" i="13" a="1"/>
  <c r="A46" i="13" s="1"/>
  <c r="C46" i="13" s="1"/>
  <c r="A48" i="14" a="1"/>
  <c r="A48" i="14" s="1"/>
  <c r="F48" i="14" s="1"/>
  <c r="B47" i="14"/>
  <c r="G47" i="14"/>
  <c r="F47" i="14"/>
  <c r="D47" i="14"/>
  <c r="H47" i="14"/>
  <c r="C47" i="14"/>
  <c r="A47" i="13" l="1" a="1"/>
  <c r="A47" i="13" s="1"/>
  <c r="D47" i="13" s="1"/>
  <c r="G46" i="13"/>
  <c r="H46" i="13"/>
  <c r="B46" i="13"/>
  <c r="F46" i="13"/>
  <c r="D46" i="13"/>
  <c r="E46" i="13"/>
  <c r="A49" i="14" a="1"/>
  <c r="A49" i="14" s="1"/>
  <c r="E49" i="14" s="1"/>
  <c r="H48" i="14"/>
  <c r="D48" i="14"/>
  <c r="G48" i="14"/>
  <c r="B48" i="14"/>
  <c r="C48" i="14"/>
  <c r="E48" i="14"/>
  <c r="G47" i="13" l="1"/>
  <c r="C47" i="13"/>
  <c r="F47" i="13"/>
  <c r="E47" i="13"/>
  <c r="H47" i="13"/>
  <c r="B47" i="13"/>
  <c r="A48" i="13" a="1"/>
  <c r="A48" i="13" s="1"/>
  <c r="G48" i="13" s="1"/>
  <c r="A50" i="14" a="1"/>
  <c r="A50" i="14" s="1"/>
  <c r="C50" i="14" s="1"/>
  <c r="G49" i="14"/>
  <c r="F49" i="14"/>
  <c r="H49" i="14"/>
  <c r="D49" i="14"/>
  <c r="C49" i="14"/>
  <c r="B49" i="14"/>
  <c r="A49" i="13" l="1" a="1"/>
  <c r="A49" i="13" s="1"/>
  <c r="D49" i="13" s="1"/>
  <c r="F48" i="13"/>
  <c r="H48" i="13"/>
  <c r="B48" i="13"/>
  <c r="D48" i="13"/>
  <c r="E48" i="13"/>
  <c r="C48" i="13"/>
  <c r="F50" i="14"/>
  <c r="B50" i="14"/>
  <c r="D50" i="14"/>
  <c r="H50" i="14"/>
  <c r="A51" i="14" a="1"/>
  <c r="A51" i="14" s="1"/>
  <c r="H51" i="14" s="1"/>
  <c r="E50" i="14"/>
  <c r="G50" i="14"/>
  <c r="G49" i="13" l="1"/>
  <c r="H49" i="13"/>
  <c r="E49" i="13"/>
  <c r="F49" i="13"/>
  <c r="C49" i="13"/>
  <c r="B49" i="13"/>
  <c r="A50" i="13" a="1"/>
  <c r="A50" i="13" s="1"/>
  <c r="G50" i="13" s="1"/>
  <c r="B51" i="14"/>
  <c r="F51" i="14"/>
  <c r="G51" i="14"/>
  <c r="E51" i="14"/>
  <c r="A52" i="14" a="1"/>
  <c r="A52" i="14" s="1"/>
  <c r="H52" i="14" s="1"/>
  <c r="C51" i="14"/>
  <c r="D51" i="14"/>
  <c r="B50" i="13" l="1"/>
  <c r="C50" i="13"/>
  <c r="H50" i="13"/>
  <c r="D50" i="13"/>
  <c r="A51" i="13" a="1"/>
  <c r="A51" i="13" s="1"/>
  <c r="F51" i="13" s="1"/>
  <c r="E50" i="13"/>
  <c r="F50" i="13"/>
  <c r="G52" i="14"/>
  <c r="F52" i="14"/>
  <c r="C52" i="14"/>
  <c r="E52" i="14"/>
  <c r="A53" i="14" a="1"/>
  <c r="A53" i="14" s="1"/>
  <c r="C53" i="14" s="1"/>
  <c r="B52" i="14"/>
  <c r="D52" i="14"/>
  <c r="B51" i="13" l="1"/>
  <c r="G51" i="13"/>
  <c r="D51" i="13"/>
  <c r="H51" i="13"/>
  <c r="E51" i="13"/>
  <c r="C51" i="13"/>
  <c r="A52" i="13" a="1"/>
  <c r="A52" i="13" s="1"/>
  <c r="H52" i="13" s="1"/>
  <c r="A54" i="14" a="1"/>
  <c r="A54" i="14" s="1"/>
  <c r="B54" i="14" s="1"/>
  <c r="G53" i="14"/>
  <c r="E53" i="14"/>
  <c r="F53" i="14"/>
  <c r="B53" i="14"/>
  <c r="H53" i="14"/>
  <c r="D53" i="14"/>
  <c r="A53" i="13" l="1" a="1"/>
  <c r="A53" i="13" s="1"/>
  <c r="C53" i="13" s="1"/>
  <c r="F52" i="13"/>
  <c r="G52" i="13"/>
  <c r="B52" i="13"/>
  <c r="E52" i="13"/>
  <c r="D52" i="13"/>
  <c r="C52" i="13"/>
  <c r="E54" i="14"/>
  <c r="H54" i="14"/>
  <c r="F54" i="14"/>
  <c r="G54" i="14"/>
  <c r="D54" i="14"/>
  <c r="C54" i="14"/>
  <c r="A55" i="14" a="1"/>
  <c r="A55" i="14" s="1"/>
  <c r="H55" i="14" s="1"/>
  <c r="A54" i="13" l="1" a="1"/>
  <c r="A54" i="13" s="1"/>
  <c r="F54" i="13" s="1"/>
  <c r="E53" i="13"/>
  <c r="D53" i="13"/>
  <c r="B53" i="13"/>
  <c r="F53" i="13"/>
  <c r="G53" i="13"/>
  <c r="H53" i="13"/>
  <c r="F55" i="14"/>
  <c r="C55" i="14"/>
  <c r="D55" i="14"/>
  <c r="G55" i="14"/>
  <c r="A56" i="14" a="1"/>
  <c r="A56" i="14" s="1"/>
  <c r="F56" i="14" s="1"/>
  <c r="B55" i="14"/>
  <c r="E55" i="14"/>
  <c r="E54" i="13" l="1"/>
  <c r="C54" i="13"/>
  <c r="H54" i="13"/>
  <c r="B54" i="13"/>
  <c r="G54" i="13"/>
  <c r="D54" i="13"/>
  <c r="A55" i="13" a="1"/>
  <c r="A55" i="13" s="1"/>
  <c r="G55" i="13" s="1"/>
  <c r="D56" i="14"/>
  <c r="G56" i="14"/>
  <c r="B56" i="14"/>
  <c r="H56" i="14"/>
  <c r="E56" i="14"/>
  <c r="C56" i="14"/>
  <c r="A57" i="14" a="1"/>
  <c r="A57" i="14" s="1"/>
  <c r="B57" i="14" s="1"/>
  <c r="B55" i="13" l="1"/>
  <c r="D55" i="13"/>
  <c r="E55" i="13"/>
  <c r="H55" i="13"/>
  <c r="A56" i="13" a="1"/>
  <c r="A56" i="13" s="1"/>
  <c r="E56" i="13" s="1"/>
  <c r="C55" i="13"/>
  <c r="F55" i="13"/>
  <c r="F57" i="14"/>
  <c r="D57" i="14"/>
  <c r="C57" i="14"/>
  <c r="G57" i="14"/>
  <c r="A58" i="14" a="1"/>
  <c r="A58" i="14" s="1"/>
  <c r="B58" i="14" s="1"/>
  <c r="E57" i="14"/>
  <c r="H57" i="14"/>
  <c r="F56" i="13" l="1"/>
  <c r="G56" i="13"/>
  <c r="H56" i="13"/>
  <c r="C56" i="13"/>
  <c r="D56" i="13"/>
  <c r="B56" i="13"/>
  <c r="A57" i="13" a="1"/>
  <c r="A57" i="13" s="1"/>
  <c r="G57" i="13" s="1"/>
  <c r="H58" i="14"/>
  <c r="D58" i="14"/>
  <c r="C58" i="14"/>
  <c r="E58" i="14"/>
  <c r="A59" i="14" a="1"/>
  <c r="A59" i="14" s="1"/>
  <c r="C59" i="14" s="1"/>
  <c r="F58" i="14"/>
  <c r="G58" i="14"/>
  <c r="A58" i="13" l="1" a="1"/>
  <c r="A58" i="13" s="1"/>
  <c r="B58" i="13" s="1"/>
  <c r="B57" i="13"/>
  <c r="H57" i="13"/>
  <c r="F57" i="13"/>
  <c r="C57" i="13"/>
  <c r="D57" i="13"/>
  <c r="E57" i="13"/>
  <c r="G59" i="14"/>
  <c r="D59" i="14"/>
  <c r="F59" i="14"/>
  <c r="H59" i="14"/>
  <c r="A60" i="14" a="1"/>
  <c r="A60" i="14" s="1"/>
  <c r="F60" i="14" s="1"/>
  <c r="B59" i="14"/>
  <c r="E59" i="14"/>
  <c r="D58" i="13" l="1"/>
  <c r="F58" i="13"/>
  <c r="E58" i="13"/>
  <c r="G58" i="13"/>
  <c r="C58" i="13"/>
  <c r="H58" i="13"/>
  <c r="A59" i="13" a="1"/>
  <c r="A59" i="13" s="1"/>
  <c r="D59" i="13" s="1"/>
  <c r="A61" i="14" a="1"/>
  <c r="A61" i="14" s="1"/>
  <c r="H61" i="14" s="1"/>
  <c r="B60" i="14"/>
  <c r="H60" i="14"/>
  <c r="E60" i="14"/>
  <c r="G60" i="14"/>
  <c r="D60" i="14"/>
  <c r="C60" i="14"/>
  <c r="G59" i="13" l="1"/>
  <c r="H59" i="13"/>
  <c r="F59" i="13"/>
  <c r="E59" i="13"/>
  <c r="A60" i="13" a="1"/>
  <c r="A60" i="13" s="1"/>
  <c r="C60" i="13" s="1"/>
  <c r="B59" i="13"/>
  <c r="C59" i="13"/>
  <c r="A62" i="14" a="1"/>
  <c r="A62" i="14" s="1"/>
  <c r="G62" i="14" s="1"/>
  <c r="F61" i="14"/>
  <c r="B61" i="14"/>
  <c r="E61" i="14"/>
  <c r="D61" i="14"/>
  <c r="C61" i="14"/>
  <c r="G61" i="14"/>
  <c r="H60" i="13" l="1"/>
  <c r="D60" i="13"/>
  <c r="F60" i="13"/>
  <c r="E60" i="13"/>
  <c r="G60" i="13"/>
  <c r="B60" i="13"/>
  <c r="A61" i="13" a="1"/>
  <c r="A61" i="13" s="1"/>
  <c r="F61" i="13" s="1"/>
  <c r="B62" i="14"/>
  <c r="D62" i="14"/>
  <c r="F62" i="14"/>
  <c r="C62" i="14"/>
  <c r="A63" i="14" a="1"/>
  <c r="A63" i="14" s="1"/>
  <c r="D63" i="14" s="1"/>
  <c r="E62" i="14"/>
  <c r="H62" i="14"/>
  <c r="A62" i="13" l="1" a="1"/>
  <c r="A62" i="13" s="1"/>
  <c r="G62" i="13" s="1"/>
  <c r="E61" i="13"/>
  <c r="H61" i="13"/>
  <c r="G61" i="13"/>
  <c r="C61" i="13"/>
  <c r="D61" i="13"/>
  <c r="B61" i="13"/>
  <c r="A64" i="14" a="1"/>
  <c r="A64" i="14" s="1"/>
  <c r="C64" i="14" s="1"/>
  <c r="F63" i="14"/>
  <c r="B63" i="14"/>
  <c r="E63" i="14"/>
  <c r="G63" i="14"/>
  <c r="H63" i="14"/>
  <c r="C63" i="14"/>
  <c r="H62" i="13" l="1"/>
  <c r="C62" i="13"/>
  <c r="E62" i="13"/>
  <c r="F62" i="13"/>
  <c r="B62" i="13"/>
  <c r="D62" i="13"/>
  <c r="A63" i="13" a="1"/>
  <c r="A63" i="13" s="1"/>
  <c r="C63" i="13" s="1"/>
  <c r="A65" i="14" a="1"/>
  <c r="A65" i="14" s="1"/>
  <c r="E65" i="14" s="1"/>
  <c r="E64" i="14"/>
  <c r="D64" i="14"/>
  <c r="F64" i="14"/>
  <c r="B64" i="14"/>
  <c r="H64" i="14"/>
  <c r="G64" i="14"/>
  <c r="B63" i="13" l="1"/>
  <c r="G63" i="13"/>
  <c r="F63" i="13"/>
  <c r="D63" i="13"/>
  <c r="A64" i="13" a="1"/>
  <c r="A64" i="13" s="1"/>
  <c r="E64" i="13" s="1"/>
  <c r="E63" i="13"/>
  <c r="H63" i="13"/>
  <c r="B65" i="14"/>
  <c r="D65" i="14"/>
  <c r="F65" i="14"/>
  <c r="C65" i="14"/>
  <c r="A66" i="14" a="1"/>
  <c r="A66" i="14" s="1"/>
  <c r="B66" i="14" s="1"/>
  <c r="G65" i="14"/>
  <c r="H65" i="14"/>
  <c r="A65" i="13" l="1" a="1"/>
  <c r="A65" i="13" s="1"/>
  <c r="E65" i="13" s="1"/>
  <c r="D64" i="13"/>
  <c r="B64" i="13"/>
  <c r="G64" i="13"/>
  <c r="C64" i="13"/>
  <c r="F64" i="13"/>
  <c r="H64" i="13"/>
  <c r="D66" i="14"/>
  <c r="H66" i="14"/>
  <c r="G66" i="14"/>
  <c r="C66" i="14"/>
  <c r="A67" i="14" a="1"/>
  <c r="A67" i="14" s="1"/>
  <c r="G67" i="14" s="1"/>
  <c r="E66" i="14"/>
  <c r="F66" i="14"/>
  <c r="H65" i="13" l="1"/>
  <c r="C65" i="13"/>
  <c r="F65" i="13"/>
  <c r="G65" i="13"/>
  <c r="D65" i="13"/>
  <c r="B65" i="13"/>
  <c r="A66" i="13" a="1"/>
  <c r="A66" i="13" s="1"/>
  <c r="G66" i="13" s="1"/>
  <c r="E67" i="14"/>
  <c r="F67" i="14"/>
  <c r="C67" i="14"/>
  <c r="H67" i="14"/>
  <c r="A68" i="14" a="1"/>
  <c r="A68" i="14" s="1"/>
  <c r="D68" i="14" s="1"/>
  <c r="B67" i="14"/>
  <c r="D67" i="14"/>
  <c r="A67" i="13" l="1" a="1"/>
  <c r="A67" i="13" s="1"/>
  <c r="C67" i="13" s="1"/>
  <c r="E66" i="13"/>
  <c r="H66" i="13"/>
  <c r="F66" i="13"/>
  <c r="D66" i="13"/>
  <c r="C66" i="13"/>
  <c r="B66" i="13"/>
  <c r="B68" i="14"/>
  <c r="F68" i="14"/>
  <c r="C68" i="14"/>
  <c r="H68" i="14"/>
  <c r="A69" i="14" a="1"/>
  <c r="A69" i="14" s="1"/>
  <c r="H69" i="14" s="1"/>
  <c r="G68" i="14"/>
  <c r="E68" i="14"/>
  <c r="H67" i="13" l="1"/>
  <c r="F67" i="13"/>
  <c r="B67" i="13"/>
  <c r="G67" i="13"/>
  <c r="E67" i="13"/>
  <c r="D67" i="13"/>
  <c r="A68" i="13" a="1"/>
  <c r="A68" i="13" s="1"/>
  <c r="B68" i="13" s="1"/>
  <c r="A70" i="14" a="1"/>
  <c r="A70" i="14" s="1"/>
  <c r="G70" i="14" s="1"/>
  <c r="B69" i="14"/>
  <c r="E69" i="14"/>
  <c r="F69" i="14"/>
  <c r="D69" i="14"/>
  <c r="C69" i="14"/>
  <c r="G69" i="14"/>
  <c r="F68" i="13" l="1"/>
  <c r="E68" i="13"/>
  <c r="H68" i="13"/>
  <c r="D68" i="13"/>
  <c r="A69" i="13" a="1"/>
  <c r="A69" i="13" s="1"/>
  <c r="H69" i="13" s="1"/>
  <c r="G68" i="13"/>
  <c r="C68" i="13"/>
  <c r="B70" i="14"/>
  <c r="H70" i="14"/>
  <c r="F70" i="14"/>
  <c r="C70" i="14"/>
  <c r="A71" i="14" a="1"/>
  <c r="A71" i="14" s="1"/>
  <c r="D71" i="14" s="1"/>
  <c r="D70" i="14"/>
  <c r="E70" i="14"/>
  <c r="D69" i="13" l="1"/>
  <c r="F69" i="13"/>
  <c r="E69" i="13"/>
  <c r="G69" i="13"/>
  <c r="C69" i="13"/>
  <c r="B69" i="13"/>
  <c r="A70" i="13" a="1"/>
  <c r="A70" i="13" s="1"/>
  <c r="D70" i="13" s="1"/>
  <c r="A72" i="14" a="1"/>
  <c r="A72" i="14" s="1"/>
  <c r="C72" i="14" s="1"/>
  <c r="F71" i="14"/>
  <c r="C71" i="14"/>
  <c r="E71" i="14"/>
  <c r="G71" i="14"/>
  <c r="H71" i="14"/>
  <c r="B71" i="14"/>
  <c r="A71" i="13" l="1" a="1"/>
  <c r="A71" i="13" s="1"/>
  <c r="G71" i="13" s="1"/>
  <c r="F70" i="13"/>
  <c r="G70" i="13"/>
  <c r="E70" i="13"/>
  <c r="B70" i="13"/>
  <c r="C70" i="13"/>
  <c r="H70" i="13"/>
  <c r="D72" i="14"/>
  <c r="F72" i="14"/>
  <c r="B72" i="14"/>
  <c r="H72" i="14"/>
  <c r="A73" i="14" a="1"/>
  <c r="A73" i="14" s="1"/>
  <c r="E73" i="14" s="1"/>
  <c r="E72" i="14"/>
  <c r="G72" i="14"/>
  <c r="C71" i="13" l="1"/>
  <c r="B71" i="13"/>
  <c r="E71" i="13"/>
  <c r="H71" i="13"/>
  <c r="F71" i="13"/>
  <c r="D71" i="13"/>
  <c r="A72" i="13" a="1"/>
  <c r="A72" i="13" s="1"/>
  <c r="E72" i="13" s="1"/>
  <c r="H73" i="14"/>
  <c r="D73" i="14"/>
  <c r="F73" i="14"/>
  <c r="C73" i="14"/>
  <c r="A74" i="14" a="1"/>
  <c r="A74" i="14" s="1"/>
  <c r="B74" i="14" s="1"/>
  <c r="G73" i="14"/>
  <c r="B73" i="14"/>
  <c r="A73" i="13" l="1" a="1"/>
  <c r="A73" i="13" s="1"/>
  <c r="E73" i="13" s="1"/>
  <c r="C72" i="13"/>
  <c r="B72" i="13"/>
  <c r="H72" i="13"/>
  <c r="G72" i="13"/>
  <c r="D72" i="13"/>
  <c r="F72" i="13"/>
  <c r="D74" i="14"/>
  <c r="H74" i="14"/>
  <c r="G74" i="14"/>
  <c r="C74" i="14"/>
  <c r="A75" i="14" a="1"/>
  <c r="A75" i="14" s="1"/>
  <c r="G75" i="14" s="1"/>
  <c r="E74" i="14"/>
  <c r="F74" i="14"/>
  <c r="H73" i="13" l="1"/>
  <c r="C73" i="13"/>
  <c r="F73" i="13"/>
  <c r="G73" i="13"/>
  <c r="D73" i="13"/>
  <c r="B73" i="13"/>
  <c r="A74" i="13" a="1"/>
  <c r="A74" i="13" s="1"/>
  <c r="G74" i="13" s="1"/>
  <c r="E75" i="14"/>
  <c r="F75" i="14"/>
  <c r="C75" i="14"/>
  <c r="H75" i="14"/>
  <c r="A76" i="14" a="1"/>
  <c r="A76" i="14" s="1"/>
  <c r="D76" i="14" s="1"/>
  <c r="B75" i="14"/>
  <c r="D75" i="14"/>
  <c r="A75" i="13" l="1" a="1"/>
  <c r="A75" i="13" s="1"/>
  <c r="C75" i="13" s="1"/>
  <c r="E74" i="13"/>
  <c r="H74" i="13"/>
  <c r="F74" i="13"/>
  <c r="D74" i="13"/>
  <c r="C74" i="13"/>
  <c r="B74" i="13"/>
  <c r="A77" i="14" a="1"/>
  <c r="A77" i="14" s="1"/>
  <c r="H77" i="14" s="1"/>
  <c r="G76" i="14"/>
  <c r="E76" i="14"/>
  <c r="F76" i="14"/>
  <c r="C76" i="14"/>
  <c r="H76" i="14"/>
  <c r="B76" i="14"/>
  <c r="G75" i="13" l="1"/>
  <c r="F75" i="13"/>
  <c r="B75" i="13"/>
  <c r="H75" i="13"/>
  <c r="E75" i="13"/>
  <c r="D75" i="13"/>
  <c r="A76" i="13" a="1"/>
  <c r="A76" i="13" s="1"/>
  <c r="B76" i="13" s="1"/>
  <c r="E77" i="14"/>
  <c r="F77" i="14"/>
  <c r="D77" i="14"/>
  <c r="C77" i="14"/>
  <c r="A78" i="14" a="1"/>
  <c r="A78" i="14" s="1"/>
  <c r="G78" i="14" s="1"/>
  <c r="B77" i="14"/>
  <c r="G77" i="14"/>
  <c r="A77" i="13" l="1" a="1"/>
  <c r="A77" i="13" s="1"/>
  <c r="H77" i="13" s="1"/>
  <c r="F76" i="13"/>
  <c r="C76" i="13"/>
  <c r="E76" i="13"/>
  <c r="G76" i="13"/>
  <c r="D76" i="13"/>
  <c r="H76" i="13"/>
  <c r="A79" i="14" a="1"/>
  <c r="A79" i="14" s="1"/>
  <c r="F79" i="14" s="1"/>
  <c r="D78" i="14"/>
  <c r="B78" i="14"/>
  <c r="H78" i="14"/>
  <c r="F78" i="14"/>
  <c r="C78" i="14"/>
  <c r="E78" i="14"/>
  <c r="D77" i="13" l="1"/>
  <c r="E77" i="13"/>
  <c r="F77" i="13"/>
  <c r="G77" i="13"/>
  <c r="C77" i="13"/>
  <c r="B77" i="13"/>
  <c r="A78" i="13" a="1"/>
  <c r="A78" i="13" s="1"/>
  <c r="D78" i="13" s="1"/>
  <c r="A80" i="14" a="1"/>
  <c r="A80" i="14" s="1"/>
  <c r="E80" i="14" s="1"/>
  <c r="C79" i="14"/>
  <c r="H79" i="14"/>
  <c r="E79" i="14"/>
  <c r="B79" i="14"/>
  <c r="D79" i="14"/>
  <c r="G79" i="14"/>
  <c r="A79" i="13" l="1" a="1"/>
  <c r="A79" i="13" s="1"/>
  <c r="G79" i="13" s="1"/>
  <c r="F78" i="13"/>
  <c r="E78" i="13"/>
  <c r="G78" i="13"/>
  <c r="B78" i="13"/>
  <c r="C78" i="13"/>
  <c r="H78" i="13"/>
  <c r="D80" i="14"/>
  <c r="H80" i="14"/>
  <c r="F80" i="14"/>
  <c r="G80" i="14"/>
  <c r="A81" i="14" a="1"/>
  <c r="A81" i="14" s="1"/>
  <c r="H81" i="14" s="1"/>
  <c r="C80" i="14"/>
  <c r="B80" i="14"/>
  <c r="E79" i="13" l="1"/>
  <c r="B79" i="13"/>
  <c r="C79" i="13"/>
  <c r="H79" i="13"/>
  <c r="F79" i="13"/>
  <c r="D79" i="13"/>
  <c r="A80" i="13" a="1"/>
  <c r="A80" i="13" s="1"/>
  <c r="H80" i="13" s="1"/>
  <c r="A82" i="14" a="1"/>
  <c r="A82" i="14" s="1"/>
  <c r="G82" i="14" s="1"/>
  <c r="E81" i="14"/>
  <c r="F81" i="14"/>
  <c r="C81" i="14"/>
  <c r="D81" i="14"/>
  <c r="B81" i="14"/>
  <c r="G81" i="14"/>
  <c r="B80" i="13" l="1"/>
  <c r="F80" i="13"/>
  <c r="E80" i="13"/>
  <c r="D80" i="13"/>
  <c r="A81" i="13" a="1"/>
  <c r="A81" i="13" s="1"/>
  <c r="G81" i="13" s="1"/>
  <c r="C80" i="13"/>
  <c r="G80" i="13"/>
  <c r="A83" i="14" a="1"/>
  <c r="A83" i="14" s="1"/>
  <c r="F83" i="14" s="1"/>
  <c r="D82" i="14"/>
  <c r="B82" i="14"/>
  <c r="F82" i="14"/>
  <c r="E82" i="14"/>
  <c r="C82" i="14"/>
  <c r="H82" i="14"/>
  <c r="C81" i="13" l="1"/>
  <c r="D81" i="13"/>
  <c r="F81" i="13"/>
  <c r="E81" i="13"/>
  <c r="H81" i="13"/>
  <c r="B81" i="13"/>
  <c r="A82" i="13" a="1"/>
  <c r="A82" i="13" s="1"/>
  <c r="D82" i="13" s="1"/>
  <c r="G83" i="14"/>
  <c r="H83" i="14"/>
  <c r="B83" i="14"/>
  <c r="D83" i="14"/>
  <c r="A84" i="14" a="1"/>
  <c r="A84" i="14" s="1"/>
  <c r="C84" i="14" s="1"/>
  <c r="C83" i="14"/>
  <c r="E83" i="14"/>
  <c r="A83" i="13" l="1" a="1"/>
  <c r="A83" i="13" s="1"/>
  <c r="F83" i="13" s="1"/>
  <c r="F82" i="13"/>
  <c r="E82" i="13"/>
  <c r="G82" i="13"/>
  <c r="B82" i="13"/>
  <c r="C82" i="13"/>
  <c r="H82" i="13"/>
  <c r="A85" i="14" a="1"/>
  <c r="A85" i="14" s="1"/>
  <c r="E85" i="14" s="1"/>
  <c r="E84" i="14"/>
  <c r="D84" i="14"/>
  <c r="B84" i="14"/>
  <c r="F84" i="14"/>
  <c r="H84" i="14"/>
  <c r="G84" i="14"/>
  <c r="E83" i="13" l="1"/>
  <c r="B83" i="13"/>
  <c r="H83" i="13"/>
  <c r="G83" i="13"/>
  <c r="C83" i="13"/>
  <c r="D83" i="13"/>
  <c r="A84" i="13" a="1"/>
  <c r="A84" i="13" s="1"/>
  <c r="E84" i="13" s="1"/>
  <c r="A86" i="14" a="1"/>
  <c r="A86" i="14" s="1"/>
  <c r="B86" i="14" s="1"/>
  <c r="G85" i="14"/>
  <c r="F85" i="14"/>
  <c r="D85" i="14"/>
  <c r="H85" i="14"/>
  <c r="C85" i="14"/>
  <c r="B85" i="14"/>
  <c r="A85" i="13" l="1" a="1"/>
  <c r="A85" i="13" s="1"/>
  <c r="H85" i="13" s="1"/>
  <c r="C84" i="13"/>
  <c r="G84" i="13"/>
  <c r="H84" i="13"/>
  <c r="B84" i="13"/>
  <c r="D84" i="13"/>
  <c r="F84" i="13"/>
  <c r="G86" i="14"/>
  <c r="H86" i="14"/>
  <c r="D86" i="14"/>
  <c r="C86" i="14"/>
  <c r="A87" i="14" a="1"/>
  <c r="A87" i="14" s="1"/>
  <c r="G87" i="14" s="1"/>
  <c r="E86" i="14"/>
  <c r="F86" i="14"/>
  <c r="E85" i="13" l="1"/>
  <c r="C85" i="13"/>
  <c r="G85" i="13"/>
  <c r="F85" i="13"/>
  <c r="D85" i="13"/>
  <c r="B85" i="13"/>
  <c r="A86" i="13" a="1"/>
  <c r="A86" i="13" s="1"/>
  <c r="G86" i="13" s="1"/>
  <c r="E87" i="14"/>
  <c r="F87" i="14"/>
  <c r="C87" i="14"/>
  <c r="H87" i="14"/>
  <c r="A88" i="14" a="1"/>
  <c r="A88" i="14" s="1"/>
  <c r="D88" i="14" s="1"/>
  <c r="B87" i="14"/>
  <c r="D87" i="14"/>
  <c r="A87" i="13" l="1" a="1"/>
  <c r="A87" i="13" s="1"/>
  <c r="C87" i="13" s="1"/>
  <c r="E86" i="13"/>
  <c r="D86" i="13"/>
  <c r="F86" i="13"/>
  <c r="H86" i="13"/>
  <c r="C86" i="13"/>
  <c r="B86" i="13"/>
  <c r="A89" i="14" a="1"/>
  <c r="A89" i="14" s="1"/>
  <c r="H89" i="14" s="1"/>
  <c r="G88" i="14"/>
  <c r="C88" i="14"/>
  <c r="F88" i="14"/>
  <c r="E88" i="14"/>
  <c r="H88" i="14"/>
  <c r="B88" i="14"/>
  <c r="G87" i="13" l="1"/>
  <c r="H87" i="13"/>
  <c r="B87" i="13"/>
  <c r="F87" i="13"/>
  <c r="E87" i="13"/>
  <c r="D87" i="13"/>
  <c r="A88" i="13" a="1"/>
  <c r="A88" i="13" s="1"/>
  <c r="B88" i="13" s="1"/>
  <c r="A90" i="14" a="1"/>
  <c r="A90" i="14" s="1"/>
  <c r="G90" i="14" s="1"/>
  <c r="B89" i="14"/>
  <c r="D89" i="14"/>
  <c r="F89" i="14"/>
  <c r="E89" i="14"/>
  <c r="C89" i="14"/>
  <c r="G89" i="14"/>
  <c r="G88" i="13" l="1"/>
  <c r="E88" i="13"/>
  <c r="C88" i="13"/>
  <c r="D88" i="13"/>
  <c r="A89" i="13" a="1"/>
  <c r="A89" i="13" s="1"/>
  <c r="B89" i="13" s="1"/>
  <c r="F88" i="13"/>
  <c r="H88" i="13"/>
  <c r="B90" i="14"/>
  <c r="H90" i="14"/>
  <c r="F90" i="14"/>
  <c r="C90" i="14"/>
  <c r="A91" i="14" a="1"/>
  <c r="A91" i="14" s="1"/>
  <c r="D91" i="14" s="1"/>
  <c r="D90" i="14"/>
  <c r="E90" i="14"/>
  <c r="A90" i="13" l="1" a="1"/>
  <c r="A90" i="13" s="1"/>
  <c r="H90" i="13" s="1"/>
  <c r="H89" i="13"/>
  <c r="D89" i="13"/>
  <c r="F89" i="13"/>
  <c r="C89" i="13"/>
  <c r="G89" i="13"/>
  <c r="E89" i="13"/>
  <c r="C91" i="14"/>
  <c r="E91" i="14"/>
  <c r="B91" i="14"/>
  <c r="H91" i="14"/>
  <c r="A92" i="14" a="1"/>
  <c r="A92" i="14" s="1"/>
  <c r="C92" i="14" s="1"/>
  <c r="F91" i="14"/>
  <c r="G91" i="14"/>
  <c r="E90" i="13" l="1"/>
  <c r="D90" i="13"/>
  <c r="G90" i="13"/>
  <c r="F90" i="13"/>
  <c r="B90" i="13"/>
  <c r="C90" i="13"/>
  <c r="A91" i="13" a="1"/>
  <c r="A91" i="13" s="1"/>
  <c r="B91" i="13" s="1"/>
  <c r="A93" i="14" a="1"/>
  <c r="A93" i="14" s="1"/>
  <c r="E93" i="14" s="1"/>
  <c r="E92" i="14"/>
  <c r="D92" i="14"/>
  <c r="F92" i="14"/>
  <c r="B92" i="14"/>
  <c r="H92" i="14"/>
  <c r="G92" i="14"/>
  <c r="A92" i="13" l="1" a="1"/>
  <c r="A92" i="13" s="1"/>
  <c r="C92" i="13" s="1"/>
  <c r="G91" i="13"/>
  <c r="E91" i="13"/>
  <c r="F91" i="13"/>
  <c r="C91" i="13"/>
  <c r="D91" i="13"/>
  <c r="H91" i="13"/>
  <c r="B93" i="14"/>
  <c r="D93" i="14"/>
  <c r="F93" i="14"/>
  <c r="C93" i="14"/>
  <c r="A94" i="14" a="1"/>
  <c r="A94" i="14" s="1"/>
  <c r="B94" i="14" s="1"/>
  <c r="G93" i="14"/>
  <c r="H93" i="14"/>
  <c r="F92" i="13" l="1"/>
  <c r="G92" i="13"/>
  <c r="B92" i="13"/>
  <c r="E92" i="13"/>
  <c r="H92" i="13"/>
  <c r="D92" i="13"/>
  <c r="A93" i="13" a="1"/>
  <c r="A93" i="13" s="1"/>
  <c r="C93" i="13" s="1"/>
  <c r="F94" i="14"/>
  <c r="H94" i="14"/>
  <c r="G94" i="14"/>
  <c r="C94" i="14"/>
  <c r="A95" i="14" a="1"/>
  <c r="A95" i="14" s="1"/>
  <c r="G95" i="14" s="1"/>
  <c r="E94" i="14"/>
  <c r="D94" i="14"/>
  <c r="A94" i="13" l="1" a="1"/>
  <c r="A94" i="13" s="1"/>
  <c r="G94" i="13" s="1"/>
  <c r="H93" i="13"/>
  <c r="E93" i="13"/>
  <c r="G93" i="13"/>
  <c r="D93" i="13"/>
  <c r="B93" i="13"/>
  <c r="F93" i="13"/>
  <c r="E95" i="14"/>
  <c r="F95" i="14"/>
  <c r="C95" i="14"/>
  <c r="H95" i="14"/>
  <c r="A96" i="14" a="1"/>
  <c r="A96" i="14" s="1"/>
  <c r="D96" i="14" s="1"/>
  <c r="B95" i="14"/>
  <c r="D95" i="14"/>
  <c r="H94" i="13" l="1"/>
  <c r="E94" i="13"/>
  <c r="B94" i="13"/>
  <c r="F94" i="13"/>
  <c r="D94" i="13"/>
  <c r="C94" i="13"/>
  <c r="A95" i="13" a="1"/>
  <c r="A95" i="13" s="1"/>
  <c r="F95" i="13" s="1"/>
  <c r="B96" i="14"/>
  <c r="F96" i="14"/>
  <c r="C96" i="14"/>
  <c r="H96" i="14"/>
  <c r="A97" i="14" a="1"/>
  <c r="A97" i="14" s="1"/>
  <c r="H97" i="14" s="1"/>
  <c r="G96" i="14"/>
  <c r="E96" i="14"/>
  <c r="A96" i="13" l="1" a="1"/>
  <c r="A96" i="13" s="1"/>
  <c r="G96" i="13" s="1"/>
  <c r="C95" i="13"/>
  <c r="B95" i="13"/>
  <c r="H95" i="13"/>
  <c r="E95" i="13"/>
  <c r="D95" i="13"/>
  <c r="G95" i="13"/>
  <c r="A98" i="14" a="1"/>
  <c r="A98" i="14" s="1"/>
  <c r="G98" i="14" s="1"/>
  <c r="B97" i="14"/>
  <c r="G97" i="14"/>
  <c r="F97" i="14"/>
  <c r="D97" i="14"/>
  <c r="C97" i="14"/>
  <c r="E97" i="14"/>
  <c r="C96" i="13" l="1"/>
  <c r="B96" i="13"/>
  <c r="F96" i="13"/>
  <c r="E96" i="13"/>
  <c r="H96" i="13"/>
  <c r="D96" i="13"/>
  <c r="A97" i="13" a="1"/>
  <c r="A97" i="13" s="1"/>
  <c r="F97" i="13" s="1"/>
  <c r="A99" i="14" a="1"/>
  <c r="A99" i="14" s="1"/>
  <c r="D99" i="14" s="1"/>
  <c r="H98" i="14"/>
  <c r="B98" i="14"/>
  <c r="D98" i="14"/>
  <c r="F98" i="14"/>
  <c r="C98" i="14"/>
  <c r="E98" i="14"/>
  <c r="A98" i="13" l="1" a="1"/>
  <c r="A98" i="13" s="1"/>
  <c r="F98" i="13" s="1"/>
  <c r="E97" i="13"/>
  <c r="D97" i="13"/>
  <c r="G97" i="13"/>
  <c r="C97" i="13"/>
  <c r="B97" i="13"/>
  <c r="H97" i="13"/>
  <c r="F99" i="14"/>
  <c r="E99" i="14"/>
  <c r="C99" i="14"/>
  <c r="H99" i="14"/>
  <c r="A100" i="14" a="1"/>
  <c r="A100" i="14" s="1"/>
  <c r="C100" i="14" s="1"/>
  <c r="G99" i="14"/>
  <c r="B99" i="14"/>
  <c r="H98" i="13" l="1"/>
  <c r="D98" i="13"/>
  <c r="E98" i="13"/>
  <c r="G98" i="13"/>
  <c r="B98" i="13"/>
  <c r="C98" i="13"/>
  <c r="A99" i="13" a="1"/>
  <c r="A99" i="13" s="1"/>
  <c r="B99" i="13" s="1"/>
  <c r="A101" i="14" a="1"/>
  <c r="A101" i="14" s="1"/>
  <c r="E101" i="14" s="1"/>
  <c r="E100" i="14"/>
  <c r="D100" i="14"/>
  <c r="B100" i="14"/>
  <c r="F100" i="14"/>
  <c r="H100" i="14"/>
  <c r="G100" i="14"/>
  <c r="F99" i="13" l="1"/>
  <c r="G99" i="13"/>
  <c r="A100" i="13" a="1"/>
  <c r="A100" i="13" s="1"/>
  <c r="E100" i="13" s="1"/>
  <c r="H99" i="13"/>
  <c r="E99" i="13"/>
  <c r="D99" i="13"/>
  <c r="C99" i="13"/>
  <c r="F101" i="14"/>
  <c r="D101" i="14"/>
  <c r="H101" i="14"/>
  <c r="C101" i="14"/>
  <c r="A102" i="14" a="1"/>
  <c r="A102" i="14" s="1"/>
  <c r="B102" i="14" s="1"/>
  <c r="G101" i="14"/>
  <c r="B101" i="14"/>
  <c r="A101" i="13" l="1" a="1"/>
  <c r="A101" i="13" s="1"/>
  <c r="F101" i="13" s="1"/>
  <c r="C100" i="13"/>
  <c r="B100" i="13"/>
  <c r="H100" i="13"/>
  <c r="F100" i="13"/>
  <c r="D100" i="13"/>
  <c r="G100" i="13"/>
  <c r="A103" i="14" a="1"/>
  <c r="A103" i="14" s="1"/>
  <c r="G103" i="14" s="1"/>
  <c r="E102" i="14"/>
  <c r="G102" i="14"/>
  <c r="H102" i="14"/>
  <c r="D102" i="14"/>
  <c r="C102" i="14"/>
  <c r="F102" i="14"/>
  <c r="H101" i="13" l="1"/>
  <c r="C101" i="13"/>
  <c r="G101" i="13"/>
  <c r="E101" i="13"/>
  <c r="D101" i="13"/>
  <c r="B101" i="13"/>
  <c r="A102" i="13" a="1"/>
  <c r="A102" i="13" s="1"/>
  <c r="H102" i="13" s="1"/>
  <c r="E103" i="14"/>
  <c r="F103" i="14"/>
  <c r="C103" i="14"/>
  <c r="H103" i="14"/>
  <c r="A104" i="14" a="1"/>
  <c r="A104" i="14" s="1"/>
  <c r="D104" i="14" s="1"/>
  <c r="B103" i="14"/>
  <c r="D103" i="14"/>
  <c r="A103" i="13" l="1" a="1"/>
  <c r="A103" i="13" s="1"/>
  <c r="C103" i="13" s="1"/>
  <c r="G102" i="13"/>
  <c r="D102" i="13"/>
  <c r="F102" i="13"/>
  <c r="E102" i="13"/>
  <c r="C102" i="13"/>
  <c r="B102" i="13"/>
  <c r="A105" i="14" a="1"/>
  <c r="A105" i="14" s="1"/>
  <c r="G105" i="14" s="1"/>
  <c r="G104" i="14"/>
  <c r="C104" i="14"/>
  <c r="F104" i="14"/>
  <c r="E104" i="14"/>
  <c r="H104" i="14"/>
  <c r="B104" i="14"/>
  <c r="G103" i="13" l="1"/>
  <c r="F103" i="13"/>
  <c r="B103" i="13"/>
  <c r="H103" i="13"/>
  <c r="E103" i="13"/>
  <c r="D103" i="13"/>
  <c r="A104" i="13" a="1"/>
  <c r="A104" i="13" s="1"/>
  <c r="B104" i="13" s="1"/>
  <c r="C105" i="14"/>
  <c r="H105" i="14"/>
  <c r="F105" i="14"/>
  <c r="D105" i="14"/>
  <c r="A106" i="14" a="1"/>
  <c r="A106" i="14" s="1"/>
  <c r="F106" i="14" s="1"/>
  <c r="B105" i="14"/>
  <c r="E105" i="14"/>
  <c r="A105" i="13" l="1" a="1"/>
  <c r="A105" i="13" s="1"/>
  <c r="H105" i="13" s="1"/>
  <c r="F104" i="13"/>
  <c r="G104" i="13"/>
  <c r="E104" i="13"/>
  <c r="C104" i="13"/>
  <c r="D104" i="13"/>
  <c r="H104" i="13"/>
  <c r="E106" i="14"/>
  <c r="H106" i="14"/>
  <c r="G106" i="14"/>
  <c r="B106" i="14"/>
  <c r="A107" i="14" a="1"/>
  <c r="A107" i="14" s="1"/>
  <c r="B107" i="14" s="1"/>
  <c r="C106" i="14"/>
  <c r="D106" i="14"/>
  <c r="D105" i="13" l="1"/>
  <c r="F105" i="13"/>
  <c r="C105" i="13"/>
  <c r="G105" i="13"/>
  <c r="E105" i="13"/>
  <c r="B105" i="13"/>
  <c r="A106" i="13" a="1"/>
  <c r="A106" i="13" s="1"/>
  <c r="D106" i="13" s="1"/>
  <c r="A108" i="14" a="1"/>
  <c r="A108" i="14" s="1"/>
  <c r="G108" i="14" s="1"/>
  <c r="E107" i="14"/>
  <c r="F107" i="14"/>
  <c r="C107" i="14"/>
  <c r="H107" i="14"/>
  <c r="G107" i="14"/>
  <c r="D107" i="14"/>
  <c r="A107" i="13" l="1" a="1"/>
  <c r="A107" i="13" s="1"/>
  <c r="G107" i="13" s="1"/>
  <c r="H106" i="13"/>
  <c r="G106" i="13"/>
  <c r="F106" i="13"/>
  <c r="B106" i="13"/>
  <c r="C106" i="13"/>
  <c r="E106" i="13"/>
  <c r="A109" i="14" a="1"/>
  <c r="A109" i="14" s="1"/>
  <c r="G109" i="14" s="1"/>
  <c r="H108" i="14"/>
  <c r="E108" i="14"/>
  <c r="B108" i="14"/>
  <c r="F108" i="14"/>
  <c r="D108" i="14"/>
  <c r="C108" i="14"/>
  <c r="E107" i="13" l="1"/>
  <c r="B107" i="13"/>
  <c r="H107" i="13"/>
  <c r="F107" i="13"/>
  <c r="C107" i="13"/>
  <c r="D107" i="13"/>
  <c r="A108" i="13" a="1"/>
  <c r="A108" i="13" s="1"/>
  <c r="G108" i="13" s="1"/>
  <c r="A110" i="14" a="1"/>
  <c r="A110" i="14" s="1"/>
  <c r="F110" i="14" s="1"/>
  <c r="E109" i="14"/>
  <c r="B109" i="14"/>
  <c r="F109" i="14"/>
  <c r="C109" i="14"/>
  <c r="D109" i="14"/>
  <c r="H109" i="14"/>
  <c r="B108" i="13" l="1"/>
  <c r="H108" i="13"/>
  <c r="E108" i="13"/>
  <c r="D108" i="13"/>
  <c r="A109" i="13" a="1"/>
  <c r="A109" i="13" s="1"/>
  <c r="H109" i="13" s="1"/>
  <c r="C108" i="13"/>
  <c r="F108" i="13"/>
  <c r="D110" i="14"/>
  <c r="H110" i="14"/>
  <c r="E110" i="14"/>
  <c r="C110" i="14"/>
  <c r="A111" i="14" a="1"/>
  <c r="A111" i="14" s="1"/>
  <c r="F111" i="14" s="1"/>
  <c r="B110" i="14"/>
  <c r="G110" i="14"/>
  <c r="G109" i="13" l="1"/>
  <c r="C109" i="13"/>
  <c r="F109" i="13"/>
  <c r="E109" i="13"/>
  <c r="D109" i="13"/>
  <c r="B109" i="13"/>
  <c r="A110" i="13" a="1"/>
  <c r="A110" i="13" s="1"/>
  <c r="E110" i="13" s="1"/>
  <c r="A112" i="14" a="1"/>
  <c r="A112" i="14" s="1"/>
  <c r="D112" i="14" s="1"/>
  <c r="D111" i="14"/>
  <c r="B111" i="14"/>
  <c r="H111" i="14"/>
  <c r="G111" i="14"/>
  <c r="C111" i="14"/>
  <c r="E111" i="14"/>
  <c r="A111" i="13" l="1" a="1"/>
  <c r="A111" i="13" s="1"/>
  <c r="H111" i="13" s="1"/>
  <c r="G110" i="13"/>
  <c r="B110" i="13"/>
  <c r="F110" i="13"/>
  <c r="D110" i="13"/>
  <c r="C110" i="13"/>
  <c r="H110" i="13"/>
  <c r="A113" i="14" a="1"/>
  <c r="A113" i="14" s="1"/>
  <c r="D113" i="14" s="1"/>
  <c r="B112" i="14"/>
  <c r="C112" i="14"/>
  <c r="F112" i="14"/>
  <c r="E112" i="14"/>
  <c r="H112" i="14"/>
  <c r="G112" i="14"/>
  <c r="C111" i="13" l="1"/>
  <c r="G111" i="13"/>
  <c r="D111" i="13"/>
  <c r="E111" i="13"/>
  <c r="F111" i="13"/>
  <c r="B111" i="13"/>
  <c r="A112" i="13" a="1"/>
  <c r="A112" i="13" s="1"/>
  <c r="B112" i="13" s="1"/>
  <c r="A114" i="14" a="1"/>
  <c r="A114" i="14" s="1"/>
  <c r="F114" i="14" s="1"/>
  <c r="B113" i="14"/>
  <c r="C113" i="14"/>
  <c r="F113" i="14"/>
  <c r="G113" i="14"/>
  <c r="H113" i="14"/>
  <c r="E113" i="14"/>
  <c r="A113" i="13" l="1" a="1"/>
  <c r="A113" i="13" s="1"/>
  <c r="B113" i="13" s="1"/>
  <c r="F112" i="13"/>
  <c r="D112" i="13"/>
  <c r="H112" i="13"/>
  <c r="E112" i="13"/>
  <c r="C112" i="13"/>
  <c r="G112" i="13"/>
  <c r="D114" i="14"/>
  <c r="H114" i="14"/>
  <c r="E114" i="14"/>
  <c r="C114" i="14"/>
  <c r="A115" i="14" a="1"/>
  <c r="A115" i="14" s="1"/>
  <c r="F115" i="14" s="1"/>
  <c r="B114" i="14"/>
  <c r="G114" i="14"/>
  <c r="H113" i="13" l="1"/>
  <c r="G113" i="13"/>
  <c r="E113" i="13"/>
  <c r="F113" i="13"/>
  <c r="C113" i="13"/>
  <c r="D113" i="13"/>
  <c r="A114" i="13" a="1"/>
  <c r="A114" i="13" s="1"/>
  <c r="B114" i="13" s="1"/>
  <c r="A116" i="14" a="1"/>
  <c r="A116" i="14" s="1"/>
  <c r="D116" i="14" s="1"/>
  <c r="D115" i="14"/>
  <c r="B115" i="14"/>
  <c r="H115" i="14"/>
  <c r="G115" i="14"/>
  <c r="C115" i="14"/>
  <c r="E115" i="14"/>
  <c r="E114" i="13" l="1"/>
  <c r="H114" i="13"/>
  <c r="C114" i="13"/>
  <c r="D114" i="13"/>
  <c r="G114" i="13"/>
  <c r="A115" i="13" a="1"/>
  <c r="A115" i="13" s="1"/>
  <c r="B115" i="13" s="1"/>
  <c r="F114" i="13"/>
  <c r="G116" i="14"/>
  <c r="F116" i="14"/>
  <c r="E116" i="14"/>
  <c r="H116" i="14"/>
  <c r="A117" i="14" a="1"/>
  <c r="A117" i="14" s="1"/>
  <c r="D117" i="14" s="1"/>
  <c r="B116" i="14"/>
  <c r="C116" i="14"/>
  <c r="A116" i="13" l="1" a="1"/>
  <c r="A116" i="13" s="1"/>
  <c r="F116" i="13" s="1"/>
  <c r="G115" i="13"/>
  <c r="C115" i="13"/>
  <c r="H115" i="13"/>
  <c r="D115" i="13"/>
  <c r="F115" i="13"/>
  <c r="E115" i="13"/>
  <c r="C117" i="14"/>
  <c r="F117" i="14"/>
  <c r="G117" i="14"/>
  <c r="H117" i="14"/>
  <c r="A118" i="14" a="1"/>
  <c r="A118" i="14" s="1"/>
  <c r="F118" i="14" s="1"/>
  <c r="B117" i="14"/>
  <c r="E117" i="14"/>
  <c r="G116" i="13" l="1"/>
  <c r="B116" i="13"/>
  <c r="D116" i="13"/>
  <c r="E116" i="13"/>
  <c r="H116" i="13"/>
  <c r="C116" i="13"/>
  <c r="A117" i="13" a="1"/>
  <c r="A117" i="13" s="1"/>
  <c r="H117" i="13" s="1"/>
  <c r="D118" i="14"/>
  <c r="H118" i="14"/>
  <c r="E118" i="14"/>
  <c r="C118" i="14"/>
  <c r="A119" i="14" a="1"/>
  <c r="A119" i="14" s="1"/>
  <c r="F119" i="14" s="1"/>
  <c r="B118" i="14"/>
  <c r="G118" i="14"/>
  <c r="A118" i="13" l="1" a="1"/>
  <c r="A118" i="13" s="1"/>
  <c r="F118" i="13" s="1"/>
  <c r="B117" i="13"/>
  <c r="G117" i="13"/>
  <c r="F117" i="13"/>
  <c r="C117" i="13"/>
  <c r="D117" i="13"/>
  <c r="E117" i="13"/>
  <c r="A120" i="14" a="1"/>
  <c r="A120" i="14" s="1"/>
  <c r="D120" i="14" s="1"/>
  <c r="H119" i="14"/>
  <c r="B119" i="14"/>
  <c r="D119" i="14"/>
  <c r="G119" i="14"/>
  <c r="C119" i="14"/>
  <c r="E119" i="14"/>
  <c r="E118" i="13" l="1"/>
  <c r="B118" i="13"/>
  <c r="H118" i="13"/>
  <c r="G118" i="13"/>
  <c r="C118" i="13"/>
  <c r="D118" i="13"/>
  <c r="A119" i="13" a="1"/>
  <c r="A119" i="13" s="1"/>
  <c r="G119" i="13" s="1"/>
  <c r="A121" i="14" a="1"/>
  <c r="A121" i="14" s="1"/>
  <c r="D121" i="14" s="1"/>
  <c r="B120" i="14"/>
  <c r="G120" i="14"/>
  <c r="F120" i="14"/>
  <c r="E120" i="14"/>
  <c r="H120" i="14"/>
  <c r="C120" i="14"/>
  <c r="A120" i="13" l="1" a="1"/>
  <c r="A120" i="13" s="1"/>
  <c r="H120" i="13" s="1"/>
  <c r="E119" i="13"/>
  <c r="D119" i="13"/>
  <c r="F119" i="13"/>
  <c r="H119" i="13"/>
  <c r="B119" i="13"/>
  <c r="C119" i="13"/>
  <c r="A122" i="14" a="1"/>
  <c r="A122" i="14" s="1"/>
  <c r="F122" i="14" s="1"/>
  <c r="F121" i="14"/>
  <c r="C121" i="14"/>
  <c r="B121" i="14"/>
  <c r="G121" i="14"/>
  <c r="H121" i="14"/>
  <c r="E121" i="14"/>
  <c r="F120" i="13" l="1"/>
  <c r="B120" i="13"/>
  <c r="D120" i="13"/>
  <c r="E120" i="13"/>
  <c r="G120" i="13"/>
  <c r="C120" i="13"/>
  <c r="A121" i="13" a="1"/>
  <c r="A121" i="13" s="1"/>
  <c r="G121" i="13" s="1"/>
  <c r="A123" i="14" a="1"/>
  <c r="A123" i="14" s="1"/>
  <c r="F123" i="14" s="1"/>
  <c r="B122" i="14"/>
  <c r="D122" i="14"/>
  <c r="H122" i="14"/>
  <c r="E122" i="14"/>
  <c r="C122" i="14"/>
  <c r="G122" i="14"/>
  <c r="A122" i="13" l="1" a="1"/>
  <c r="A122" i="13" s="1"/>
  <c r="H122" i="13" s="1"/>
  <c r="B121" i="13"/>
  <c r="H121" i="13"/>
  <c r="E121" i="13"/>
  <c r="C121" i="13"/>
  <c r="D121" i="13"/>
  <c r="F121" i="13"/>
  <c r="B123" i="14"/>
  <c r="H123" i="14"/>
  <c r="G123" i="14"/>
  <c r="C123" i="14"/>
  <c r="A124" i="14" a="1"/>
  <c r="A124" i="14" s="1"/>
  <c r="D124" i="14" s="1"/>
  <c r="D123" i="14"/>
  <c r="E123" i="14"/>
  <c r="G122" i="13" l="1"/>
  <c r="B122" i="13"/>
  <c r="F122" i="13"/>
  <c r="E122" i="13"/>
  <c r="C122" i="13"/>
  <c r="D122" i="13"/>
  <c r="A123" i="13" a="1"/>
  <c r="A123" i="13" s="1"/>
  <c r="G123" i="13" s="1"/>
  <c r="A125" i="14" a="1"/>
  <c r="A125" i="14" s="1"/>
  <c r="B125" i="14" s="1"/>
  <c r="B124" i="14"/>
  <c r="G124" i="14"/>
  <c r="F124" i="14"/>
  <c r="E124" i="14"/>
  <c r="H124" i="14"/>
  <c r="C124" i="14"/>
  <c r="A124" i="13" l="1" a="1"/>
  <c r="A124" i="13" s="1"/>
  <c r="G124" i="13" s="1"/>
  <c r="F123" i="13"/>
  <c r="C123" i="13"/>
  <c r="E123" i="13"/>
  <c r="H123" i="13"/>
  <c r="D123" i="13"/>
  <c r="B123" i="13"/>
  <c r="F125" i="14"/>
  <c r="D125" i="14"/>
  <c r="C125" i="14"/>
  <c r="H125" i="14"/>
  <c r="A126" i="14" a="1"/>
  <c r="A126" i="14" s="1"/>
  <c r="B126" i="14" s="1"/>
  <c r="G125" i="14"/>
  <c r="E125" i="14"/>
  <c r="E124" i="13" l="1"/>
  <c r="B124" i="13"/>
  <c r="C124" i="13"/>
  <c r="F124" i="13"/>
  <c r="H124" i="13"/>
  <c r="D124" i="13"/>
  <c r="A125" i="13" a="1"/>
  <c r="A125" i="13" s="1"/>
  <c r="E125" i="13" s="1"/>
  <c r="G126" i="14"/>
  <c r="F126" i="14"/>
  <c r="E126" i="14"/>
  <c r="H126" i="14"/>
  <c r="A127" i="14" a="1"/>
  <c r="A127" i="14" s="1"/>
  <c r="C127" i="14" s="1"/>
  <c r="D126" i="14"/>
  <c r="C126" i="14"/>
  <c r="A126" i="13" l="1" a="1"/>
  <c r="A126" i="13" s="1"/>
  <c r="H126" i="13" s="1"/>
  <c r="D125" i="13"/>
  <c r="H125" i="13"/>
  <c r="F125" i="13"/>
  <c r="C125" i="13"/>
  <c r="B125" i="13"/>
  <c r="G125" i="13"/>
  <c r="A128" i="14" a="1"/>
  <c r="A128" i="14" s="1"/>
  <c r="H128" i="14" s="1"/>
  <c r="B127" i="14"/>
  <c r="H127" i="14"/>
  <c r="D127" i="14"/>
  <c r="E127" i="14"/>
  <c r="F127" i="14"/>
  <c r="G127" i="14"/>
  <c r="G126" i="13" l="1"/>
  <c r="B126" i="13"/>
  <c r="E126" i="13"/>
  <c r="F126" i="13"/>
  <c r="D126" i="13"/>
  <c r="C126" i="13"/>
  <c r="A127" i="13" a="1"/>
  <c r="A127" i="13" s="1"/>
  <c r="H127" i="13" s="1"/>
  <c r="G128" i="14"/>
  <c r="D128" i="14"/>
  <c r="B128" i="14"/>
  <c r="F128" i="14"/>
  <c r="A129" i="14" a="1"/>
  <c r="A129" i="14" s="1"/>
  <c r="C129" i="14" s="1"/>
  <c r="C128" i="14"/>
  <c r="E128" i="14"/>
  <c r="A128" i="13" l="1" a="1"/>
  <c r="A128" i="13" s="1"/>
  <c r="H128" i="13" s="1"/>
  <c r="D127" i="13"/>
  <c r="E127" i="13"/>
  <c r="C127" i="13"/>
  <c r="G127" i="13"/>
  <c r="F127" i="13"/>
  <c r="B127" i="13"/>
  <c r="A130" i="14" a="1"/>
  <c r="A130" i="14" s="1"/>
  <c r="G130" i="14" s="1"/>
  <c r="H129" i="14"/>
  <c r="D129" i="14"/>
  <c r="E129" i="14"/>
  <c r="F129" i="14"/>
  <c r="G129" i="14"/>
  <c r="B129" i="14"/>
  <c r="C128" i="13" l="1"/>
  <c r="E128" i="13"/>
  <c r="F128" i="13"/>
  <c r="G128" i="13"/>
  <c r="D128" i="13"/>
  <c r="B128" i="13"/>
  <c r="A129" i="13" a="1"/>
  <c r="A129" i="13" s="1"/>
  <c r="F129" i="13" s="1"/>
  <c r="H130" i="14"/>
  <c r="B130" i="14"/>
  <c r="C130" i="14"/>
  <c r="D130" i="14"/>
  <c r="A131" i="14" a="1"/>
  <c r="A131" i="14" s="1"/>
  <c r="E131" i="14" s="1"/>
  <c r="E130" i="14"/>
  <c r="F130" i="14"/>
  <c r="G129" i="13" l="1"/>
  <c r="D129" i="13"/>
  <c r="H129" i="13"/>
  <c r="B129" i="13"/>
  <c r="A130" i="13" a="1"/>
  <c r="A130" i="13" s="1"/>
  <c r="H130" i="13" s="1"/>
  <c r="C129" i="13"/>
  <c r="E129" i="13"/>
  <c r="A132" i="14" a="1"/>
  <c r="A132" i="14" s="1"/>
  <c r="H132" i="14" s="1"/>
  <c r="C131" i="14"/>
  <c r="F131" i="14"/>
  <c r="G131" i="14"/>
  <c r="H131" i="14"/>
  <c r="B131" i="14"/>
  <c r="D131" i="14"/>
  <c r="B130" i="13" l="1"/>
  <c r="G130" i="13"/>
  <c r="E130" i="13"/>
  <c r="C130" i="13"/>
  <c r="F130" i="13"/>
  <c r="D130" i="13"/>
  <c r="A131" i="13" a="1"/>
  <c r="A131" i="13" s="1"/>
  <c r="C131" i="13" s="1"/>
  <c r="F132" i="14"/>
  <c r="C132" i="14"/>
  <c r="D132" i="14"/>
  <c r="E132" i="14"/>
  <c r="A133" i="14" a="1"/>
  <c r="A133" i="14" s="1"/>
  <c r="D133" i="14" s="1"/>
  <c r="G132" i="14"/>
  <c r="B132" i="14"/>
  <c r="A132" i="13" l="1" a="1"/>
  <c r="A132" i="13" s="1"/>
  <c r="D132" i="13" s="1"/>
  <c r="F131" i="13"/>
  <c r="E131" i="13"/>
  <c r="H131" i="13"/>
  <c r="B131" i="13"/>
  <c r="D131" i="13"/>
  <c r="G131" i="13"/>
  <c r="F133" i="14"/>
  <c r="C133" i="14"/>
  <c r="B133" i="14"/>
  <c r="H133" i="14"/>
  <c r="A134" i="14" a="1"/>
  <c r="A134" i="14" s="1"/>
  <c r="C134" i="14" s="1"/>
  <c r="G133" i="14"/>
  <c r="E133" i="14"/>
  <c r="C132" i="13" l="1"/>
  <c r="E132" i="13"/>
  <c r="H132" i="13"/>
  <c r="F132" i="13"/>
  <c r="G132" i="13"/>
  <c r="B132" i="13"/>
  <c r="A133" i="13" a="1"/>
  <c r="A133" i="13" s="1"/>
  <c r="D133" i="13" s="1"/>
  <c r="B134" i="14"/>
  <c r="E134" i="14"/>
  <c r="F134" i="14"/>
  <c r="G134" i="14"/>
  <c r="A135" i="14" a="1"/>
  <c r="A135" i="14" s="1"/>
  <c r="G135" i="14" s="1"/>
  <c r="D134" i="14"/>
  <c r="H134" i="14"/>
  <c r="C133" i="13" l="1"/>
  <c r="F133" i="13"/>
  <c r="E133" i="13"/>
  <c r="B133" i="13"/>
  <c r="A134" i="13" a="1"/>
  <c r="A134" i="13" s="1"/>
  <c r="E134" i="13" s="1"/>
  <c r="G133" i="13"/>
  <c r="H133" i="13"/>
  <c r="A136" i="14" a="1"/>
  <c r="A136" i="14" s="1"/>
  <c r="H136" i="14" s="1"/>
  <c r="H135" i="14"/>
  <c r="F135" i="14"/>
  <c r="C135" i="14"/>
  <c r="D135" i="14"/>
  <c r="E135" i="14"/>
  <c r="B135" i="14"/>
  <c r="F134" i="13" l="1"/>
  <c r="G134" i="13"/>
  <c r="C134" i="13"/>
  <c r="B134" i="13"/>
  <c r="D134" i="13"/>
  <c r="H134" i="13"/>
  <c r="A135" i="13" a="1"/>
  <c r="A135" i="13" s="1"/>
  <c r="B135" i="13" s="1"/>
  <c r="A137" i="14" a="1"/>
  <c r="A137" i="14" s="1"/>
  <c r="H137" i="14" s="1"/>
  <c r="G136" i="14"/>
  <c r="B136" i="14"/>
  <c r="C136" i="14"/>
  <c r="F136" i="14"/>
  <c r="E136" i="14"/>
  <c r="D136" i="14"/>
  <c r="A136" i="13" l="1" a="1"/>
  <c r="A136" i="13" s="1"/>
  <c r="B136" i="13" s="1"/>
  <c r="H135" i="13"/>
  <c r="G135" i="13"/>
  <c r="F135" i="13"/>
  <c r="D135" i="13"/>
  <c r="C135" i="13"/>
  <c r="E135" i="13"/>
  <c r="A138" i="14" a="1"/>
  <c r="A138" i="14" s="1"/>
  <c r="C138" i="14" s="1"/>
  <c r="F137" i="14"/>
  <c r="G137" i="14"/>
  <c r="C137" i="14"/>
  <c r="D137" i="14"/>
  <c r="E137" i="14"/>
  <c r="B137" i="14"/>
  <c r="G136" i="13" l="1"/>
  <c r="E136" i="13"/>
  <c r="H136" i="13"/>
  <c r="D136" i="13"/>
  <c r="C136" i="13"/>
  <c r="F136" i="13"/>
  <c r="A137" i="13" a="1"/>
  <c r="A137" i="13" s="1"/>
  <c r="D137" i="13" s="1"/>
  <c r="F138" i="14"/>
  <c r="E138" i="14"/>
  <c r="H138" i="14"/>
  <c r="G138" i="14"/>
  <c r="A139" i="14" a="1"/>
  <c r="A139" i="14" s="1"/>
  <c r="C139" i="14" s="1"/>
  <c r="D138" i="14"/>
  <c r="B138" i="14"/>
  <c r="G137" i="13" l="1"/>
  <c r="E137" i="13"/>
  <c r="H137" i="13"/>
  <c r="B137" i="13"/>
  <c r="A138" i="13" a="1"/>
  <c r="A138" i="13" s="1"/>
  <c r="G138" i="13" s="1"/>
  <c r="F137" i="13"/>
  <c r="C137" i="13"/>
  <c r="A140" i="14" a="1"/>
  <c r="A140" i="14" s="1"/>
  <c r="H140" i="14" s="1"/>
  <c r="H139" i="14"/>
  <c r="F139" i="14"/>
  <c r="E139" i="14"/>
  <c r="B139" i="14"/>
  <c r="G139" i="14"/>
  <c r="D139" i="14"/>
  <c r="C138" i="13" l="1"/>
  <c r="H138" i="13"/>
  <c r="D138" i="13"/>
  <c r="B138" i="13"/>
  <c r="E138" i="13"/>
  <c r="F138" i="13"/>
  <c r="A139" i="13" a="1"/>
  <c r="A139" i="13" s="1"/>
  <c r="B139" i="13" s="1"/>
  <c r="F140" i="14"/>
  <c r="G140" i="14"/>
  <c r="D140" i="14"/>
  <c r="E140" i="14"/>
  <c r="A141" i="14" a="1"/>
  <c r="A141" i="14" s="1"/>
  <c r="H141" i="14" s="1"/>
  <c r="C140" i="14"/>
  <c r="B140" i="14"/>
  <c r="A140" i="13" l="1" a="1"/>
  <c r="A140" i="13" s="1"/>
  <c r="B140" i="13" s="1"/>
  <c r="F139" i="13"/>
  <c r="G139" i="13"/>
  <c r="E139" i="13"/>
  <c r="D139" i="13"/>
  <c r="C139" i="13"/>
  <c r="H139" i="13"/>
  <c r="A142" i="14" a="1"/>
  <c r="A142" i="14" s="1"/>
  <c r="C142" i="14" s="1"/>
  <c r="F141" i="14"/>
  <c r="D141" i="14"/>
  <c r="C141" i="14"/>
  <c r="B141" i="14"/>
  <c r="E141" i="14"/>
  <c r="G141" i="14"/>
  <c r="C140" i="13" l="1"/>
  <c r="F140" i="13"/>
  <c r="H140" i="13"/>
  <c r="D140" i="13"/>
  <c r="G140" i="13"/>
  <c r="E140" i="13"/>
  <c r="A141" i="13" a="1"/>
  <c r="A141" i="13" s="1"/>
  <c r="D141" i="13" s="1"/>
  <c r="A143" i="14" a="1"/>
  <c r="A143" i="14" s="1"/>
  <c r="C143" i="14" s="1"/>
  <c r="D142" i="14"/>
  <c r="B142" i="14"/>
  <c r="E142" i="14"/>
  <c r="F142" i="14"/>
  <c r="G142" i="14"/>
  <c r="H142" i="14"/>
  <c r="C141" i="13" l="1"/>
  <c r="H141" i="13"/>
  <c r="E141" i="13"/>
  <c r="B141" i="13"/>
  <c r="A142" i="13" a="1"/>
  <c r="A142" i="13" s="1"/>
  <c r="G142" i="13" s="1"/>
  <c r="F141" i="13"/>
  <c r="G141" i="13"/>
  <c r="A144" i="14" a="1"/>
  <c r="A144" i="14" s="1"/>
  <c r="H144" i="14" s="1"/>
  <c r="H143" i="14"/>
  <c r="D143" i="14"/>
  <c r="E143" i="14"/>
  <c r="B143" i="14"/>
  <c r="G143" i="14"/>
  <c r="F143" i="14"/>
  <c r="F142" i="13" l="1"/>
  <c r="H142" i="13"/>
  <c r="C142" i="13"/>
  <c r="B142" i="13"/>
  <c r="D142" i="13"/>
  <c r="E142" i="13"/>
  <c r="A143" i="13" a="1"/>
  <c r="A143" i="13" s="1"/>
  <c r="B143" i="13" s="1"/>
  <c r="A145" i="14" a="1"/>
  <c r="A145" i="14" s="1"/>
  <c r="F145" i="14" s="1"/>
  <c r="G144" i="14"/>
  <c r="B144" i="14"/>
  <c r="C144" i="14"/>
  <c r="F144" i="14"/>
  <c r="E144" i="14"/>
  <c r="D144" i="14"/>
  <c r="G143" i="13" l="1"/>
  <c r="E143" i="13"/>
  <c r="A144" i="13" a="1"/>
  <c r="A144" i="13" s="1"/>
  <c r="H144" i="13" s="1"/>
  <c r="H143" i="13"/>
  <c r="D143" i="13"/>
  <c r="C143" i="13"/>
  <c r="F143" i="13"/>
  <c r="A146" i="14" a="1"/>
  <c r="A146" i="14" s="1"/>
  <c r="E146" i="14" s="1"/>
  <c r="B145" i="14"/>
  <c r="G145" i="14"/>
  <c r="H145" i="14"/>
  <c r="D145" i="14"/>
  <c r="E145" i="14"/>
  <c r="C145" i="14"/>
  <c r="A145" i="13" l="1" a="1"/>
  <c r="A145" i="13" s="1"/>
  <c r="F145" i="13" s="1"/>
  <c r="B144" i="13"/>
  <c r="F144" i="13"/>
  <c r="D144" i="13"/>
  <c r="C144" i="13"/>
  <c r="E144" i="13"/>
  <c r="G144" i="13"/>
  <c r="A147" i="14" a="1"/>
  <c r="A147" i="14" s="1"/>
  <c r="E147" i="14" s="1"/>
  <c r="F146" i="14"/>
  <c r="B146" i="14"/>
  <c r="G146" i="14"/>
  <c r="H146" i="14"/>
  <c r="C146" i="14"/>
  <c r="D146" i="14"/>
  <c r="C145" i="13" l="1"/>
  <c r="D145" i="13"/>
  <c r="G145" i="13"/>
  <c r="H145" i="13"/>
  <c r="E145" i="13"/>
  <c r="B145" i="13"/>
  <c r="A146" i="13" a="1"/>
  <c r="A146" i="13" s="1"/>
  <c r="F146" i="13" s="1"/>
  <c r="A148" i="14" a="1"/>
  <c r="A148" i="14" s="1"/>
  <c r="C148" i="14" s="1"/>
  <c r="B147" i="14"/>
  <c r="H147" i="14"/>
  <c r="D147" i="14"/>
  <c r="G147" i="14"/>
  <c r="C147" i="14"/>
  <c r="F147" i="14"/>
  <c r="D146" i="13" l="1"/>
  <c r="B146" i="13"/>
  <c r="E146" i="13"/>
  <c r="H146" i="13"/>
  <c r="A147" i="13" a="1"/>
  <c r="A147" i="13" s="1"/>
  <c r="F147" i="13" s="1"/>
  <c r="G146" i="13"/>
  <c r="C146" i="13"/>
  <c r="A149" i="14" a="1"/>
  <c r="A149" i="14" s="1"/>
  <c r="C149" i="14" s="1"/>
  <c r="F148" i="14"/>
  <c r="D148" i="14"/>
  <c r="B148" i="14"/>
  <c r="E148" i="14"/>
  <c r="H148" i="14"/>
  <c r="G148" i="14"/>
  <c r="C147" i="13" l="1"/>
  <c r="G147" i="13"/>
  <c r="H147" i="13"/>
  <c r="E147" i="13"/>
  <c r="D147" i="13"/>
  <c r="B147" i="13"/>
  <c r="A148" i="13" a="1"/>
  <c r="A148" i="13" s="1"/>
  <c r="C148" i="13" s="1"/>
  <c r="B149" i="14"/>
  <c r="F149" i="14"/>
  <c r="D149" i="14"/>
  <c r="G149" i="14"/>
  <c r="A150" i="14" a="1"/>
  <c r="A150" i="14" s="1"/>
  <c r="D150" i="14" s="1"/>
  <c r="H149" i="14"/>
  <c r="E149" i="14"/>
  <c r="A149" i="13" l="1" a="1"/>
  <c r="A149" i="13" s="1"/>
  <c r="G149" i="13" s="1"/>
  <c r="H148" i="13"/>
  <c r="E148" i="13"/>
  <c r="G148" i="13"/>
  <c r="B148" i="13"/>
  <c r="D148" i="13"/>
  <c r="F148" i="13"/>
  <c r="F150" i="14"/>
  <c r="E150" i="14"/>
  <c r="C150" i="14"/>
  <c r="B150" i="14"/>
  <c r="A151" i="14" a="1"/>
  <c r="A151" i="14" s="1"/>
  <c r="G151" i="14" s="1"/>
  <c r="G150" i="14"/>
  <c r="H150" i="14"/>
  <c r="B149" i="13" l="1"/>
  <c r="H149" i="13"/>
  <c r="F149" i="13"/>
  <c r="E149" i="13"/>
  <c r="C149" i="13"/>
  <c r="D149" i="13"/>
  <c r="A150" i="13" a="1"/>
  <c r="A150" i="13" s="1"/>
  <c r="F150" i="13" s="1"/>
  <c r="B151" i="14"/>
  <c r="C151" i="14"/>
  <c r="F151" i="14"/>
  <c r="H151" i="14"/>
  <c r="A152" i="14" a="1"/>
  <c r="A152" i="14" s="1"/>
  <c r="E152" i="14" s="1"/>
  <c r="E151" i="14"/>
  <c r="D151" i="14"/>
  <c r="A151" i="13" l="1" a="1"/>
  <c r="A151" i="13" s="1"/>
  <c r="F151" i="13" s="1"/>
  <c r="H150" i="13"/>
  <c r="G150" i="13"/>
  <c r="E150" i="13"/>
  <c r="D150" i="13"/>
  <c r="B150" i="13"/>
  <c r="C150" i="13"/>
  <c r="D152" i="14"/>
  <c r="B152" i="14"/>
  <c r="F152" i="14"/>
  <c r="C152" i="14"/>
  <c r="A153" i="14" a="1"/>
  <c r="A153" i="14" s="1"/>
  <c r="E153" i="14" s="1"/>
  <c r="H152" i="14"/>
  <c r="G152" i="14"/>
  <c r="B151" i="13" l="1"/>
  <c r="G151" i="13"/>
  <c r="H151" i="13"/>
  <c r="E151" i="13"/>
  <c r="D151" i="13"/>
  <c r="C151" i="13"/>
  <c r="A152" i="13" a="1"/>
  <c r="A152" i="13" s="1"/>
  <c r="C152" i="13" s="1"/>
  <c r="A154" i="14" a="1"/>
  <c r="A154" i="14" s="1"/>
  <c r="H154" i="14" s="1"/>
  <c r="G153" i="14"/>
  <c r="C153" i="14"/>
  <c r="F153" i="14"/>
  <c r="B153" i="14"/>
  <c r="D153" i="14"/>
  <c r="H153" i="14"/>
  <c r="E152" i="13" l="1"/>
  <c r="G152" i="13"/>
  <c r="F152" i="13"/>
  <c r="B152" i="13"/>
  <c r="A153" i="13" a="1"/>
  <c r="A153" i="13" s="1"/>
  <c r="H153" i="13" s="1"/>
  <c r="D152" i="13"/>
  <c r="H152" i="13"/>
  <c r="A155" i="14" a="1"/>
  <c r="A155" i="14" s="1"/>
  <c r="C155" i="14" s="1"/>
  <c r="G154" i="14"/>
  <c r="C154" i="14"/>
  <c r="E154" i="14"/>
  <c r="F154" i="14"/>
  <c r="B154" i="14"/>
  <c r="D154" i="14"/>
  <c r="D153" i="13" l="1"/>
  <c r="G153" i="13"/>
  <c r="F153" i="13"/>
  <c r="C153" i="13"/>
  <c r="B153" i="13"/>
  <c r="E153" i="13"/>
  <c r="A154" i="13" a="1"/>
  <c r="A154" i="13" s="1"/>
  <c r="F154" i="13" s="1"/>
  <c r="A156" i="14" a="1"/>
  <c r="A156" i="14" s="1"/>
  <c r="E156" i="14" s="1"/>
  <c r="H155" i="14"/>
  <c r="E155" i="14"/>
  <c r="B155" i="14"/>
  <c r="G155" i="14"/>
  <c r="F155" i="14"/>
  <c r="D155" i="14"/>
  <c r="A155" i="13" l="1" a="1"/>
  <c r="A155" i="13" s="1"/>
  <c r="D155" i="13" s="1"/>
  <c r="B154" i="13"/>
  <c r="D154" i="13"/>
  <c r="H154" i="13"/>
  <c r="E154" i="13"/>
  <c r="C154" i="13"/>
  <c r="G154" i="13"/>
  <c r="B156" i="14"/>
  <c r="F156" i="14"/>
  <c r="D156" i="14"/>
  <c r="G156" i="14"/>
  <c r="A157" i="14" a="1"/>
  <c r="A157" i="14" s="1"/>
  <c r="F157" i="14" s="1"/>
  <c r="H156" i="14"/>
  <c r="C156" i="14"/>
  <c r="E155" i="13" l="1"/>
  <c r="F155" i="13"/>
  <c r="C155" i="13"/>
  <c r="B155" i="13"/>
  <c r="H155" i="13"/>
  <c r="G155" i="13"/>
  <c r="A156" i="13" a="1"/>
  <c r="A156" i="13" s="1"/>
  <c r="C156" i="13" s="1"/>
  <c r="A158" i="14" a="1"/>
  <c r="A158" i="14" s="1"/>
  <c r="D158" i="14" s="1"/>
  <c r="E157" i="14"/>
  <c r="H157" i="14"/>
  <c r="B157" i="14"/>
  <c r="C157" i="14"/>
  <c r="D157" i="14"/>
  <c r="G157" i="14"/>
  <c r="H156" i="13" l="1"/>
  <c r="F156" i="13"/>
  <c r="B156" i="13"/>
  <c r="D156" i="13"/>
  <c r="A157" i="13" a="1"/>
  <c r="A157" i="13" s="1"/>
  <c r="D157" i="13" s="1"/>
  <c r="G156" i="13"/>
  <c r="E156" i="13"/>
  <c r="H158" i="14"/>
  <c r="B158" i="14"/>
  <c r="C158" i="14"/>
  <c r="E158" i="14"/>
  <c r="F158" i="14"/>
  <c r="G158" i="14"/>
  <c r="A159" i="14" a="1"/>
  <c r="A159" i="14" s="1"/>
  <c r="D159" i="14" s="1"/>
  <c r="E157" i="13" l="1"/>
  <c r="C157" i="13"/>
  <c r="G157" i="13"/>
  <c r="H157" i="13"/>
  <c r="F157" i="13"/>
  <c r="B157" i="13"/>
  <c r="A158" i="13" a="1"/>
  <c r="A158" i="13" s="1"/>
  <c r="G158" i="13" s="1"/>
  <c r="A160" i="14" a="1"/>
  <c r="A160" i="14" s="1"/>
  <c r="D160" i="14" s="1"/>
  <c r="C159" i="14"/>
  <c r="F159" i="14"/>
  <c r="H159" i="14"/>
  <c r="E159" i="14"/>
  <c r="B159" i="14"/>
  <c r="G159" i="14"/>
  <c r="A159" i="13" l="1" a="1"/>
  <c r="A159" i="13" s="1"/>
  <c r="E159" i="13" s="1"/>
  <c r="F158" i="13"/>
  <c r="H158" i="13"/>
  <c r="E158" i="13"/>
  <c r="B158" i="13"/>
  <c r="C158" i="13"/>
  <c r="D158" i="13"/>
  <c r="A161" i="14" a="1"/>
  <c r="A161" i="14" s="1"/>
  <c r="E161" i="14" s="1"/>
  <c r="C160" i="14"/>
  <c r="B160" i="14"/>
  <c r="E160" i="14"/>
  <c r="H160" i="14"/>
  <c r="F160" i="14"/>
  <c r="G160" i="14"/>
  <c r="B159" i="13" l="1"/>
  <c r="D159" i="13"/>
  <c r="H159" i="13"/>
  <c r="F159" i="13"/>
  <c r="C159" i="13"/>
  <c r="G159" i="13"/>
  <c r="A160" i="13" a="1"/>
  <c r="A160" i="13" s="1"/>
  <c r="G160" i="13" s="1"/>
  <c r="B161" i="14"/>
  <c r="D161" i="14"/>
  <c r="C161" i="14"/>
  <c r="G161" i="14"/>
  <c r="H161" i="14"/>
  <c r="F161" i="14"/>
  <c r="D160" i="13" l="1"/>
  <c r="E160" i="13"/>
  <c r="C160" i="13"/>
  <c r="F160" i="13"/>
  <c r="H160" i="13"/>
  <c r="B160" i="13"/>
  <c r="A161" i="13" a="1"/>
  <c r="A161" i="13" s="1"/>
  <c r="H161" i="13" s="1"/>
  <c r="F161" i="13" l="1"/>
  <c r="B161" i="13"/>
  <c r="A162" i="13" a="1"/>
  <c r="A162" i="13" s="1"/>
  <c r="E162" i="13" s="1"/>
  <c r="D161" i="13"/>
  <c r="E161" i="13"/>
  <c r="C161" i="13"/>
  <c r="G161" i="13"/>
  <c r="B162" i="13" l="1"/>
  <c r="C162" i="13"/>
  <c r="G162" i="13"/>
  <c r="D162" i="13"/>
  <c r="A163" i="13" a="1"/>
  <c r="A163" i="13" s="1"/>
  <c r="B163" i="13" s="1"/>
  <c r="H162" i="13"/>
  <c r="F162" i="13"/>
  <c r="C163" i="13" l="1"/>
  <c r="G163" i="13"/>
  <c r="A164" i="13" a="1"/>
  <c r="A164" i="13" s="1"/>
  <c r="C164" i="13" s="1"/>
  <c r="F163" i="13"/>
  <c r="E163" i="13"/>
  <c r="D163" i="13"/>
  <c r="H163" i="13"/>
  <c r="B164" i="13" l="1"/>
  <c r="F164" i="13"/>
  <c r="H164" i="13"/>
  <c r="D164" i="13"/>
  <c r="G164" i="13"/>
  <c r="E164" i="13"/>
  <c r="A165" i="13" a="1"/>
  <c r="A165" i="13" s="1"/>
  <c r="E165" i="13" s="1"/>
  <c r="A166" i="13" l="1" a="1"/>
  <c r="A166" i="13" s="1"/>
  <c r="E166" i="13" s="1"/>
  <c r="D165" i="13"/>
  <c r="C165" i="13"/>
  <c r="G165" i="13"/>
  <c r="H165" i="13"/>
  <c r="B165" i="13"/>
  <c r="F165" i="13"/>
  <c r="B166" i="13" l="1"/>
  <c r="C166" i="13"/>
  <c r="F166" i="13"/>
  <c r="H166" i="13"/>
  <c r="A167" i="13" a="1"/>
  <c r="A167" i="13" s="1"/>
  <c r="B167" i="13" s="1"/>
  <c r="G166" i="13"/>
  <c r="D166" i="13"/>
  <c r="C167" i="13" l="1"/>
  <c r="E167" i="13"/>
  <c r="A168" i="13" a="1"/>
  <c r="A168" i="13" s="1"/>
  <c r="F168" i="13" s="1"/>
  <c r="G167" i="13"/>
  <c r="H167" i="13"/>
  <c r="D167" i="13"/>
  <c r="F167" i="13"/>
  <c r="E168" i="13" l="1"/>
  <c r="C168" i="13"/>
  <c r="G168" i="13"/>
  <c r="H168" i="13"/>
  <c r="B168" i="13"/>
  <c r="D168" i="13"/>
  <c r="A169" i="13" a="1"/>
  <c r="A169" i="13" s="1"/>
  <c r="F169" i="13" s="1"/>
  <c r="H169" i="13" l="1"/>
  <c r="B169" i="13"/>
  <c r="A170" i="13" a="1"/>
  <c r="A170" i="13" s="1"/>
  <c r="A171" i="13" s="1" a="1"/>
  <c r="A171" i="13" s="1"/>
  <c r="D169" i="13"/>
  <c r="E169" i="13"/>
  <c r="C169" i="13"/>
  <c r="G169" i="13"/>
  <c r="H170" i="13" l="1"/>
  <c r="D170" i="13"/>
  <c r="E170" i="13"/>
  <c r="F170" i="13"/>
  <c r="B170" i="13"/>
  <c r="C170" i="13"/>
  <c r="G170" i="13"/>
  <c r="F171" i="13"/>
  <c r="B171" i="13"/>
  <c r="D171" i="13"/>
  <c r="H171" i="13"/>
  <c r="C171" i="13"/>
  <c r="G171" i="13"/>
  <c r="E171" i="13"/>
  <c r="A172" i="13" a="1"/>
  <c r="A172" i="13" s="1"/>
  <c r="D172" i="13" l="1"/>
  <c r="E172" i="13"/>
  <c r="C172" i="13"/>
  <c r="H172" i="13"/>
  <c r="B172" i="13"/>
  <c r="F172" i="13"/>
  <c r="G172" i="13"/>
  <c r="A173" i="13" a="1"/>
  <c r="A173" i="13" s="1"/>
  <c r="B173" i="13" l="1"/>
  <c r="F173" i="13"/>
  <c r="C173" i="13"/>
  <c r="E173" i="13"/>
  <c r="D173" i="13"/>
  <c r="H173" i="13"/>
  <c r="G173" i="13"/>
  <c r="A174" i="13" a="1"/>
  <c r="A174" i="13" s="1"/>
  <c r="C174" i="13" l="1"/>
  <c r="G174" i="13"/>
  <c r="E174" i="13"/>
  <c r="F174" i="13"/>
  <c r="B174" i="13"/>
  <c r="H174" i="13"/>
  <c r="D174" i="13"/>
  <c r="A175" i="13" a="1"/>
  <c r="A175" i="13" s="1"/>
  <c r="G175" i="13" l="1"/>
  <c r="H175" i="13"/>
  <c r="D175" i="13"/>
  <c r="E175" i="13"/>
  <c r="B175" i="13"/>
  <c r="F175" i="13"/>
  <c r="C175" i="13"/>
  <c r="A176" i="13" a="1"/>
  <c r="A176" i="13" s="1"/>
  <c r="C176" i="13" l="1"/>
  <c r="H176" i="13"/>
  <c r="B176" i="13"/>
  <c r="G176" i="13"/>
  <c r="D176" i="13"/>
  <c r="F176" i="13"/>
  <c r="E176" i="13"/>
  <c r="A177" i="13" a="1"/>
  <c r="A177" i="13" s="1"/>
  <c r="C177" i="13" l="1"/>
  <c r="F177" i="13"/>
  <c r="B177" i="13"/>
  <c r="D177" i="13"/>
  <c r="H177" i="13"/>
  <c r="G177" i="13"/>
  <c r="E177" i="13"/>
  <c r="A178" i="13" a="1"/>
  <c r="A178" i="13" s="1"/>
  <c r="B178" i="13" l="1"/>
  <c r="G178" i="13"/>
  <c r="C178" i="13"/>
  <c r="E178" i="13"/>
  <c r="D178" i="13"/>
  <c r="F178" i="13"/>
  <c r="H178" i="13"/>
  <c r="A179" i="13" a="1"/>
  <c r="A179" i="13" s="1"/>
  <c r="F179" i="13" l="1"/>
  <c r="B179" i="13"/>
  <c r="D179" i="13"/>
  <c r="E179" i="13"/>
  <c r="C179" i="13"/>
  <c r="G179" i="13"/>
  <c r="H179" i="13"/>
  <c r="A180" i="13" a="1"/>
  <c r="A180" i="13" s="1"/>
  <c r="C180" i="13" l="1"/>
  <c r="G180" i="13"/>
  <c r="E180" i="13"/>
  <c r="B180" i="13"/>
  <c r="F180" i="13"/>
  <c r="D180" i="13"/>
  <c r="H180" i="13"/>
  <c r="A181" i="13" a="1"/>
  <c r="A181" i="13" s="1"/>
  <c r="D181" i="13" l="1"/>
  <c r="H181" i="13"/>
  <c r="E181" i="13"/>
  <c r="C181" i="13"/>
  <c r="F181" i="13"/>
  <c r="G181" i="13"/>
  <c r="B181" i="13"/>
  <c r="A182" i="13" a="1"/>
  <c r="A182" i="13" s="1"/>
  <c r="C182" i="13" l="1"/>
  <c r="F182" i="13"/>
  <c r="G182" i="13"/>
  <c r="E182" i="13"/>
  <c r="D182" i="13"/>
  <c r="H182" i="13"/>
  <c r="B182" i="13"/>
  <c r="A183" i="13" a="1"/>
  <c r="A183" i="13" s="1"/>
  <c r="F183" i="13" l="1"/>
  <c r="H183" i="13"/>
  <c r="D183" i="13"/>
  <c r="E183" i="13"/>
  <c r="C183" i="13"/>
  <c r="G183" i="13"/>
  <c r="B183" i="13"/>
  <c r="A184" i="13" a="1"/>
  <c r="A184" i="13" s="1"/>
  <c r="C184" i="13" l="1"/>
  <c r="F184" i="13"/>
  <c r="B184" i="13"/>
  <c r="E184" i="13"/>
  <c r="D184" i="13"/>
  <c r="G184" i="13"/>
  <c r="H184" i="13"/>
  <c r="A185" i="13" a="1"/>
  <c r="A185" i="13" s="1"/>
  <c r="C185" i="13" l="1"/>
  <c r="H185" i="13"/>
  <c r="B185" i="13"/>
  <c r="D185" i="13"/>
  <c r="F185" i="13"/>
  <c r="G185" i="13"/>
  <c r="E185" i="13"/>
  <c r="A186" i="13" a="1"/>
  <c r="A186" i="13" s="1"/>
  <c r="B186" i="13" l="1"/>
  <c r="H186" i="13"/>
  <c r="C186" i="13"/>
  <c r="G186" i="13"/>
  <c r="D186" i="13"/>
  <c r="E186" i="13"/>
  <c r="F186" i="13"/>
  <c r="A187" i="13" a="1"/>
  <c r="A187" i="13" s="1"/>
  <c r="F187" i="13" l="1"/>
  <c r="B187" i="13"/>
  <c r="D187" i="13"/>
  <c r="E187" i="13"/>
  <c r="C187" i="13"/>
  <c r="H187" i="13"/>
  <c r="G187" i="13"/>
  <c r="A188" i="13" a="1"/>
  <c r="A188" i="13" s="1"/>
  <c r="D188" i="13" l="1"/>
  <c r="H188" i="13"/>
  <c r="E188" i="13"/>
  <c r="C188" i="13"/>
  <c r="F188" i="13"/>
  <c r="B188" i="13"/>
  <c r="G188" i="13"/>
  <c r="A189" i="13" a="1"/>
  <c r="A189" i="13" s="1"/>
  <c r="B189" i="13" l="1"/>
  <c r="E189" i="13"/>
  <c r="G189" i="13"/>
  <c r="D189" i="13"/>
  <c r="H189" i="13"/>
  <c r="F189" i="13"/>
  <c r="C189" i="13"/>
  <c r="A190" i="13" a="1"/>
  <c r="A190" i="13" s="1"/>
  <c r="C190" i="13" l="1"/>
  <c r="E190" i="13"/>
  <c r="F190" i="13"/>
  <c r="B190" i="13"/>
  <c r="H190" i="13"/>
  <c r="D190" i="13"/>
  <c r="G190" i="13"/>
  <c r="A191" i="13" a="1"/>
  <c r="A191" i="13" s="1"/>
  <c r="F191" i="13" l="1"/>
  <c r="B191" i="13"/>
  <c r="D191" i="13"/>
  <c r="E191" i="13"/>
  <c r="C191" i="13"/>
  <c r="G191" i="13"/>
  <c r="H191" i="13"/>
  <c r="A192" i="13" a="1"/>
  <c r="A192" i="13" s="1"/>
  <c r="D192" i="13" l="1"/>
  <c r="G192" i="13"/>
  <c r="E192" i="13"/>
  <c r="C192" i="13"/>
  <c r="F192" i="13"/>
  <c r="B192" i="13"/>
  <c r="H192" i="13"/>
  <c r="A193" i="13" a="1"/>
  <c r="A193" i="13" s="1"/>
  <c r="B193" i="13" l="1"/>
  <c r="F193" i="13"/>
  <c r="E193" i="13"/>
  <c r="D193" i="13"/>
  <c r="H193" i="13"/>
  <c r="G193" i="13"/>
  <c r="C193" i="13"/>
  <c r="A194" i="13" a="1"/>
  <c r="A194" i="13" s="1"/>
  <c r="C194" i="13" l="1"/>
  <c r="G194" i="13"/>
  <c r="H194" i="13"/>
  <c r="E194" i="13"/>
  <c r="B194" i="13"/>
  <c r="F194" i="13"/>
  <c r="D194" i="13"/>
  <c r="A195" i="13" a="1"/>
  <c r="A195" i="13" s="1"/>
  <c r="F195" i="13" l="1"/>
  <c r="H195" i="13"/>
  <c r="D195" i="13"/>
  <c r="E195" i="13"/>
  <c r="C195" i="13"/>
  <c r="G195" i="13"/>
  <c r="B195" i="13"/>
  <c r="A196" i="13" a="1"/>
  <c r="A196" i="13" s="1"/>
  <c r="D196" i="13" l="1"/>
  <c r="F196" i="13"/>
  <c r="C196" i="13"/>
  <c r="H196" i="13"/>
  <c r="B196" i="13"/>
  <c r="G196" i="13"/>
  <c r="E196" i="13"/>
  <c r="A197" i="13" a="1"/>
  <c r="A197" i="13" s="1"/>
  <c r="B197" i="13" l="1"/>
  <c r="E197" i="13"/>
  <c r="C197" i="13"/>
  <c r="D197" i="13"/>
  <c r="H197" i="13"/>
  <c r="F197" i="13"/>
  <c r="G197" i="13"/>
  <c r="A198" i="13" a="1"/>
  <c r="A198" i="13" s="1"/>
  <c r="C198" i="13" l="1"/>
  <c r="E198" i="13"/>
  <c r="D198" i="13"/>
  <c r="G198" i="13"/>
  <c r="B198" i="13"/>
  <c r="H198" i="13"/>
  <c r="F198" i="13"/>
  <c r="A199" i="13" a="1"/>
  <c r="A199" i="13" s="1"/>
  <c r="E199" i="13" l="1"/>
  <c r="B199" i="13"/>
  <c r="D199" i="13"/>
  <c r="G199" i="13"/>
  <c r="C199" i="13"/>
  <c r="F199" i="13"/>
  <c r="H199" i="13"/>
  <c r="A200" i="13" a="1"/>
  <c r="A200" i="13" s="1"/>
  <c r="D200" i="13" l="1"/>
  <c r="H200" i="13"/>
  <c r="E200" i="13"/>
  <c r="C200" i="13"/>
  <c r="F200" i="13"/>
  <c r="B200" i="13"/>
  <c r="G200" i="13"/>
  <c r="A201" i="13" a="1"/>
  <c r="A201" i="13" s="1"/>
  <c r="B201" i="13" l="1"/>
  <c r="F201" i="13"/>
  <c r="E201" i="13"/>
  <c r="D201" i="13"/>
  <c r="H201" i="13"/>
  <c r="G201" i="13"/>
  <c r="C201" i="13"/>
  <c r="A202" i="13" a="1"/>
  <c r="A202" i="13" s="1"/>
  <c r="C202" i="13" l="1"/>
  <c r="F202" i="13"/>
  <c r="H202" i="13"/>
  <c r="G202" i="13"/>
  <c r="B202" i="13"/>
  <c r="E202" i="13"/>
  <c r="D202" i="13"/>
  <c r="A203" i="13" a="1"/>
  <c r="A203" i="13" s="1"/>
  <c r="F203" i="13" l="1"/>
  <c r="B203" i="13"/>
  <c r="D203" i="13"/>
  <c r="H203" i="13"/>
  <c r="C203" i="13"/>
  <c r="E203" i="13"/>
  <c r="G203" i="13"/>
  <c r="A204" i="13" a="1"/>
  <c r="A204" i="13" s="1"/>
  <c r="D204" i="13" l="1"/>
  <c r="E204" i="13"/>
  <c r="G204" i="13"/>
  <c r="C204" i="13"/>
  <c r="H204" i="13"/>
  <c r="B204" i="13"/>
  <c r="F204" i="13"/>
  <c r="A205" i="13" a="1"/>
  <c r="A205" i="13" s="1"/>
  <c r="B205" i="13" l="1"/>
  <c r="H205" i="13"/>
  <c r="E205" i="13"/>
  <c r="D205" i="13"/>
  <c r="F205" i="13"/>
  <c r="G205" i="13"/>
  <c r="C205" i="13"/>
  <c r="A206" i="13" a="1"/>
  <c r="A206" i="13" s="1"/>
  <c r="C206" i="13" l="1"/>
  <c r="E206" i="13"/>
  <c r="G206" i="13"/>
  <c r="F206" i="13"/>
  <c r="B206" i="13"/>
  <c r="H206" i="13"/>
  <c r="D206" i="13"/>
  <c r="A207" i="13" a="1"/>
  <c r="A207" i="13" s="1"/>
  <c r="F207" i="13" l="1"/>
  <c r="G207" i="13"/>
  <c r="D207" i="13"/>
  <c r="E207" i="13"/>
  <c r="C207" i="13"/>
  <c r="H207" i="13"/>
  <c r="B207" i="13"/>
  <c r="A208" i="13" a="1"/>
  <c r="A208" i="13" s="1"/>
  <c r="D208" i="13" l="1"/>
  <c r="G208" i="13"/>
  <c r="C208" i="13"/>
  <c r="H208" i="13"/>
  <c r="B208" i="13"/>
  <c r="F208" i="13"/>
  <c r="E208" i="13"/>
  <c r="A209" i="13" a="1"/>
  <c r="A209" i="13" s="1"/>
  <c r="B209" i="13" l="1"/>
  <c r="F209" i="13"/>
  <c r="C209" i="13"/>
  <c r="D209" i="13"/>
  <c r="H209" i="13"/>
  <c r="G209" i="13"/>
  <c r="E209" i="13"/>
  <c r="A210" i="13" a="1"/>
  <c r="A210" i="13" s="1"/>
  <c r="C210" i="13" l="1"/>
  <c r="G210" i="13"/>
  <c r="H210" i="13"/>
  <c r="E210" i="13"/>
  <c r="B210" i="13"/>
  <c r="F210" i="13"/>
  <c r="D210" i="13"/>
  <c r="A211" i="13" a="1"/>
  <c r="A211" i="13" s="1"/>
  <c r="F211" i="13" l="1"/>
  <c r="H211" i="13"/>
  <c r="D211" i="13"/>
  <c r="E211" i="13"/>
  <c r="C211" i="13"/>
  <c r="G211" i="13"/>
  <c r="B211" i="13"/>
  <c r="A212" i="13" a="1"/>
  <c r="A212" i="13" s="1"/>
  <c r="D212" i="13" l="1"/>
  <c r="G212" i="13"/>
  <c r="C212" i="13"/>
  <c r="H212" i="13"/>
  <c r="B212" i="13"/>
  <c r="F212" i="13"/>
  <c r="E212" i="13"/>
  <c r="A213" i="13" a="1"/>
  <c r="A213" i="13" s="1"/>
  <c r="B213" i="13" l="1"/>
  <c r="F213" i="13"/>
  <c r="C213" i="13"/>
  <c r="D213" i="13"/>
  <c r="H213" i="13"/>
  <c r="G213" i="13"/>
  <c r="E213" i="13"/>
  <c r="A214" i="13" a="1"/>
  <c r="A214" i="13" s="1"/>
  <c r="C214" i="13" l="1"/>
  <c r="G214" i="13"/>
  <c r="D214" i="13"/>
  <c r="E214" i="13"/>
  <c r="B214" i="13"/>
  <c r="H214" i="13"/>
  <c r="F214" i="13"/>
  <c r="A215" i="13" a="1"/>
  <c r="A215" i="13" s="1"/>
  <c r="F215" i="13" l="1"/>
  <c r="B215" i="13"/>
  <c r="D215" i="13"/>
  <c r="E215" i="13"/>
  <c r="C215" i="13"/>
  <c r="G215" i="13"/>
  <c r="H215" i="13"/>
  <c r="A216" i="13" a="1"/>
  <c r="A216" i="13" s="1"/>
  <c r="D216" i="13" l="1"/>
  <c r="H216" i="13"/>
  <c r="E216" i="13"/>
  <c r="C216" i="13"/>
  <c r="F216" i="13"/>
  <c r="B216" i="13"/>
  <c r="G216" i="13"/>
  <c r="A217" i="13" a="1"/>
  <c r="A217" i="13" s="1"/>
  <c r="C217" i="13" l="1"/>
  <c r="F217" i="13"/>
  <c r="E217" i="13"/>
  <c r="B217" i="13"/>
  <c r="H217" i="13"/>
  <c r="G217" i="13"/>
  <c r="D217" i="13"/>
  <c r="A218" i="13" a="1"/>
  <c r="A218" i="13" s="1"/>
  <c r="D218" i="13" l="1"/>
  <c r="F218" i="13"/>
  <c r="E218" i="13"/>
  <c r="G218" i="13"/>
  <c r="C218" i="13"/>
  <c r="H218" i="13"/>
  <c r="B218" i="13"/>
  <c r="A219" i="13" a="1"/>
  <c r="A219" i="13" s="1"/>
  <c r="F219" i="13" l="1"/>
  <c r="H219" i="13"/>
  <c r="B219" i="13"/>
  <c r="E219" i="13"/>
  <c r="D219" i="13"/>
  <c r="G219" i="13"/>
  <c r="C219" i="13"/>
  <c r="A220" i="13" a="1"/>
  <c r="A220" i="13" s="1"/>
  <c r="D220" i="13" l="1"/>
  <c r="H220" i="13"/>
  <c r="C220" i="13"/>
  <c r="F220" i="13"/>
  <c r="B220" i="13"/>
  <c r="G220" i="13"/>
  <c r="E220" i="13"/>
  <c r="A221" i="13" a="1"/>
  <c r="A221" i="13" s="1"/>
  <c r="C221" i="13" l="1"/>
  <c r="E221" i="13"/>
  <c r="D221" i="13"/>
  <c r="B221" i="13"/>
  <c r="H221" i="13"/>
  <c r="F221" i="13"/>
  <c r="G221" i="13"/>
  <c r="A222" i="13" a="1"/>
  <c r="A222" i="13" s="1"/>
  <c r="D222" i="13" l="1"/>
  <c r="E222" i="13"/>
  <c r="B222" i="13"/>
  <c r="F222" i="13"/>
  <c r="C222" i="13"/>
  <c r="H222" i="13"/>
  <c r="G222" i="13"/>
  <c r="A223" i="13" a="1"/>
  <c r="A223" i="13" s="1"/>
  <c r="F223" i="13" l="1"/>
  <c r="C223" i="13"/>
  <c r="B223" i="13"/>
  <c r="G223" i="13"/>
  <c r="D223" i="13"/>
  <c r="H223" i="13"/>
  <c r="E223" i="13"/>
  <c r="A224" i="13" a="1"/>
  <c r="A224" i="13" s="1"/>
  <c r="D224" i="13" l="1"/>
  <c r="G224" i="13"/>
  <c r="E224" i="13"/>
  <c r="C224" i="13"/>
  <c r="H224" i="13"/>
  <c r="B224" i="13"/>
  <c r="F224" i="13"/>
  <c r="A225" i="13" a="1"/>
  <c r="A225" i="13" s="1"/>
  <c r="C225" i="13" l="1"/>
  <c r="F225" i="13"/>
  <c r="E225" i="13"/>
  <c r="B225" i="13"/>
  <c r="H225" i="13"/>
  <c r="G225" i="13"/>
  <c r="D225" i="13"/>
  <c r="A226" i="13" a="1"/>
  <c r="A226" i="13" s="1"/>
  <c r="D226" i="13" l="1"/>
  <c r="G226" i="13"/>
  <c r="H226" i="13"/>
  <c r="E226" i="13"/>
  <c r="C226" i="13"/>
  <c r="F226" i="13"/>
  <c r="B226" i="13"/>
  <c r="A227" i="13" a="1"/>
  <c r="A227" i="13" s="1"/>
  <c r="F227" i="13" l="1"/>
  <c r="H227" i="13"/>
  <c r="B227" i="13"/>
  <c r="E227" i="13"/>
  <c r="D227" i="13"/>
  <c r="G227" i="13"/>
  <c r="C227" i="13"/>
  <c r="A228" i="13" a="1"/>
  <c r="A228" i="13" s="1"/>
  <c r="D228" i="13" l="1"/>
  <c r="H228" i="13"/>
  <c r="C228" i="13"/>
  <c r="F228" i="13"/>
  <c r="B228" i="13"/>
  <c r="G228" i="13"/>
  <c r="E228" i="13"/>
  <c r="A229" i="13" a="1"/>
  <c r="A229" i="13" s="1"/>
  <c r="C229" i="13" l="1"/>
  <c r="E229" i="13"/>
  <c r="D229" i="13"/>
  <c r="B229" i="13"/>
  <c r="H229" i="13"/>
  <c r="F229" i="13"/>
  <c r="G229" i="13"/>
  <c r="A230" i="13" a="1"/>
  <c r="A230" i="13" s="1"/>
  <c r="D230" i="13" l="1"/>
  <c r="E230" i="13"/>
  <c r="B230" i="13"/>
  <c r="G230" i="13"/>
  <c r="C230" i="13"/>
  <c r="F230" i="13"/>
  <c r="H230" i="13"/>
  <c r="A231" i="13" a="1"/>
  <c r="A231" i="13" s="1"/>
  <c r="E231" i="13" l="1"/>
  <c r="C231" i="13"/>
  <c r="B231" i="13"/>
  <c r="G231" i="13"/>
  <c r="D231" i="13"/>
  <c r="H231" i="13"/>
  <c r="F231" i="13"/>
  <c r="A232" i="13" a="1"/>
  <c r="A232" i="13" s="1"/>
  <c r="D232" i="13" l="1"/>
  <c r="H232" i="13"/>
  <c r="E232" i="13"/>
  <c r="C232" i="13"/>
  <c r="F232" i="13"/>
  <c r="B232" i="13"/>
  <c r="G232" i="13"/>
  <c r="A233" i="13" a="1"/>
  <c r="A233" i="13" s="1"/>
  <c r="C233" i="13" l="1"/>
  <c r="H233" i="13"/>
  <c r="E233" i="13"/>
  <c r="B233" i="13"/>
  <c r="F233" i="13"/>
  <c r="G233" i="13"/>
  <c r="D233" i="13"/>
  <c r="A234" i="13" a="1"/>
  <c r="A234" i="13" s="1"/>
  <c r="D234" i="13" l="1"/>
  <c r="H234" i="13"/>
  <c r="E234" i="13"/>
  <c r="G234" i="13"/>
  <c r="C234" i="13"/>
  <c r="F234" i="13"/>
  <c r="B234" i="13"/>
  <c r="A235" i="13" a="1"/>
  <c r="A235" i="13" s="1"/>
  <c r="F235" i="13" l="1"/>
  <c r="G235" i="13"/>
  <c r="B235" i="13"/>
  <c r="H235" i="13"/>
  <c r="D235" i="13"/>
  <c r="E235" i="13"/>
  <c r="C235" i="13"/>
  <c r="A236" i="13" a="1"/>
  <c r="A236" i="13" s="1"/>
  <c r="D236" i="13" l="1"/>
  <c r="E236" i="13"/>
  <c r="C236" i="13"/>
  <c r="H236" i="13"/>
  <c r="B236" i="13"/>
  <c r="F236" i="13"/>
  <c r="G236" i="13"/>
  <c r="A237" i="13" a="1"/>
  <c r="A237" i="13" s="1"/>
  <c r="C237" i="13" l="1"/>
  <c r="F237" i="13"/>
  <c r="D237" i="13"/>
  <c r="B237" i="13"/>
  <c r="H237" i="13"/>
  <c r="G237" i="13"/>
  <c r="E237" i="13"/>
  <c r="A238" i="13" a="1"/>
  <c r="A238" i="13" s="1"/>
  <c r="D238" i="13" l="1"/>
  <c r="G238" i="13"/>
  <c r="B238" i="13"/>
  <c r="E238" i="13"/>
  <c r="C238" i="13"/>
  <c r="F238" i="13"/>
  <c r="H238" i="13"/>
  <c r="A239" i="13" a="1"/>
  <c r="A239" i="13" s="1"/>
  <c r="H239" i="13" l="1"/>
  <c r="C239" i="13"/>
  <c r="B239" i="13"/>
  <c r="G239" i="13"/>
  <c r="D239" i="13"/>
  <c r="E239" i="13"/>
  <c r="F239" i="13"/>
  <c r="A240" i="13" a="1"/>
  <c r="A240" i="13" s="1"/>
  <c r="D240" i="13" l="1"/>
  <c r="H240" i="13"/>
  <c r="F240" i="13"/>
  <c r="C240" i="13"/>
  <c r="G240" i="13"/>
  <c r="B240" i="13"/>
  <c r="E240" i="13"/>
  <c r="A241" i="13" a="1"/>
  <c r="A241" i="13" s="1"/>
  <c r="C241" i="13" l="1"/>
  <c r="H241" i="13"/>
  <c r="E241" i="13"/>
  <c r="B241" i="13"/>
  <c r="F241" i="13"/>
  <c r="G241" i="13"/>
  <c r="D241" i="13"/>
  <c r="A242" i="13" a="1"/>
  <c r="A242" i="13" s="1"/>
  <c r="D242" i="13" l="1"/>
  <c r="H242" i="13"/>
  <c r="F242" i="13"/>
  <c r="E242" i="13"/>
  <c r="C242" i="13"/>
  <c r="G242" i="13"/>
  <c r="B242" i="13"/>
  <c r="A243" i="13" a="1"/>
  <c r="A243" i="13" s="1"/>
  <c r="F243" i="13" l="1"/>
  <c r="B243" i="13"/>
  <c r="E243" i="13"/>
  <c r="H243" i="13"/>
  <c r="G243" i="13"/>
  <c r="D243" i="13"/>
  <c r="C243" i="13"/>
  <c r="A244" i="13" a="1"/>
  <c r="A244" i="13" s="1"/>
  <c r="F244" i="13" l="1"/>
  <c r="D244" i="13"/>
  <c r="E244" i="13"/>
  <c r="B244" i="13"/>
  <c r="C244" i="13"/>
  <c r="G244" i="13"/>
  <c r="H244" i="13"/>
  <c r="A245" i="13" a="1"/>
  <c r="A245" i="13" s="1"/>
  <c r="H245" i="13" l="1"/>
  <c r="G245" i="13"/>
  <c r="C245" i="13"/>
  <c r="E245" i="13"/>
  <c r="F245" i="13"/>
  <c r="D245" i="13"/>
  <c r="B245" i="13"/>
  <c r="A246" i="13" a="1"/>
  <c r="A246" i="13" s="1"/>
  <c r="D246" i="13" l="1"/>
  <c r="F246" i="13"/>
  <c r="H246" i="13"/>
  <c r="E246" i="13"/>
  <c r="C246" i="13"/>
  <c r="G246" i="13"/>
  <c r="B246" i="13"/>
  <c r="A247" i="13" a="1"/>
  <c r="A247" i="13" s="1"/>
  <c r="H247" i="13" l="1"/>
  <c r="B247" i="13"/>
  <c r="G247" i="13"/>
  <c r="E247" i="13"/>
  <c r="D247" i="13"/>
  <c r="C247" i="13"/>
  <c r="F247" i="13"/>
  <c r="A248" i="13" a="1"/>
  <c r="A248" i="13" s="1"/>
  <c r="F248" i="13" l="1"/>
  <c r="H248" i="13"/>
  <c r="C248" i="13"/>
  <c r="D248" i="13"/>
  <c r="E248" i="13"/>
  <c r="G248" i="13"/>
  <c r="B248" i="13"/>
  <c r="A249" i="13" a="1"/>
  <c r="A249" i="13" s="1"/>
  <c r="D249" i="13" l="1"/>
  <c r="C249" i="13"/>
  <c r="H249" i="13"/>
  <c r="B249" i="13"/>
  <c r="F249" i="13"/>
  <c r="E249" i="13"/>
  <c r="G249" i="13"/>
  <c r="A250" i="13" a="1"/>
  <c r="A250" i="13" s="1"/>
  <c r="F250" i="13" l="1"/>
  <c r="C250" i="13"/>
  <c r="G250" i="13"/>
  <c r="H250" i="13"/>
  <c r="D250" i="13"/>
  <c r="B250" i="13"/>
  <c r="E250" i="13"/>
  <c r="A251" i="13" a="1"/>
  <c r="A251" i="13" s="1"/>
  <c r="G251" i="13" l="1"/>
  <c r="B251" i="13"/>
  <c r="E251" i="13"/>
  <c r="F251" i="13"/>
  <c r="C251" i="13"/>
  <c r="H251" i="13"/>
  <c r="D251" i="13"/>
  <c r="A252" i="13" a="1"/>
  <c r="A252" i="13" s="1"/>
  <c r="B252" i="13" l="1"/>
  <c r="G252" i="13"/>
  <c r="F252" i="13"/>
  <c r="E252" i="13"/>
  <c r="D252" i="13"/>
  <c r="C252" i="13"/>
  <c r="H252" i="13"/>
  <c r="A253" i="13" a="1"/>
  <c r="A253" i="13" s="1"/>
  <c r="F253" i="13" l="1"/>
  <c r="H253" i="13"/>
  <c r="D253" i="13"/>
  <c r="E253" i="13"/>
  <c r="B253" i="13"/>
  <c r="C253" i="13"/>
  <c r="G253" i="13"/>
  <c r="A254" i="13" a="1"/>
  <c r="A254" i="13" s="1"/>
  <c r="F254" i="13" l="1"/>
  <c r="E254" i="13"/>
  <c r="H254" i="13"/>
  <c r="C254" i="13"/>
  <c r="D254" i="13"/>
  <c r="B254" i="13"/>
  <c r="G254" i="13"/>
  <c r="A255" i="13" a="1"/>
  <c r="A255" i="13" s="1"/>
  <c r="H255" i="13" l="1"/>
  <c r="G255" i="13"/>
  <c r="D255" i="13"/>
  <c r="E255" i="13"/>
  <c r="B255" i="13"/>
  <c r="C255" i="13"/>
  <c r="F255" i="13"/>
  <c r="A256" i="13" a="1"/>
  <c r="A256" i="13" s="1"/>
  <c r="H256" i="13" l="1"/>
  <c r="G256" i="13"/>
  <c r="F256" i="13"/>
  <c r="E256" i="13"/>
  <c r="D256" i="13"/>
  <c r="B256" i="13"/>
  <c r="C256" i="13"/>
  <c r="A257" i="13" a="1"/>
  <c r="A257" i="13" s="1"/>
  <c r="B257" i="13" l="1"/>
  <c r="H257" i="13"/>
  <c r="G257" i="13"/>
  <c r="D257" i="13"/>
  <c r="E257" i="13"/>
  <c r="C257" i="13"/>
  <c r="F257" i="13"/>
  <c r="A258" i="13" a="1"/>
  <c r="A258" i="13" s="1"/>
  <c r="C258" i="13" l="1"/>
  <c r="G258" i="13"/>
  <c r="H258" i="13"/>
  <c r="E258" i="13"/>
  <c r="D258" i="13"/>
  <c r="F258" i="13"/>
  <c r="B258" i="13"/>
  <c r="A259" i="13" a="1"/>
  <c r="A259" i="13" s="1"/>
  <c r="H259" i="13" l="1"/>
  <c r="B259" i="13"/>
  <c r="E259" i="13"/>
  <c r="G259" i="13"/>
  <c r="D259" i="13"/>
  <c r="F259" i="13"/>
  <c r="C259" i="13"/>
</calcChain>
</file>

<file path=xl/sharedStrings.xml><?xml version="1.0" encoding="utf-8"?>
<sst xmlns="http://schemas.openxmlformats.org/spreadsheetml/2006/main" count="5118" uniqueCount="2979">
  <si>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</si>
  <si>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</si>
  <si>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</si>
  <si>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</si>
  <si>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</si>
  <si>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</si>
  <si>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</si>
  <si>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</si>
  <si>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</si>
  <si>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</si>
  <si>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</si>
  <si>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</si>
  <si>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</si>
  <si>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</si>
  <si>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</si>
  <si>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</si>
  <si>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</si>
  <si>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</si>
  <si>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</si>
  <si>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</si>
  <si>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</si>
  <si>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</si>
  <si>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</si>
  <si>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</si>
  <si>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</si>
  <si>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</si>
  <si>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</si>
  <si>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</si>
  <si>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</si>
  <si>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</si>
  <si>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</si>
  <si>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</si>
  <si>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</si>
  <si>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</si>
  <si>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</si>
  <si>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</si>
  <si>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</si>
  <si>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</si>
  <si>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</si>
  <si>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</si>
  <si>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</si>
  <si>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</si>
  <si>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</si>
  <si>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</si>
  <si>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</si>
  <si>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</si>
  <si>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</si>
  <si>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</si>
  <si>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</si>
  <si>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</si>
  <si>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</si>
  <si>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</si>
  <si>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</si>
  <si>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</si>
  <si>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</si>
  <si>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</si>
  <si>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</si>
  <si>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</si>
  <si>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</si>
  <si>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</si>
  <si>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</si>
  <si>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</si>
  <si>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</si>
  <si>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</si>
  <si>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</si>
  <si>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</si>
  <si>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</si>
  <si>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</si>
  <si>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</si>
  <si>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</si>
  <si>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</si>
  <si>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</si>
  <si>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</si>
  <si>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</si>
  <si>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</si>
  <si>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</si>
  <si>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</si>
  <si>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</si>
  <si>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</si>
  <si>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</si>
  <si>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</si>
  <si>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</si>
  <si>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</si>
  <si>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</si>
  <si>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</si>
  <si>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</si>
  <si>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</si>
  <si>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</si>
  <si>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</si>
  <si>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</si>
  <si>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</si>
  <si>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</si>
  <si>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</si>
  <si>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</si>
  <si>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</si>
  <si>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</si>
  <si>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</si>
  <si>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</si>
  <si>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</si>
  <si>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</si>
  <si>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</si>
  <si>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</si>
  <si>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</si>
  <si>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</si>
  <si>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</si>
  <si>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</si>
  <si>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</si>
  <si>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</si>
  <si>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</si>
  <si>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</si>
  <si>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</si>
  <si>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</si>
  <si>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</si>
  <si>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</si>
  <si>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</si>
  <si>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</si>
  <si>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</si>
  <si>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</si>
  <si>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</si>
  <si>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</si>
  <si>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</si>
  <si>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</si>
  <si>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</si>
  <si>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</si>
  <si>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</si>
  <si>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</si>
  <si>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</si>
  <si>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</si>
  <si>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</si>
  <si>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</si>
  <si>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</si>
  <si>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</si>
  <si>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</si>
  <si>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</si>
  <si>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</si>
  <si>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</si>
  <si>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</si>
  <si>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</si>
  <si>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</si>
  <si>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</si>
  <si>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</si>
  <si>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</si>
  <si>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</si>
  <si>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</si>
  <si>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</si>
  <si>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</si>
  <si>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</si>
  <si>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</si>
  <si>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</si>
  <si>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</si>
  <si>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</si>
  <si>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</si>
  <si>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</si>
  <si>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</si>
  <si>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</si>
  <si>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</si>
  <si>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</si>
  <si>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</si>
  <si>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</si>
  <si>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</si>
  <si>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</si>
  <si>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</si>
  <si>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</si>
  <si>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</si>
  <si>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</si>
  <si>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</si>
  <si>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</si>
  <si>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</si>
  <si>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</si>
  <si>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</si>
  <si>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</si>
  <si>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</si>
  <si>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</si>
  <si>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</si>
  <si>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</si>
  <si>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</si>
  <si>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</si>
  <si>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</si>
  <si>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</si>
  <si>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</si>
  <si>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</si>
  <si>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</si>
  <si>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</si>
  <si>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</si>
  <si>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</si>
  <si>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</si>
  <si>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</si>
  <si>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</si>
  <si>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</si>
  <si>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</si>
  <si>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</si>
  <si>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</si>
  <si>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</si>
  <si>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</si>
  <si>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</si>
  <si>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</si>
  <si>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</si>
  <si>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</si>
  <si>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</si>
  <si>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</si>
  <si>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</si>
  <si>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</si>
  <si>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</si>
  <si>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</si>
  <si>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</si>
  <si>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</si>
  <si>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</si>
  <si>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</si>
  <si>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</si>
  <si>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</si>
  <si>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</si>
  <si>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</si>
  <si>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</si>
  <si>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</si>
  <si>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</si>
  <si>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</si>
  <si>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</si>
  <si>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</si>
  <si>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</si>
  <si>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</si>
  <si>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</si>
  <si>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</si>
  <si>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</si>
  <si>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</si>
  <si>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</si>
  <si>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</si>
  <si>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</si>
  <si>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</si>
  <si>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</si>
  <si>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</si>
  <si>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</si>
  <si>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</si>
  <si>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</si>
  <si>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</si>
  <si>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</si>
  <si>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</si>
  <si>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</si>
  <si>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</si>
  <si>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</si>
  <si>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</si>
  <si>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</si>
  <si>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</si>
  <si>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</si>
  <si>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</si>
  <si>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</si>
  <si>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</si>
  <si>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</si>
  <si>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</si>
  <si>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</si>
  <si>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</si>
  <si>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</si>
  <si>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</si>
  <si>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</si>
  <si>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</si>
  <si>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</si>
  <si>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</si>
  <si>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</si>
  <si>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</si>
  <si>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</si>
  <si>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</si>
  <si>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</si>
  <si>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</si>
  <si>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</si>
  <si>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</si>
  <si>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</si>
  <si>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</si>
  <si>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</si>
  <si>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</si>
  <si>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</si>
  <si>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</si>
  <si>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</si>
  <si>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</si>
  <si>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</si>
  <si>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</si>
  <si>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</si>
  <si>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</si>
  <si>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</si>
  <si>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</si>
  <si>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</si>
  <si>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</si>
  <si>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</si>
  <si>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</si>
  <si>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</si>
  <si>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</si>
  <si>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</si>
  <si>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</si>
  <si>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</si>
  <si>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</si>
  <si>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</si>
  <si>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</si>
  <si>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</si>
  <si>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</si>
  <si>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</si>
  <si>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</si>
  <si>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</si>
  <si>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</si>
  <si>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</si>
  <si>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</si>
  <si>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</si>
  <si>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</si>
  <si>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</si>
  <si>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</si>
  <si>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</si>
  <si>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</si>
  <si>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</si>
  <si>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</si>
  <si>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</si>
  <si>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</si>
  <si>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</si>
  <si>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</si>
  <si>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</si>
  <si>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</si>
  <si>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</si>
  <si>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</si>
  <si>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</si>
  <si>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</si>
  <si>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</si>
  <si>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</si>
  <si>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</si>
  <si>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</si>
  <si>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</si>
  <si>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</si>
  <si>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</si>
  <si>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</si>
  <si>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</si>
  <si>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</si>
  <si>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</si>
  <si>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</si>
  <si>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</si>
  <si>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</si>
  <si>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</si>
  <si>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</si>
  <si>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</si>
  <si>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</si>
  <si>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</si>
  <si>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</si>
  <si>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</si>
  <si>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</si>
  <si>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</si>
  <si>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</si>
  <si>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</si>
  <si>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</si>
  <si>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</si>
  <si>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</si>
  <si>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</si>
  <si>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</si>
  <si>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</si>
  <si>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</si>
  <si>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</si>
  <si>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</si>
  <si>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</si>
  <si>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</si>
  <si>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</si>
  <si>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</si>
  <si>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</si>
  <si>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</si>
  <si>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</si>
  <si>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</si>
  <si>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</si>
  <si>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</si>
  <si>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</si>
  <si>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</si>
  <si>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</si>
  <si>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</si>
  <si>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</si>
  <si>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</si>
  <si>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</si>
  <si>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</si>
  <si>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</si>
  <si>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</si>
  <si>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</si>
  <si>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</si>
  <si>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</si>
  <si>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</si>
  <si>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</si>
  <si>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</si>
  <si>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</si>
  <si>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</si>
  <si>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</si>
  <si>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</si>
  <si>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</si>
  <si>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</si>
  <si>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</si>
  <si>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</si>
  <si>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</si>
  <si>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</si>
  <si>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</si>
  <si>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</si>
  <si>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</si>
  <si>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</si>
  <si>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</si>
  <si>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</si>
  <si>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</si>
  <si>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</si>
  <si>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</si>
  <si>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</si>
  <si>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</si>
  <si>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</si>
  <si>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</si>
  <si>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</si>
  <si>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</si>
  <si>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</si>
  <si>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</si>
  <si>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</si>
  <si>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</si>
  <si>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</si>
  <si>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</si>
  <si>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</si>
  <si>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</si>
  <si>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</si>
  <si>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</si>
  <si>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</si>
  <si>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</si>
  <si>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</si>
  <si>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</si>
  <si>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</si>
  <si>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</si>
  <si>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</si>
  <si>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</si>
  <si>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</si>
  <si>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</si>
  <si>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</si>
  <si>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</si>
  <si>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</si>
  <si>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</si>
  <si>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</si>
  <si>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</si>
  <si>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</si>
  <si>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</si>
  <si>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</si>
  <si>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</si>
  <si>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</si>
  <si>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</si>
  <si>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</si>
  <si>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</si>
  <si>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</si>
  <si>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</si>
  <si>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</si>
  <si>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</si>
  <si>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</si>
  <si>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</si>
  <si>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</si>
  <si>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</si>
  <si>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</si>
  <si>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</si>
  <si>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</si>
  <si>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</si>
  <si>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</si>
  <si>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</si>
  <si>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</si>
  <si>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</si>
  <si>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</si>
  <si>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</si>
  <si>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</si>
  <si>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</si>
  <si>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</si>
  <si>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</si>
  <si>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</si>
  <si>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</si>
  <si>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</si>
  <si>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</si>
  <si>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</si>
  <si>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</si>
  <si>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</si>
  <si>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</si>
  <si>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</si>
  <si>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</si>
  <si>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</si>
  <si>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</si>
  <si>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</si>
  <si>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</si>
  <si>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</si>
  <si>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</si>
  <si>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</si>
  <si>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</si>
  <si>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</si>
  <si>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</si>
  <si>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</si>
  <si>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</si>
  <si>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</si>
  <si>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</si>
  <si>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</si>
  <si>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</si>
  <si>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</si>
  <si>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</si>
  <si>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</si>
  <si>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</si>
  <si>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</si>
  <si>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</si>
  <si>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</si>
  <si>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</si>
  <si>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</si>
  <si>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</si>
  <si>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</si>
  <si>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</si>
  <si>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</si>
  <si>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</si>
  <si>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</si>
  <si>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</si>
  <si>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</si>
  <si>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</si>
  <si>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</si>
  <si>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</si>
  <si>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</si>
  <si>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</si>
  <si>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</si>
  <si>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</si>
  <si>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</si>
  <si>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</si>
  <si>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</si>
  <si>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</si>
  <si>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</si>
  <si>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</si>
  <si>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</si>
  <si>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</si>
  <si>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</si>
  <si>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</si>
  <si>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</si>
  <si>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</si>
  <si>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</si>
  <si>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</si>
  <si>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</si>
  <si>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</si>
  <si>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</si>
  <si>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</si>
  <si>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</si>
  <si>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</si>
  <si>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</si>
  <si>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</si>
  <si>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</si>
  <si>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</si>
  <si>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</si>
  <si>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</si>
  <si>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</si>
  <si>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</si>
  <si>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</si>
  <si>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</si>
  <si>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</si>
  <si>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</si>
  <si>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</si>
  <si>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</si>
  <si>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</si>
  <si>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</si>
  <si>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</si>
  <si>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</si>
  <si>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</si>
  <si>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</si>
  <si>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</si>
  <si>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</si>
  <si>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</si>
  <si>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</si>
  <si>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</si>
  <si>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</si>
  <si>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</si>
  <si>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</si>
  <si>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</si>
  <si>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</si>
  <si>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</si>
  <si>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</si>
  <si>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</si>
  <si>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</si>
  <si>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</si>
  <si>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</si>
  <si>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</si>
  <si>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</si>
  <si>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</si>
  <si>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</si>
  <si>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</si>
  <si>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</si>
  <si>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</si>
  <si>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</si>
  <si>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</si>
  <si>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</si>
  <si>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</si>
  <si>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</si>
  <si>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</si>
  <si>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</si>
  <si>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</si>
  <si>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</si>
  <si>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</si>
  <si>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</si>
  <si>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</si>
  <si>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</si>
  <si>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</si>
  <si>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</si>
  <si>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</si>
  <si>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</si>
  <si>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</si>
  <si>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</si>
  <si>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</si>
  <si>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</si>
  <si>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</si>
  <si>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</si>
  <si>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</si>
  <si>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</si>
  <si>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</si>
  <si>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</si>
  <si>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</si>
  <si>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</si>
  <si>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</si>
  <si>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</si>
  <si>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</si>
  <si>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</si>
  <si>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</si>
  <si>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</si>
  <si>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</si>
  <si>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</si>
  <si>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</si>
  <si>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</si>
  <si>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</si>
  <si>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</si>
  <si>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</si>
  <si>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</si>
  <si>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</si>
  <si>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</si>
  <si>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</si>
  <si>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</si>
  <si>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</si>
  <si>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</si>
  <si>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</si>
  <si>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</si>
  <si>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</si>
  <si>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</si>
  <si>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</si>
  <si>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</si>
  <si>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</si>
  <si>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</si>
  <si>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</si>
  <si>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</si>
  <si>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</si>
  <si>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</si>
  <si>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</si>
  <si>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</si>
  <si>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</si>
  <si>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</si>
  <si>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</si>
  <si>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</si>
  <si>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</si>
  <si>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</si>
  <si>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</si>
  <si>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</si>
  <si>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</si>
  <si>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</si>
  <si>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</si>
  <si>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</si>
  <si>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</si>
  <si>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</si>
  <si>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</si>
  <si>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</si>
  <si>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</si>
  <si>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</si>
  <si>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</si>
  <si>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</si>
  <si>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</si>
  <si>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</si>
  <si>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</si>
  <si>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</si>
  <si>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</si>
  <si>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</si>
  <si>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</si>
  <si>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</si>
  <si>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</si>
  <si>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</si>
  <si>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</si>
  <si>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</si>
  <si>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</si>
  <si>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</si>
  <si>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</si>
  <si>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</si>
  <si>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</si>
  <si>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</si>
  <si>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</si>
  <si>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</si>
  <si>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</si>
  <si>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</si>
  <si>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</si>
  <si>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</si>
  <si>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</si>
  <si>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</si>
  <si>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</si>
  <si>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</si>
  <si>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</si>
  <si>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</si>
  <si>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</si>
  <si>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</si>
  <si>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</si>
  <si>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</si>
  <si>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</si>
  <si>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</si>
  <si>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Note: Where a tariff only has a p/kWh unit rate in Unit Charge 1 then this unit rate applies at all times.</t>
  </si>
  <si>
    <t>Annex 1 contains the charges to LV and HV Designated Properties.</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</si>
  <si>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</si>
  <si>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</si>
  <si>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</si>
  <si>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16:00 - 19:00</t>
  </si>
  <si>
    <t>07:00 - 16:00
19:00 - 23:00</t>
  </si>
  <si>
    <t>00:00 - 07:00
23:00 - 24:00</t>
  </si>
  <si>
    <t>Monday to Friday 
(Including Bank Holidays)
March to October Inclusive</t>
  </si>
  <si>
    <t>07:00 - 23:00</t>
  </si>
  <si>
    <t>00:00 - 24:00</t>
  </si>
  <si>
    <t xml:space="preserve">Contains the underlying nodal costs used to calculate the current EDCM charges. </t>
  </si>
  <si>
    <t>Eastern Power Networks has no Preserved NHH Tariffs/Additional LLFC classes</t>
  </si>
  <si>
    <t>Eastern Power Networks has no Preserved HH Tariffs/Additional LLFC classes</t>
  </si>
  <si>
    <t>Import
LLF
period 1</t>
  </si>
  <si>
    <t>Import
LLF
period 2</t>
  </si>
  <si>
    <t>Import
LLF
period 3</t>
  </si>
  <si>
    <t>Import
LLF
period 4</t>
  </si>
  <si>
    <t>Import
LLF
period 5</t>
  </si>
  <si>
    <t>Export
LLF
period 1</t>
  </si>
  <si>
    <t>Export
LLF
period 2</t>
  </si>
  <si>
    <t>Export
LLF
period 3</t>
  </si>
  <si>
    <t>Export
LLF
period 4</t>
  </si>
  <si>
    <t>Export
LLF
period 5</t>
  </si>
  <si>
    <t>Note: The list of MPANs/MSIDs provided may be incomplete; the DNO reserves the right to apply the listed charges to any other MPANs/MSIDs associated with the site.</t>
  </si>
  <si>
    <t>Eastern Power Networks</t>
  </si>
  <si>
    <t>All times are in UK Clock time</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</si>
  <si>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</si>
  <si>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</si>
  <si>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</si>
  <si>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</si>
  <si>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</si>
  <si>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</si>
  <si>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</si>
  <si>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</si>
  <si>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</si>
  <si>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</si>
  <si>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</si>
  <si>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</si>
  <si>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</si>
  <si>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</si>
  <si>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</si>
  <si>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3VALSW</t>
  </si>
  <si>
    <t>ADBRKS</t>
  </si>
  <si>
    <t>ARAMAN</t>
  </si>
  <si>
    <t>ARLAFD</t>
  </si>
  <si>
    <t>AW_GRA</t>
  </si>
  <si>
    <t>AWOUSE</t>
  </si>
  <si>
    <t>BERMAT</t>
  </si>
  <si>
    <t>BOCTHA</t>
  </si>
  <si>
    <t>BPA_CO</t>
  </si>
  <si>
    <t>BPTLTD</t>
  </si>
  <si>
    <t>BTLCOM</t>
  </si>
  <si>
    <t>CEMXUK</t>
  </si>
  <si>
    <t>CMRODC</t>
  </si>
  <si>
    <t>DGRLTY</t>
  </si>
  <si>
    <t>DRABED</t>
  </si>
  <si>
    <t>EMR_TI</t>
  </si>
  <si>
    <t>ESWMID</t>
  </si>
  <si>
    <t>ESWWIX</t>
  </si>
  <si>
    <t>FORD_D</t>
  </si>
  <si>
    <t>FRDHVS</t>
  </si>
  <si>
    <t>FUJISL</t>
  </si>
  <si>
    <t>FXDFAG</t>
  </si>
  <si>
    <t>FXDOYS</t>
  </si>
  <si>
    <t>GLXOST</t>
  </si>
  <si>
    <t>GLXOW2</t>
  </si>
  <si>
    <t>GLXOWR</t>
  </si>
  <si>
    <t>HEINZF</t>
  </si>
  <si>
    <t>HRLWDC</t>
  </si>
  <si>
    <t>HTFD_L</t>
  </si>
  <si>
    <t>ICGLTD</t>
  </si>
  <si>
    <t>INFSSE</t>
  </si>
  <si>
    <t>KLYN33</t>
  </si>
  <si>
    <t>LAKENH</t>
  </si>
  <si>
    <t>LBARPS</t>
  </si>
  <si>
    <t>LS&amp;E_N</t>
  </si>
  <si>
    <t>LU_FIN</t>
  </si>
  <si>
    <t>LU_MHO</t>
  </si>
  <si>
    <t>LU_NEA</t>
  </si>
  <si>
    <t>MLVLCM</t>
  </si>
  <si>
    <t>MNBRNZ</t>
  </si>
  <si>
    <t>MSDHOD</t>
  </si>
  <si>
    <t>NEWHOL</t>
  </si>
  <si>
    <t>NEWSIL</t>
  </si>
  <si>
    <t>NR_BAS</t>
  </si>
  <si>
    <t>NR_COL</t>
  </si>
  <si>
    <t>NR_CRW</t>
  </si>
  <si>
    <t>NR_GRA</t>
  </si>
  <si>
    <t>NR_HOR</t>
  </si>
  <si>
    <t>NR_KNG</t>
  </si>
  <si>
    <t>NR_LBR</t>
  </si>
  <si>
    <t>NR_MAN</t>
  </si>
  <si>
    <t>NR_MIL</t>
  </si>
  <si>
    <t>NR_NRW</t>
  </si>
  <si>
    <t>NR_PET</t>
  </si>
  <si>
    <t>NR_RAY</t>
  </si>
  <si>
    <t>NR_RYE</t>
  </si>
  <si>
    <t>NR_SED</t>
  </si>
  <si>
    <t>NR_SHN</t>
  </si>
  <si>
    <t>NR_SPR</t>
  </si>
  <si>
    <t>NR_STW</t>
  </si>
  <si>
    <t>NR_SUN</t>
  </si>
  <si>
    <t>NR_TOT</t>
  </si>
  <si>
    <t>NR_UGL</t>
  </si>
  <si>
    <t>NR_WEL</t>
  </si>
  <si>
    <t>NRAUTH</t>
  </si>
  <si>
    <t>NYSEIB</t>
  </si>
  <si>
    <t>PLMPPR</t>
  </si>
  <si>
    <t>PP_COR</t>
  </si>
  <si>
    <t>PRECIS</t>
  </si>
  <si>
    <t>PRMFDS</t>
  </si>
  <si>
    <t>QNETIC</t>
  </si>
  <si>
    <t>RAF_AL</t>
  </si>
  <si>
    <t>RANJAC</t>
  </si>
  <si>
    <t>RNDMHS</t>
  </si>
  <si>
    <t>RPRLTD</t>
  </si>
  <si>
    <t>SEN1&amp;2</t>
  </si>
  <si>
    <t>SHELL_</t>
  </si>
  <si>
    <t>STANS2</t>
  </si>
  <si>
    <t>STANS3</t>
  </si>
  <si>
    <t>STMFRD</t>
  </si>
  <si>
    <t>TILBUR</t>
  </si>
  <si>
    <t>UB_EYE</t>
  </si>
  <si>
    <t>UBS_UK</t>
  </si>
  <si>
    <t>VXHALL</t>
  </si>
  <si>
    <t>WARNER</t>
  </si>
  <si>
    <t>WILLIA</t>
  </si>
  <si>
    <t>WWYNDC</t>
  </si>
  <si>
    <t>ABSRSF</t>
  </si>
  <si>
    <t>AIAMAN</t>
  </si>
  <si>
    <t>ALCORG</t>
  </si>
  <si>
    <t>ARDLGH</t>
  </si>
  <si>
    <t>ASTONC</t>
  </si>
  <si>
    <t>AVENUE</t>
  </si>
  <si>
    <t>BARNFM</t>
  </si>
  <si>
    <t>BAYFMS</t>
  </si>
  <si>
    <t>BDGHSE</t>
  </si>
  <si>
    <t>BDWLWF</t>
  </si>
  <si>
    <t>BERDHF</t>
  </si>
  <si>
    <t>BGWDWF</t>
  </si>
  <si>
    <t>BLCAMB</t>
  </si>
  <si>
    <t>BLDOCK</t>
  </si>
  <si>
    <t>BLGTSF</t>
  </si>
  <si>
    <t>BNNSHL</t>
  </si>
  <si>
    <t>BOXTED</t>
  </si>
  <si>
    <t>BRCHGP</t>
  </si>
  <si>
    <t>BROGB_</t>
  </si>
  <si>
    <t>BROXSF</t>
  </si>
  <si>
    <t>BRTHS2</t>
  </si>
  <si>
    <t>BRTHSS</t>
  </si>
  <si>
    <t>BRTHSW</t>
  </si>
  <si>
    <t>BS_BUR</t>
  </si>
  <si>
    <t>BS_WIS</t>
  </si>
  <si>
    <t>BSGBRN</t>
  </si>
  <si>
    <t>BURYLN</t>
  </si>
  <si>
    <t>CANTSF</t>
  </si>
  <si>
    <t>CHEDSF</t>
  </si>
  <si>
    <t>CHFARM</t>
  </si>
  <si>
    <t>CHPLOW</t>
  </si>
  <si>
    <t>CLAYPV</t>
  </si>
  <si>
    <t>CLDECT</t>
  </si>
  <si>
    <t>CLTSHL</t>
  </si>
  <si>
    <t>COLDHA</t>
  </si>
  <si>
    <t>CRANHM</t>
  </si>
  <si>
    <t>CROYDN</t>
  </si>
  <si>
    <t>CRSSNG</t>
  </si>
  <si>
    <t>CTWDFM</t>
  </si>
  <si>
    <t>DBLANE</t>
  </si>
  <si>
    <t>DRAPER</t>
  </si>
  <si>
    <t>DRAYTN</t>
  </si>
  <si>
    <t>DRYHSE</t>
  </si>
  <si>
    <t>EARLHF</t>
  </si>
  <si>
    <t>EBCKHM</t>
  </si>
  <si>
    <t>EDLMUC</t>
  </si>
  <si>
    <t>EDLPIT</t>
  </si>
  <si>
    <t>EGMRSF</t>
  </si>
  <si>
    <t>ELLOSF</t>
  </si>
  <si>
    <t>ELSAGE</t>
  </si>
  <si>
    <t>EPRSUT</t>
  </si>
  <si>
    <t>ERNUNN</t>
  </si>
  <si>
    <t>EUSTSF</t>
  </si>
  <si>
    <t>EXNING</t>
  </si>
  <si>
    <t>EYEWFM</t>
  </si>
  <si>
    <t>FBWTHE</t>
  </si>
  <si>
    <t>FENLND</t>
  </si>
  <si>
    <t>FIBEYE</t>
  </si>
  <si>
    <t>FLYFRM</t>
  </si>
  <si>
    <t>FWINDS</t>
  </si>
  <si>
    <t>GDE132</t>
  </si>
  <si>
    <t>GFTHRN</t>
  </si>
  <si>
    <t>GLASM2</t>
  </si>
  <si>
    <t>GLASSM</t>
  </si>
  <si>
    <t>GOSFLD</t>
  </si>
  <si>
    <t>GREYSH</t>
  </si>
  <si>
    <t>GRNEND</t>
  </si>
  <si>
    <t>GRNFRM</t>
  </si>
  <si>
    <t>GRNILM</t>
  </si>
  <si>
    <t>GRTYAR</t>
  </si>
  <si>
    <t>GUNFL3</t>
  </si>
  <si>
    <t>GUNFLT</t>
  </si>
  <si>
    <t>HALLFM</t>
  </si>
  <si>
    <t>HDATTP</t>
  </si>
  <si>
    <t>HDGMSF</t>
  </si>
  <si>
    <t>HGHFLD</t>
  </si>
  <si>
    <t>HHFARM</t>
  </si>
  <si>
    <t>HOBACK</t>
  </si>
  <si>
    <t>HOLTON</t>
  </si>
  <si>
    <t>HONYSM</t>
  </si>
  <si>
    <t>HRSFEN</t>
  </si>
  <si>
    <t>HYDESF</t>
  </si>
  <si>
    <t>JKSLNE</t>
  </si>
  <si>
    <t>KNGSLN</t>
  </si>
  <si>
    <t>KNNING</t>
  </si>
  <si>
    <t>LBZSNS</t>
  </si>
  <si>
    <t>LCKFRD</t>
  </si>
  <si>
    <t>LDAHSF</t>
  </si>
  <si>
    <t>LEICSQ</t>
  </si>
  <si>
    <t>LEXHSF</t>
  </si>
  <si>
    <t>LNGFRD</t>
  </si>
  <si>
    <t>LNGHO2</t>
  </si>
  <si>
    <t>LNGHOE</t>
  </si>
  <si>
    <t>LONWST</t>
  </si>
  <si>
    <t>LWRNCE</t>
  </si>
  <si>
    <t>LYONSH</t>
  </si>
  <si>
    <t>MANORF</t>
  </si>
  <si>
    <t>MDLWCK</t>
  </si>
  <si>
    <t>MDWFRM</t>
  </si>
  <si>
    <t>MELBRN</t>
  </si>
  <si>
    <t>MILLDR</t>
  </si>
  <si>
    <t>MILLFM</t>
  </si>
  <si>
    <t>MINGAY</t>
  </si>
  <si>
    <t>MLLFLD</t>
  </si>
  <si>
    <t>MOWLEM</t>
  </si>
  <si>
    <t>NEWTON</t>
  </si>
  <si>
    <t>NNFKSF</t>
  </si>
  <si>
    <t>NVASCT</t>
  </si>
  <si>
    <t>OLDAIR</t>
  </si>
  <si>
    <t>OULTON</t>
  </si>
  <si>
    <t>OUTWDS</t>
  </si>
  <si>
    <t>PICKEN</t>
  </si>
  <si>
    <t>PLYTRS</t>
  </si>
  <si>
    <t>POBAIL</t>
  </si>
  <si>
    <t>PRHMSF</t>
  </si>
  <si>
    <t>PTRBRO</t>
  </si>
  <si>
    <t>QRRNDN</t>
  </si>
  <si>
    <t>RAINHM</t>
  </si>
  <si>
    <t>RANDCS</t>
  </si>
  <si>
    <t>RANSON</t>
  </si>
  <si>
    <t>REDTI1</t>
  </si>
  <si>
    <t>REYDON</t>
  </si>
  <si>
    <t>RMSYSF</t>
  </si>
  <si>
    <t>RMWFII</t>
  </si>
  <si>
    <t>ROOKRY</t>
  </si>
  <si>
    <t>ROYSTN</t>
  </si>
  <si>
    <t>SALHSE</t>
  </si>
  <si>
    <t>SCMOOR</t>
  </si>
  <si>
    <t>SCROBY</t>
  </si>
  <si>
    <t>SCTTOW</t>
  </si>
  <si>
    <t>SFKEFW</t>
  </si>
  <si>
    <t>SHERSH</t>
  </si>
  <si>
    <t>SNTBRE</t>
  </si>
  <si>
    <t>SPRIGS</t>
  </si>
  <si>
    <t>STAGSH</t>
  </si>
  <si>
    <t>STNPTS</t>
  </si>
  <si>
    <t>STOSTH</t>
  </si>
  <si>
    <t>STRTHL</t>
  </si>
  <si>
    <t>STWBRG</t>
  </si>
  <si>
    <t>SWNLND</t>
  </si>
  <si>
    <t>TILGRN</t>
  </si>
  <si>
    <t>TOGGAM</t>
  </si>
  <si>
    <t>TOOLEY</t>
  </si>
  <si>
    <t>TRNCLE</t>
  </si>
  <si>
    <t>UKPRST</t>
  </si>
  <si>
    <t>VINESF</t>
  </si>
  <si>
    <t>WAIRWF</t>
  </si>
  <si>
    <t>WDLWWF</t>
  </si>
  <si>
    <t>WDLWWW</t>
  </si>
  <si>
    <t>WHMLWF</t>
  </si>
  <si>
    <t>WIGGIN</t>
  </si>
  <si>
    <t>WLBRHM</t>
  </si>
  <si>
    <t>WOOLLY</t>
  </si>
  <si>
    <t>WRGSTE</t>
  </si>
  <si>
    <t>WRYDEC</t>
  </si>
  <si>
    <t>WSBRDG</t>
  </si>
  <si>
    <t>WSTNLV</t>
  </si>
  <si>
    <t>WTRLOO</t>
  </si>
  <si>
    <t xml:space="preserve"> MSID: 7044</t>
  </si>
  <si>
    <t xml:space="preserve"> MSID: 2035</t>
  </si>
  <si>
    <t>MSID: 7308</t>
  </si>
  <si>
    <t xml:space="preserve"> MSID: 7111</t>
  </si>
  <si>
    <t xml:space="preserve"> MSID: 7277</t>
  </si>
  <si>
    <t xml:space="preserve"> MSID: 7211</t>
  </si>
  <si>
    <t xml:space="preserve"> MSID: 7006</t>
  </si>
  <si>
    <t xml:space="preserve"> MSID: 7234</t>
  </si>
  <si>
    <t>MSID: 7323</t>
  </si>
  <si>
    <t>1030081553176
1030081553404</t>
  </si>
  <si>
    <t>1014571445536
1023477037942</t>
  </si>
  <si>
    <t>1023475403798
1014571965793</t>
  </si>
  <si>
    <t>1023475256360
1014572502380</t>
  </si>
  <si>
    <t>1050000169030
1014572546086</t>
  </si>
  <si>
    <t>1014571132500
1023474247588</t>
  </si>
  <si>
    <t>1050001068050
1050001068069</t>
  </si>
  <si>
    <t>1030050289278
1030050289506</t>
  </si>
  <si>
    <t>1023475632649
1014572805060</t>
  </si>
  <si>
    <t>1014572640842
1014572641075</t>
  </si>
  <si>
    <t>1023526590750
1023526590982
1023526591211</t>
  </si>
  <si>
    <t xml:space="preserve">1014572633250
1023479907422 </t>
  </si>
  <si>
    <t>1023482441566
1023492579962</t>
  </si>
  <si>
    <t>1014569657748
1014569657970</t>
  </si>
  <si>
    <t>1023475635409
1023475634488</t>
  </si>
  <si>
    <t>1023484819994
1023475633563</t>
  </si>
  <si>
    <t>1099000001162
1099000001171</t>
  </si>
  <si>
    <t>1023477604661
1014568599280</t>
  </si>
  <si>
    <t>1023478728447
1023478728907</t>
  </si>
  <si>
    <t>1030059686387
1030060990025
1030060990257
1030060990489</t>
  </si>
  <si>
    <t>1050000907391
1050000907407
1050000907416
1050000907443</t>
  </si>
  <si>
    <t>1014572268249
1023498487971</t>
  </si>
  <si>
    <t>1023533706269
1023533706490</t>
  </si>
  <si>
    <t>1030022814396
1030022814856
1030022815089
1030022814624</t>
  </si>
  <si>
    <t xml:space="preserve">1014572898446
1030076303426 </t>
  </si>
  <si>
    <t>1014572907871
1023484600573</t>
  </si>
  <si>
    <t>1030062357839
1030062357607</t>
  </si>
  <si>
    <t>1030062872341
1030062872573</t>
  </si>
  <si>
    <t>1014572632790
1015685836242</t>
  </si>
  <si>
    <t>1014572860726
1023479474560</t>
  </si>
  <si>
    <t>1099000000372
1099000000381</t>
  </si>
  <si>
    <t>1030083272428
1050001161751</t>
  </si>
  <si>
    <t>1030047519845
1030047520070</t>
  </si>
  <si>
    <t>1023478133661
1023525729172
1023525728718</t>
  </si>
  <si>
    <t>1014573052317
1023470683505</t>
  </si>
  <si>
    <t>1030065428330
1030065428562</t>
  </si>
  <si>
    <t>1014571158953
1014571159186
1014571159414
1014571158721</t>
  </si>
  <si>
    <t>1030076325049
1030076325270</t>
  </si>
  <si>
    <t>1030059750786
1030059751015</t>
  </si>
  <si>
    <t>1030041592510
1030041592742
1030041592974
1030041593203</t>
  </si>
  <si>
    <t>1023485782314
1050000914910</t>
  </si>
  <si>
    <t>1023497822125
1023497822357
1023514863056
1030010107819</t>
  </si>
  <si>
    <t>1023487353212
1023487352751</t>
  </si>
  <si>
    <t>1050001073468
1050001073342
1050001073412
1050001073440
1050001073459</t>
  </si>
  <si>
    <t>1030085114723
1030085114955</t>
  </si>
  <si>
    <t>1030084129409
1030084129630
1030084129862</t>
  </si>
  <si>
    <t>1030037258397
1030037258625</t>
  </si>
  <si>
    <t>1050001073500
1050001073510
1050001073529
1050001073538
1050001073547</t>
  </si>
  <si>
    <t xml:space="preserve">1023545945047
1030077668707 </t>
  </si>
  <si>
    <t>1</t>
  </si>
  <si>
    <t>200</t>
  </si>
  <si>
    <t>350</t>
  </si>
  <si>
    <t>980</t>
  </si>
  <si>
    <t>981</t>
  </si>
  <si>
    <t>982</t>
  </si>
  <si>
    <t>983</t>
  </si>
  <si>
    <t>984</t>
  </si>
  <si>
    <t>985</t>
  </si>
  <si>
    <t>986</t>
  </si>
  <si>
    <t>987</t>
  </si>
  <si>
    <t>990</t>
  </si>
  <si>
    <t>991</t>
  </si>
  <si>
    <t>100, 110, 150, 160</t>
  </si>
  <si>
    <t>102, 112, 152, 162</t>
  </si>
  <si>
    <t>103, 113, 153, 163</t>
  </si>
  <si>
    <t>101, 111, 151, 161</t>
  </si>
  <si>
    <t>8 or 0</t>
  </si>
  <si>
    <t>ABBE31</t>
  </si>
  <si>
    <t>ABCS31</t>
  </si>
  <si>
    <t>ABCS32</t>
  </si>
  <si>
    <t>ACRO51</t>
  </si>
  <si>
    <t>ACSF31</t>
  </si>
  <si>
    <t>ADEB51</t>
  </si>
  <si>
    <t>ADEL51</t>
  </si>
  <si>
    <t>AISF31</t>
  </si>
  <si>
    <t>ALDA51</t>
  </si>
  <si>
    <t>ALDR51</t>
  </si>
  <si>
    <t>ALDR52</t>
  </si>
  <si>
    <t>ALPI51</t>
  </si>
  <si>
    <t>AMEP51</t>
  </si>
  <si>
    <t>AMEP52</t>
  </si>
  <si>
    <t>AMPT51</t>
  </si>
  <si>
    <t>ARAG51</t>
  </si>
  <si>
    <t>ARBY31</t>
  </si>
  <si>
    <t>ARBY51</t>
  </si>
  <si>
    <t>ASHR51</t>
  </si>
  <si>
    <t>ATTL51</t>
  </si>
  <si>
    <t>AUCA31</t>
  </si>
  <si>
    <t>AUCP51</t>
  </si>
  <si>
    <t>AUST51</t>
  </si>
  <si>
    <t>AVEN31</t>
  </si>
  <si>
    <t>AWRE51</t>
  </si>
  <si>
    <t>AYLE31</t>
  </si>
  <si>
    <t>AYLS51</t>
  </si>
  <si>
    <t>BARC51</t>
  </si>
  <si>
    <t>BARE51</t>
  </si>
  <si>
    <t>BARN31</t>
  </si>
  <si>
    <t>BARR51</t>
  </si>
  <si>
    <t>BART51</t>
  </si>
  <si>
    <t>BASB31</t>
  </si>
  <si>
    <t>BASG31</t>
  </si>
  <si>
    <t>BASL51</t>
  </si>
  <si>
    <t>BASS51</t>
  </si>
  <si>
    <t>BAST51</t>
  </si>
  <si>
    <t>BATA51</t>
  </si>
  <si>
    <t>BAYF31</t>
  </si>
  <si>
    <t>BECC51</t>
  </si>
  <si>
    <t>BECH51</t>
  </si>
  <si>
    <t>BECO51</t>
  </si>
  <si>
    <t>BEEP51</t>
  </si>
  <si>
    <t>BEHF11</t>
  </si>
  <si>
    <t>BEIG51</t>
  </si>
  <si>
    <t>BELL51</t>
  </si>
  <si>
    <t>BENH51</t>
  </si>
  <si>
    <t>BENT51</t>
  </si>
  <si>
    <t>BERE51</t>
  </si>
  <si>
    <t>BERR71</t>
  </si>
  <si>
    <t>BERR72</t>
  </si>
  <si>
    <t>BHAM51</t>
  </si>
  <si>
    <t>BHSF31</t>
  </si>
  <si>
    <t>BICK51</t>
  </si>
  <si>
    <t>BIGG51</t>
  </si>
  <si>
    <t>BIGG52</t>
  </si>
  <si>
    <t>BIGL31</t>
  </si>
  <si>
    <t>BILL51</t>
  </si>
  <si>
    <t>BISH31</t>
  </si>
  <si>
    <t>BITU71</t>
  </si>
  <si>
    <t>BLAC51</t>
  </si>
  <si>
    <t>BLAC52</t>
  </si>
  <si>
    <t>BLCH51</t>
  </si>
  <si>
    <t>BLPV31</t>
  </si>
  <si>
    <t>BLUE31</t>
  </si>
  <si>
    <t>BNFS31</t>
  </si>
  <si>
    <t>BOAR31</t>
  </si>
  <si>
    <t>BOIS51</t>
  </si>
  <si>
    <t>BOUN51</t>
  </si>
  <si>
    <t>BOUR51</t>
  </si>
  <si>
    <t>BOXT51</t>
  </si>
  <si>
    <t>BRAD51</t>
  </si>
  <si>
    <t>BRAN51</t>
  </si>
  <si>
    <t>BRBA81</t>
  </si>
  <si>
    <t>BRBA82</t>
  </si>
  <si>
    <t>BRBR81</t>
  </si>
  <si>
    <t>BRCK51</t>
  </si>
  <si>
    <t>BRCR81</t>
  </si>
  <si>
    <t>BRCR82</t>
  </si>
  <si>
    <t>BREN51</t>
  </si>
  <si>
    <t>BRFP81</t>
  </si>
  <si>
    <t>BRGP81</t>
  </si>
  <si>
    <t>BRHY81</t>
  </si>
  <si>
    <t>BRHY82</t>
  </si>
  <si>
    <t>BRIN51</t>
  </si>
  <si>
    <t>BRKL81</t>
  </si>
  <si>
    <t>BRMI81</t>
  </si>
  <si>
    <t>BRMN81</t>
  </si>
  <si>
    <t>BRNE81</t>
  </si>
  <si>
    <t>BRNO31</t>
  </si>
  <si>
    <t>BRNW81</t>
  </si>
  <si>
    <t>BROG51</t>
  </si>
  <si>
    <t>BROP31</t>
  </si>
  <si>
    <t>BROP32</t>
  </si>
  <si>
    <t>BROX51</t>
  </si>
  <si>
    <t>BRRH81</t>
  </si>
  <si>
    <t>BRRH82</t>
  </si>
  <si>
    <t>BRRY81</t>
  </si>
  <si>
    <t>BRRY82</t>
  </si>
  <si>
    <t>BRSC81</t>
  </si>
  <si>
    <t>BRSC82</t>
  </si>
  <si>
    <t>BRSF81</t>
  </si>
  <si>
    <t>BRSF82</t>
  </si>
  <si>
    <t>BRSM81</t>
  </si>
  <si>
    <t>BRSO51</t>
  </si>
  <si>
    <t>BRSP81</t>
  </si>
  <si>
    <t>BRSP82</t>
  </si>
  <si>
    <t>BRSU81</t>
  </si>
  <si>
    <t>BRSU82</t>
  </si>
  <si>
    <t>BRUC51</t>
  </si>
  <si>
    <t>BRUG81</t>
  </si>
  <si>
    <t>BRWF31</t>
  </si>
  <si>
    <t>BRWG81</t>
  </si>
  <si>
    <t>BTHM51</t>
  </si>
  <si>
    <t>BTHO51</t>
  </si>
  <si>
    <t>BTPR51</t>
  </si>
  <si>
    <t>BUCK51</t>
  </si>
  <si>
    <t>BUHS31</t>
  </si>
  <si>
    <t>BUNG51</t>
  </si>
  <si>
    <t>BURG51</t>
  </si>
  <si>
    <t>BURW51</t>
  </si>
  <si>
    <t>BUSY31</t>
  </si>
  <si>
    <t>BVUE51</t>
  </si>
  <si>
    <t>BXSF31</t>
  </si>
  <si>
    <t>CADD51</t>
  </si>
  <si>
    <t>CAIS51</t>
  </si>
  <si>
    <t>CANV51</t>
  </si>
  <si>
    <t>CAPB51</t>
  </si>
  <si>
    <t>CASF31</t>
  </si>
  <si>
    <t>CDSM31</t>
  </si>
  <si>
    <t>CEDM51</t>
  </si>
  <si>
    <t>CELP51</t>
  </si>
  <si>
    <t>CFGA31</t>
  </si>
  <si>
    <t>CHAL51</t>
  </si>
  <si>
    <t>CHAN51</t>
  </si>
  <si>
    <t>CHAR51</t>
  </si>
  <si>
    <t>CHAS51</t>
  </si>
  <si>
    <t>CHAT51</t>
  </si>
  <si>
    <t>CHAU51</t>
  </si>
  <si>
    <t>CHAU52</t>
  </si>
  <si>
    <t>CHED51</t>
  </si>
  <si>
    <t>CHEL51</t>
  </si>
  <si>
    <t>CHEN51</t>
  </si>
  <si>
    <t>CHGN51</t>
  </si>
  <si>
    <t>CHIN51</t>
  </si>
  <si>
    <t>CHIS51</t>
  </si>
  <si>
    <t>CHLE31</t>
  </si>
  <si>
    <t>CHTR51</t>
  </si>
  <si>
    <t>CHUR51</t>
  </si>
  <si>
    <t>CLAC51</t>
  </si>
  <si>
    <t>CLAY51</t>
  </si>
  <si>
    <t>CLHF31</t>
  </si>
  <si>
    <t>CLQU31</t>
  </si>
  <si>
    <t>CLTN31</t>
  </si>
  <si>
    <t>COCK51</t>
  </si>
  <si>
    <t>COGG51</t>
  </si>
  <si>
    <t>COLC31</t>
  </si>
  <si>
    <t>COLC51</t>
  </si>
  <si>
    <t>COLD31</t>
  </si>
  <si>
    <t>COOP31</t>
  </si>
  <si>
    <t>CORN51</t>
  </si>
  <si>
    <t>CORY31</t>
  </si>
  <si>
    <t>COTT51</t>
  </si>
  <si>
    <t>COXF51</t>
  </si>
  <si>
    <t>CPOT51</t>
  </si>
  <si>
    <t>CRAN51</t>
  </si>
  <si>
    <t>CRIN51</t>
  </si>
  <si>
    <t>CROE71</t>
  </si>
  <si>
    <t>CROM51</t>
  </si>
  <si>
    <t>CROW31</t>
  </si>
  <si>
    <t>CROY51</t>
  </si>
  <si>
    <t>CRSF31</t>
  </si>
  <si>
    <t>CTOT51</t>
  </si>
  <si>
    <t>CUFF51</t>
  </si>
  <si>
    <t>CWEL51</t>
  </si>
  <si>
    <t>CWEM51</t>
  </si>
  <si>
    <t>DAIL31</t>
  </si>
  <si>
    <t>DAIR31</t>
  </si>
  <si>
    <t>DANB51</t>
  </si>
  <si>
    <t>DEBE51</t>
  </si>
  <si>
    <t>DOCK51</t>
  </si>
  <si>
    <t>DOUB31</t>
  </si>
  <si>
    <t>DOUB91</t>
  </si>
  <si>
    <t>DOVE51</t>
  </si>
  <si>
    <t>DOWN51</t>
  </si>
  <si>
    <t>DRAP31</t>
  </si>
  <si>
    <t>DRIN51</t>
  </si>
  <si>
    <t>DSSS51</t>
  </si>
  <si>
    <t>DUNM51</t>
  </si>
  <si>
    <t>DUNS51</t>
  </si>
  <si>
    <t>DURH51</t>
  </si>
  <si>
    <t>EARB51</t>
  </si>
  <si>
    <t>EARL51</t>
  </si>
  <si>
    <t>EARW51</t>
  </si>
  <si>
    <t>EASB51</t>
  </si>
  <si>
    <t>EASC51</t>
  </si>
  <si>
    <t>EBAR51</t>
  </si>
  <si>
    <t>EBEC31</t>
  </si>
  <si>
    <t>EDER51</t>
  </si>
  <si>
    <t>EDIS51</t>
  </si>
  <si>
    <t>EDIS52</t>
  </si>
  <si>
    <t>EENF51</t>
  </si>
  <si>
    <t>EESP31</t>
  </si>
  <si>
    <t>EFNP51</t>
  </si>
  <si>
    <t>EGAS31</t>
  </si>
  <si>
    <t>EGME51</t>
  </si>
  <si>
    <t>EHAR51</t>
  </si>
  <si>
    <t>EHER51</t>
  </si>
  <si>
    <t>EHFG31</t>
  </si>
  <si>
    <t>ELEC51</t>
  </si>
  <si>
    <t>ELEE51</t>
  </si>
  <si>
    <t>ELEE52</t>
  </si>
  <si>
    <t>ELET51</t>
  </si>
  <si>
    <t>ELLO31</t>
  </si>
  <si>
    <t>ELMP51</t>
  </si>
  <si>
    <t>ELMS51</t>
  </si>
  <si>
    <t>ELYP51</t>
  </si>
  <si>
    <t>EPPG31</t>
  </si>
  <si>
    <t>ESTE51</t>
  </si>
  <si>
    <t>EXCH51</t>
  </si>
  <si>
    <t>EXNI51</t>
  </si>
  <si>
    <t>EXSF31</t>
  </si>
  <si>
    <t>EYEP31</t>
  </si>
  <si>
    <t>EYEP51</t>
  </si>
  <si>
    <t>EYPR51</t>
  </si>
  <si>
    <t>FAGB51</t>
  </si>
  <si>
    <t>FAIR51</t>
  </si>
  <si>
    <t>FAKE51</t>
  </si>
  <si>
    <t>FARC51</t>
  </si>
  <si>
    <t>FBPR51</t>
  </si>
  <si>
    <t>FBPR52</t>
  </si>
  <si>
    <t>FBPR53</t>
  </si>
  <si>
    <t>FELT51</t>
  </si>
  <si>
    <t>FINC51</t>
  </si>
  <si>
    <t>FING31</t>
  </si>
  <si>
    <t>FLEP51</t>
  </si>
  <si>
    <t>FORD51</t>
  </si>
  <si>
    <t>FORE51</t>
  </si>
  <si>
    <t>FORN51</t>
  </si>
  <si>
    <t>FOSF31</t>
  </si>
  <si>
    <t>FOXY51</t>
  </si>
  <si>
    <t>FRAM51</t>
  </si>
  <si>
    <t>FRIN51</t>
  </si>
  <si>
    <t>FROG51</t>
  </si>
  <si>
    <t>FRYT51</t>
  </si>
  <si>
    <t>FSFM31</t>
  </si>
  <si>
    <t>FTPR51</t>
  </si>
  <si>
    <t>FTPR52</t>
  </si>
  <si>
    <t>FULB31</t>
  </si>
  <si>
    <t>FUNL51</t>
  </si>
  <si>
    <t>FUNT51</t>
  </si>
  <si>
    <t>FWSF31</t>
  </si>
  <si>
    <t>FWSF91</t>
  </si>
  <si>
    <t>GARD51</t>
  </si>
  <si>
    <t>GAYW51</t>
  </si>
  <si>
    <t>GEOR51</t>
  </si>
  <si>
    <t>GESF31</t>
  </si>
  <si>
    <t>GFWS31</t>
  </si>
  <si>
    <t>GISF31</t>
  </si>
  <si>
    <t>GLAM31</t>
  </si>
  <si>
    <t>GLAS31</t>
  </si>
  <si>
    <t>GLAX51</t>
  </si>
  <si>
    <t>GLEM51</t>
  </si>
  <si>
    <t>GLEN31</t>
  </si>
  <si>
    <t>GODM51</t>
  </si>
  <si>
    <t>GOLD51</t>
  </si>
  <si>
    <t>GOOS51</t>
  </si>
  <si>
    <t>GORL31</t>
  </si>
  <si>
    <t>GPSF31</t>
  </si>
  <si>
    <t>GRAY51</t>
  </si>
  <si>
    <t>GREE51</t>
  </si>
  <si>
    <t>GROT51</t>
  </si>
  <si>
    <t>GROV51</t>
  </si>
  <si>
    <t>GSBF31</t>
  </si>
  <si>
    <t>GTFR31</t>
  </si>
  <si>
    <t>GTMI51</t>
  </si>
  <si>
    <t>GTWI51</t>
  </si>
  <si>
    <t>GUNS31</t>
  </si>
  <si>
    <t>GUNW31</t>
  </si>
  <si>
    <t>GUSF51</t>
  </si>
  <si>
    <t>GUYH51</t>
  </si>
  <si>
    <t>GYAR31</t>
  </si>
  <si>
    <t>GYAR51</t>
  </si>
  <si>
    <t>GYPS11</t>
  </si>
  <si>
    <t>HACH51</t>
  </si>
  <si>
    <t>HAIN51</t>
  </si>
  <si>
    <t>HALS51</t>
  </si>
  <si>
    <t>HANG51</t>
  </si>
  <si>
    <t>HAPT51</t>
  </si>
  <si>
    <t>HAPV31</t>
  </si>
  <si>
    <t>HARD51</t>
  </si>
  <si>
    <t>HARL51</t>
  </si>
  <si>
    <t>HARN51</t>
  </si>
  <si>
    <t>HARN52</t>
  </si>
  <si>
    <t>HARR51</t>
  </si>
  <si>
    <t>HART51</t>
  </si>
  <si>
    <t>HARW51</t>
  </si>
  <si>
    <t>HARW52</t>
  </si>
  <si>
    <t>HASF31</t>
  </si>
  <si>
    <t>HATC31</t>
  </si>
  <si>
    <t>HATF31</t>
  </si>
  <si>
    <t>HATP51</t>
  </si>
  <si>
    <t>HATY71</t>
  </si>
  <si>
    <t>HAVE51</t>
  </si>
  <si>
    <t>HAWO51</t>
  </si>
  <si>
    <t>HEMB51</t>
  </si>
  <si>
    <t>HEME51</t>
  </si>
  <si>
    <t>HEMN51</t>
  </si>
  <si>
    <t>HEMP31</t>
  </si>
  <si>
    <t>HEND31</t>
  </si>
  <si>
    <t>HENS51</t>
  </si>
  <si>
    <t>HENW51</t>
  </si>
  <si>
    <t>HFLD51</t>
  </si>
  <si>
    <t>HIFL31</t>
  </si>
  <si>
    <t>HIGH51</t>
  </si>
  <si>
    <t>HILT51</t>
  </si>
  <si>
    <t>HITC51</t>
  </si>
  <si>
    <t>HLPR51</t>
  </si>
  <si>
    <t>HOBS31</t>
  </si>
  <si>
    <t>HODD51</t>
  </si>
  <si>
    <t>HOGD51</t>
  </si>
  <si>
    <t>HOGD52</t>
  </si>
  <si>
    <t>HOLY31</t>
  </si>
  <si>
    <t>HOLY51</t>
  </si>
  <si>
    <t>HOLY52</t>
  </si>
  <si>
    <t>HONN51</t>
  </si>
  <si>
    <t>HONN52</t>
  </si>
  <si>
    <t>HORE51</t>
  </si>
  <si>
    <t>HORS51</t>
  </si>
  <si>
    <t>HRMT31</t>
  </si>
  <si>
    <t>HSTN51</t>
  </si>
  <si>
    <t>HUNS51</t>
  </si>
  <si>
    <t>HUNT31</t>
  </si>
  <si>
    <t>HUTT51</t>
  </si>
  <si>
    <t>HWIC51</t>
  </si>
  <si>
    <t>HYDE31</t>
  </si>
  <si>
    <t>ICGL31</t>
  </si>
  <si>
    <t>ICKL51</t>
  </si>
  <si>
    <t>ILKE31</t>
  </si>
  <si>
    <t>ILMP51</t>
  </si>
  <si>
    <t>INDU51</t>
  </si>
  <si>
    <t>INGA51</t>
  </si>
  <si>
    <t>IPSW31</t>
  </si>
  <si>
    <t>IPSW51</t>
  </si>
  <si>
    <t>JALW31</t>
  </si>
  <si>
    <t>KBEL51</t>
  </si>
  <si>
    <t>KBRY51</t>
  </si>
  <si>
    <t>KEFA31</t>
  </si>
  <si>
    <t>KEMP51</t>
  </si>
  <si>
    <t>KENN51</t>
  </si>
  <si>
    <t>KENS31</t>
  </si>
  <si>
    <t>KENS51</t>
  </si>
  <si>
    <t>KENT51</t>
  </si>
  <si>
    <t>KHAL51</t>
  </si>
  <si>
    <t>KIGO51</t>
  </si>
  <si>
    <t>KIMB51</t>
  </si>
  <si>
    <t>KLAN51</t>
  </si>
  <si>
    <t>KLPS11</t>
  </si>
  <si>
    <t>KLPS81</t>
  </si>
  <si>
    <t>KLSO31</t>
  </si>
  <si>
    <t>KNAP51</t>
  </si>
  <si>
    <t>KNEB51</t>
  </si>
  <si>
    <t>KWOD51</t>
  </si>
  <si>
    <t>LADY51</t>
  </si>
  <si>
    <t>LAGD51</t>
  </si>
  <si>
    <t>LAIR51</t>
  </si>
  <si>
    <t>LAKE51</t>
  </si>
  <si>
    <t>LAND51</t>
  </si>
  <si>
    <t>LANG51</t>
  </si>
  <si>
    <t>LASF31</t>
  </si>
  <si>
    <t>LASF91</t>
  </si>
  <si>
    <t>LAVE51</t>
  </si>
  <si>
    <t>LAWG31</t>
  </si>
  <si>
    <t>LAXF51</t>
  </si>
  <si>
    <t>LBGD31</t>
  </si>
  <si>
    <t>LBGD51</t>
  </si>
  <si>
    <t>LBGD52</t>
  </si>
  <si>
    <t>LBGD81</t>
  </si>
  <si>
    <t>LBGD82</t>
  </si>
  <si>
    <t>LBUZ51</t>
  </si>
  <si>
    <t>LEAV51</t>
  </si>
  <si>
    <t>LEEM51</t>
  </si>
  <si>
    <t>LEIC31</t>
  </si>
  <si>
    <t>LEIG51</t>
  </si>
  <si>
    <t>LEIS51</t>
  </si>
  <si>
    <t>LESF31</t>
  </si>
  <si>
    <t>LETC31</t>
  </si>
  <si>
    <t>LEVE51</t>
  </si>
  <si>
    <t>LEWS51</t>
  </si>
  <si>
    <t>LEXD51</t>
  </si>
  <si>
    <t>LGMI31</t>
  </si>
  <si>
    <t>LGSF31</t>
  </si>
  <si>
    <t>LGSF91</t>
  </si>
  <si>
    <t>LHTH51</t>
  </si>
  <si>
    <t>LIND51</t>
  </si>
  <si>
    <t>LINT51</t>
  </si>
  <si>
    <t>LISG31</t>
  </si>
  <si>
    <t>LITT51</t>
  </si>
  <si>
    <t>LONG51</t>
  </si>
  <si>
    <t>LONS51</t>
  </si>
  <si>
    <t>LSDE51</t>
  </si>
  <si>
    <t>LSFT51</t>
  </si>
  <si>
    <t>LSGE31</t>
  </si>
  <si>
    <t>LSTN51</t>
  </si>
  <si>
    <t>LTBE51</t>
  </si>
  <si>
    <t>LUST51</t>
  </si>
  <si>
    <t>LUTN31</t>
  </si>
  <si>
    <t>LUTN51</t>
  </si>
  <si>
    <t>LUTS31</t>
  </si>
  <si>
    <t>LYGP51</t>
  </si>
  <si>
    <t>LYLE51</t>
  </si>
  <si>
    <t>MABR71</t>
  </si>
  <si>
    <t>MABR72</t>
  </si>
  <si>
    <t>MACA51</t>
  </si>
  <si>
    <t>MADN51</t>
  </si>
  <si>
    <t>MAGD51</t>
  </si>
  <si>
    <t>MALD31</t>
  </si>
  <si>
    <t>MANN51</t>
  </si>
  <si>
    <t>MANO51</t>
  </si>
  <si>
    <t>MANR51</t>
  </si>
  <si>
    <t>MANT51</t>
  </si>
  <si>
    <t>MARK51</t>
  </si>
  <si>
    <t>MARO51</t>
  </si>
  <si>
    <t>MART51</t>
  </si>
  <si>
    <t>MAWK51</t>
  </si>
  <si>
    <t>MELB51</t>
  </si>
  <si>
    <t>MELT51</t>
  </si>
  <si>
    <t>MERD51</t>
  </si>
  <si>
    <t>MERR51</t>
  </si>
  <si>
    <t>MERS51</t>
  </si>
  <si>
    <t>MFES31</t>
  </si>
  <si>
    <t>MFOT51</t>
  </si>
  <si>
    <t>MFSP31</t>
  </si>
  <si>
    <t>MIDD31</t>
  </si>
  <si>
    <t>MIHI51</t>
  </si>
  <si>
    <t>MILD51</t>
  </si>
  <si>
    <t>MILT51</t>
  </si>
  <si>
    <t>MLFM31</t>
  </si>
  <si>
    <t>MOTE31</t>
  </si>
  <si>
    <t>MOUS51</t>
  </si>
  <si>
    <t>MRCG31</t>
  </si>
  <si>
    <t>MRCH51</t>
  </si>
  <si>
    <t>MSFS31</t>
  </si>
  <si>
    <t>MSHM51</t>
  </si>
  <si>
    <t>MUCK31</t>
  </si>
  <si>
    <t>MUHP51</t>
  </si>
  <si>
    <t>MUHP52</t>
  </si>
  <si>
    <t>MULB51</t>
  </si>
  <si>
    <t>MUN151</t>
  </si>
  <si>
    <t>MUN251</t>
  </si>
  <si>
    <t>MWIK51</t>
  </si>
  <si>
    <t>MWPR51</t>
  </si>
  <si>
    <t>MYBK51</t>
  </si>
  <si>
    <t>NACT51</t>
  </si>
  <si>
    <t>NARB51</t>
  </si>
  <si>
    <t>NCHG51</t>
  </si>
  <si>
    <t>NEAB81</t>
  </si>
  <si>
    <t>NENF51</t>
  </si>
  <si>
    <t>NEVE31</t>
  </si>
  <si>
    <t>NEWM51</t>
  </si>
  <si>
    <t>NEWT51</t>
  </si>
  <si>
    <t>NFIN51</t>
  </si>
  <si>
    <t>NHAR51</t>
  </si>
  <si>
    <t>NHAR52</t>
  </si>
  <si>
    <t>NHIT51</t>
  </si>
  <si>
    <t>NOAK51</t>
  </si>
  <si>
    <t>NODR51</t>
  </si>
  <si>
    <t>NORF31</t>
  </si>
  <si>
    <t>NOVA31</t>
  </si>
  <si>
    <t>NOWN51</t>
  </si>
  <si>
    <t>NPWF31</t>
  </si>
  <si>
    <t>NSTE51</t>
  </si>
  <si>
    <t>NUML81</t>
  </si>
  <si>
    <t>NUML82</t>
  </si>
  <si>
    <t>NWAL51</t>
  </si>
  <si>
    <t>NWEB51</t>
  </si>
  <si>
    <t>OAIR31</t>
  </si>
  <si>
    <t>OFFO51</t>
  </si>
  <si>
    <t>OLDR51</t>
  </si>
  <si>
    <t>OLDW51</t>
  </si>
  <si>
    <t>OLDW52</t>
  </si>
  <si>
    <t>ONGA51</t>
  </si>
  <si>
    <t>ORFO51</t>
  </si>
  <si>
    <t>ORME51</t>
  </si>
  <si>
    <t>ORTO51</t>
  </si>
  <si>
    <t>OSYT31</t>
  </si>
  <si>
    <t>OUTW51</t>
  </si>
  <si>
    <t>OYBE51</t>
  </si>
  <si>
    <t>PAHA31</t>
  </si>
  <si>
    <t>PALM31</t>
  </si>
  <si>
    <t>PAMP81</t>
  </si>
  <si>
    <t>PARK51</t>
  </si>
  <si>
    <t>PARS51</t>
  </si>
  <si>
    <t>PEAS51</t>
  </si>
  <si>
    <t>PECH51</t>
  </si>
  <si>
    <t>PELD51</t>
  </si>
  <si>
    <t>PERR51</t>
  </si>
  <si>
    <t>PERR52</t>
  </si>
  <si>
    <t>PETC31</t>
  </si>
  <si>
    <t>PETC51</t>
  </si>
  <si>
    <t>PETC52</t>
  </si>
  <si>
    <t>PETE51</t>
  </si>
  <si>
    <t>PETE52</t>
  </si>
  <si>
    <t>PETN51</t>
  </si>
  <si>
    <t>PETN52</t>
  </si>
  <si>
    <t>PETS51</t>
  </si>
  <si>
    <t>PICC31</t>
  </si>
  <si>
    <t>PINN51</t>
  </si>
  <si>
    <t>PITS51</t>
  </si>
  <si>
    <t>PLAP31</t>
  </si>
  <si>
    <t>PLAP52</t>
  </si>
  <si>
    <t>PLAY51</t>
  </si>
  <si>
    <t>PLSF31</t>
  </si>
  <si>
    <t>POND51</t>
  </si>
  <si>
    <t>PPST1</t>
  </si>
  <si>
    <t>PPST11</t>
  </si>
  <si>
    <t>PREB51</t>
  </si>
  <si>
    <t>PTGN31</t>
  </si>
  <si>
    <t>PURF31</t>
  </si>
  <si>
    <t>QURF31</t>
  </si>
  <si>
    <t>RADN51</t>
  </si>
  <si>
    <t>RAEG31</t>
  </si>
  <si>
    <t>RAFA51</t>
  </si>
  <si>
    <t>RAFC31</t>
  </si>
  <si>
    <t>RAGN31</t>
  </si>
  <si>
    <t>RAIN51</t>
  </si>
  <si>
    <t>RANW31</t>
  </si>
  <si>
    <t>RAWF31</t>
  </si>
  <si>
    <t>RAYP51</t>
  </si>
  <si>
    <t>RBOW51</t>
  </si>
  <si>
    <t>REED51</t>
  </si>
  <si>
    <t>RESF31</t>
  </si>
  <si>
    <t>REYD51</t>
  </si>
  <si>
    <t>RHAL51</t>
  </si>
  <si>
    <t>RICK51</t>
  </si>
  <si>
    <t>ROMF51</t>
  </si>
  <si>
    <t>ROMN51</t>
  </si>
  <si>
    <t>ROUN51</t>
  </si>
  <si>
    <t>ROYS51</t>
  </si>
  <si>
    <t>RYSF31</t>
  </si>
  <si>
    <t>SAFF51</t>
  </si>
  <si>
    <t>SAIR51</t>
  </si>
  <si>
    <t>SALP51</t>
  </si>
  <si>
    <t>SAND51</t>
  </si>
  <si>
    <t>SANT51</t>
  </si>
  <si>
    <t>SAUN51</t>
  </si>
  <si>
    <t>SAWN51</t>
  </si>
  <si>
    <t>SBFT51</t>
  </si>
  <si>
    <t>SBSF31</t>
  </si>
  <si>
    <t>SCHE51</t>
  </si>
  <si>
    <t>SCHG51</t>
  </si>
  <si>
    <t>SCMO31</t>
  </si>
  <si>
    <t>SCOT51</t>
  </si>
  <si>
    <t>SCOW31</t>
  </si>
  <si>
    <t>SCRT51</t>
  </si>
  <si>
    <t>SCRT52</t>
  </si>
  <si>
    <t>SCSF31</t>
  </si>
  <si>
    <t>SEFW31</t>
  </si>
  <si>
    <t>SELI51</t>
  </si>
  <si>
    <t>SERY51</t>
  </si>
  <si>
    <t>SEVE51</t>
  </si>
  <si>
    <t>SFAS51</t>
  </si>
  <si>
    <t>SGHT51</t>
  </si>
  <si>
    <t>SGRV51</t>
  </si>
  <si>
    <t>SHAR51</t>
  </si>
  <si>
    <t>SHEF51</t>
  </si>
  <si>
    <t>SHEL31</t>
  </si>
  <si>
    <t>SHEN31</t>
  </si>
  <si>
    <t>SHER11</t>
  </si>
  <si>
    <t>SHER12</t>
  </si>
  <si>
    <t>SHIC51</t>
  </si>
  <si>
    <t>SHOT51</t>
  </si>
  <si>
    <t>SHPP51</t>
  </si>
  <si>
    <t>SHRU51</t>
  </si>
  <si>
    <t>SHRW51</t>
  </si>
  <si>
    <t>SHSF31</t>
  </si>
  <si>
    <t>SLEA51</t>
  </si>
  <si>
    <t>SLWN51</t>
  </si>
  <si>
    <t>SMPS51</t>
  </si>
  <si>
    <t>SNET51</t>
  </si>
  <si>
    <t>SOEG51</t>
  </si>
  <si>
    <t>SOEG52</t>
  </si>
  <si>
    <t>SOHA51</t>
  </si>
  <si>
    <t>SOWE51</t>
  </si>
  <si>
    <t>SOWE52</t>
  </si>
  <si>
    <t>SPRI31</t>
  </si>
  <si>
    <t>SPRO51</t>
  </si>
  <si>
    <t>SRUI51</t>
  </si>
  <si>
    <t>SSTE51</t>
  </si>
  <si>
    <t>STAG31</t>
  </si>
  <si>
    <t>STAL51</t>
  </si>
  <si>
    <t>STAN31</t>
  </si>
  <si>
    <t>STAN51</t>
  </si>
  <si>
    <t>STAN52</t>
  </si>
  <si>
    <t>STEV51</t>
  </si>
  <si>
    <t>STHS31</t>
  </si>
  <si>
    <t>STIV51</t>
  </si>
  <si>
    <t>STMF31</t>
  </si>
  <si>
    <t>STOD51</t>
  </si>
  <si>
    <t>STON51</t>
  </si>
  <si>
    <t>STOP51</t>
  </si>
  <si>
    <t>STOW31</t>
  </si>
  <si>
    <t>STOW51</t>
  </si>
  <si>
    <t>STPA51</t>
  </si>
  <si>
    <t>STRA31</t>
  </si>
  <si>
    <t>STSF31</t>
  </si>
  <si>
    <t>STSP51</t>
  </si>
  <si>
    <t>SUDB51</t>
  </si>
  <si>
    <t>SUND31</t>
  </si>
  <si>
    <t>SUTT31</t>
  </si>
  <si>
    <t>SWAF31</t>
  </si>
  <si>
    <t>SWAF51</t>
  </si>
  <si>
    <t>SWAY51</t>
  </si>
  <si>
    <t>SWPR71</t>
  </si>
  <si>
    <t>TAKE51</t>
  </si>
  <si>
    <t>TAPS51</t>
  </si>
  <si>
    <t>TATT51</t>
  </si>
  <si>
    <t>TBAY51</t>
  </si>
  <si>
    <t>TBLP51</t>
  </si>
  <si>
    <t>THAM51</t>
  </si>
  <si>
    <t>THAX31</t>
  </si>
  <si>
    <t>THCR51</t>
  </si>
  <si>
    <t>THCR52</t>
  </si>
  <si>
    <t>THET51</t>
  </si>
  <si>
    <t>THLI51</t>
  </si>
  <si>
    <t>THOL51</t>
  </si>
  <si>
    <t>THOM51</t>
  </si>
  <si>
    <t>THPW31</t>
  </si>
  <si>
    <t>THPW51</t>
  </si>
  <si>
    <t>TILL51</t>
  </si>
  <si>
    <t>TIPT51</t>
  </si>
  <si>
    <t>TIVE51</t>
  </si>
  <si>
    <t>TLEY51</t>
  </si>
  <si>
    <t>TLSF31</t>
  </si>
  <si>
    <t>TOGD31</t>
  </si>
  <si>
    <t>TOGD51</t>
  </si>
  <si>
    <t>TOGD52</t>
  </si>
  <si>
    <t>TRIN51</t>
  </si>
  <si>
    <t>TRSF31</t>
  </si>
  <si>
    <t>TUCK51</t>
  </si>
  <si>
    <t>TUNW51</t>
  </si>
  <si>
    <t>TURN51</t>
  </si>
  <si>
    <t>TURR51</t>
  </si>
  <si>
    <t>TUSF31</t>
  </si>
  <si>
    <t>TWFA31</t>
  </si>
  <si>
    <t>TWSE31</t>
  </si>
  <si>
    <t>TXTD51</t>
  </si>
  <si>
    <t>UASF31</t>
  </si>
  <si>
    <t>UHWF31</t>
  </si>
  <si>
    <t>UKPI91</t>
  </si>
  <si>
    <t>UKPI92</t>
  </si>
  <si>
    <t>UPLA51</t>
  </si>
  <si>
    <t>VALL51</t>
  </si>
  <si>
    <t>VALU71</t>
  </si>
  <si>
    <t>VALU72</t>
  </si>
  <si>
    <t>VERY51</t>
  </si>
  <si>
    <t>VINE31</t>
  </si>
  <si>
    <t>WADD51</t>
  </si>
  <si>
    <t>WAIR31</t>
  </si>
  <si>
    <t>WALS51</t>
  </si>
  <si>
    <t>WALT51</t>
  </si>
  <si>
    <t>WARE51</t>
  </si>
  <si>
    <t>WARH51</t>
  </si>
  <si>
    <t>WARN51</t>
  </si>
  <si>
    <t>WASP51</t>
  </si>
  <si>
    <t>WASW31</t>
  </si>
  <si>
    <t>WATL51</t>
  </si>
  <si>
    <t>WATR51</t>
  </si>
  <si>
    <t>WATT51</t>
  </si>
  <si>
    <t>WAWF31</t>
  </si>
  <si>
    <t>WBEK51</t>
  </si>
  <si>
    <t>WBRA51</t>
  </si>
  <si>
    <t>WBRY51</t>
  </si>
  <si>
    <t>WCHE51</t>
  </si>
  <si>
    <t>WEAL51</t>
  </si>
  <si>
    <t>WELO51</t>
  </si>
  <si>
    <t>WELW51</t>
  </si>
  <si>
    <t>WELW81</t>
  </si>
  <si>
    <t>WELW82</t>
  </si>
  <si>
    <t>WEMP51</t>
  </si>
  <si>
    <t>WEND51</t>
  </si>
  <si>
    <t>WERA31</t>
  </si>
  <si>
    <t>WETH51</t>
  </si>
  <si>
    <t>WFRD51</t>
  </si>
  <si>
    <t>WGRN51</t>
  </si>
  <si>
    <t>WHAM51</t>
  </si>
  <si>
    <t>WHAN51</t>
  </si>
  <si>
    <t>WHAP51</t>
  </si>
  <si>
    <t>WHER51</t>
  </si>
  <si>
    <t>WHET51</t>
  </si>
  <si>
    <t>WHIT51</t>
  </si>
  <si>
    <t>WHOR51</t>
  </si>
  <si>
    <t>WHSF31</t>
  </si>
  <si>
    <t>WICK31</t>
  </si>
  <si>
    <t>WIGG51</t>
  </si>
  <si>
    <t>WISB31</t>
  </si>
  <si>
    <t>WISC51</t>
  </si>
  <si>
    <t>WISS31</t>
  </si>
  <si>
    <t>WITH51</t>
  </si>
  <si>
    <t>WIXO91</t>
  </si>
  <si>
    <t>WIXO92</t>
  </si>
  <si>
    <t>WIXP51</t>
  </si>
  <si>
    <t>WLET51</t>
  </si>
  <si>
    <t>WLON51</t>
  </si>
  <si>
    <t>WLSF31</t>
  </si>
  <si>
    <t>WLTH51</t>
  </si>
  <si>
    <t>WOOD51</t>
  </si>
  <si>
    <t>WOOL31</t>
  </si>
  <si>
    <t>WORD51</t>
  </si>
  <si>
    <t>WORS51</t>
  </si>
  <si>
    <t>WPOT51</t>
  </si>
  <si>
    <t>WRAT51</t>
  </si>
  <si>
    <t>WRDC31</t>
  </si>
  <si>
    <t>WRIT51</t>
  </si>
  <si>
    <t>WROX51</t>
  </si>
  <si>
    <t>WRWY51</t>
  </si>
  <si>
    <t>WSFS31</t>
  </si>
  <si>
    <t>WSTP51</t>
  </si>
  <si>
    <t>WTMI31</t>
  </si>
  <si>
    <t>WYMG31</t>
  </si>
  <si>
    <t>Abberton Grid</t>
  </si>
  <si>
    <t>EPN 0005</t>
  </si>
  <si>
    <t>Acrows Primary</t>
  </si>
  <si>
    <t>EPN 0156</t>
  </si>
  <si>
    <t>Addenbrookes Primary</t>
  </si>
  <si>
    <t>Adelaide St Primary</t>
  </si>
  <si>
    <t>EPN 0164</t>
  </si>
  <si>
    <t>Arla Dairies Primary</t>
  </si>
  <si>
    <t>Aldreth Primary</t>
  </si>
  <si>
    <t>Alpington Primary</t>
  </si>
  <si>
    <t>Amersham Primary</t>
  </si>
  <si>
    <t>Ampthill Primary</t>
  </si>
  <si>
    <t>EPN 0045</t>
  </si>
  <si>
    <t>Arbury Grid</t>
  </si>
  <si>
    <t>EPN 0123</t>
  </si>
  <si>
    <t>Attleborough Primary</t>
  </si>
  <si>
    <t>Austin Canons Grid</t>
  </si>
  <si>
    <t>Austin Canons Primary</t>
  </si>
  <si>
    <t>Austin Street Primary</t>
  </si>
  <si>
    <t>EPN 0149</t>
  </si>
  <si>
    <t>EPN 0073</t>
  </si>
  <si>
    <t>Aylesbury East  Grid</t>
  </si>
  <si>
    <t>Aylsham Primary</t>
  </si>
  <si>
    <t>Barclay Way Primary</t>
  </si>
  <si>
    <t>Barnwell Primary</t>
  </si>
  <si>
    <t>Barnet Grid</t>
  </si>
  <si>
    <t>Barrow Primary</t>
  </si>
  <si>
    <t>Barton Primary</t>
  </si>
  <si>
    <t>EPN 0135</t>
  </si>
  <si>
    <t>Basildon Grid</t>
  </si>
  <si>
    <t>Basildon Local Primary</t>
  </si>
  <si>
    <t>Bassingbourn Primary</t>
  </si>
  <si>
    <t>Barrack St Primary</t>
  </si>
  <si>
    <t>Bata Primary</t>
  </si>
  <si>
    <t>EPN 0035</t>
  </si>
  <si>
    <t>Beccles Primary</t>
  </si>
  <si>
    <t>Berechurch Primary</t>
  </si>
  <si>
    <t>Becontree Primary</t>
  </si>
  <si>
    <t>Bee Primary</t>
  </si>
  <si>
    <t>Berden Hall Farm</t>
  </si>
  <si>
    <t>Beighton Primary</t>
  </si>
  <si>
    <t>Bellhouse Ln Primary</t>
  </si>
  <si>
    <t>Benhall Primary</t>
  </si>
  <si>
    <t>Bentwaters Primary</t>
  </si>
  <si>
    <t>Beresford Av Primary</t>
  </si>
  <si>
    <t>EPN 0043</t>
  </si>
  <si>
    <t>Barsham Primary</t>
  </si>
  <si>
    <t>EPN 0134</t>
  </si>
  <si>
    <t>Braiswick Primary</t>
  </si>
  <si>
    <t>Biggleswade Primary</t>
  </si>
  <si>
    <t>EPN 0127</t>
  </si>
  <si>
    <t>Billericay East Primary</t>
  </si>
  <si>
    <t>Bishops Stortford Grid</t>
  </si>
  <si>
    <t>EPN 0091</t>
  </si>
  <si>
    <t>EPN 0076</t>
  </si>
  <si>
    <t>Belchamp Grid</t>
  </si>
  <si>
    <t>EPN 0141</t>
  </si>
  <si>
    <t>EPN 0130</t>
  </si>
  <si>
    <t>EPN 0170</t>
  </si>
  <si>
    <t>EPN 0140</t>
  </si>
  <si>
    <t>Bois Ln Primary</t>
  </si>
  <si>
    <t>Boundary Park Primary</t>
  </si>
  <si>
    <t>Bourn Primary</t>
  </si>
  <si>
    <t>Boxted Primary</t>
  </si>
  <si>
    <t>Bradwell Primary</t>
  </si>
  <si>
    <t>Brandon Primary</t>
  </si>
  <si>
    <t>EPN 0093</t>
  </si>
  <si>
    <t>EPN 0099</t>
  </si>
  <si>
    <t>Brockenhurst Primary</t>
  </si>
  <si>
    <t>EPN 0010</t>
  </si>
  <si>
    <t>Brentwood Primary</t>
  </si>
  <si>
    <t>EPN 0097</t>
  </si>
  <si>
    <t>EPN 0046</t>
  </si>
  <si>
    <t>EPN 0018</t>
  </si>
  <si>
    <t>Brington Primary</t>
  </si>
  <si>
    <t>EPN 0113</t>
  </si>
  <si>
    <t>EPN 0001</t>
  </si>
  <si>
    <t>EPN 0017</t>
  </si>
  <si>
    <t>EPN 0103</t>
  </si>
  <si>
    <t>Brimsdown North Grid</t>
  </si>
  <si>
    <t>EPN 0049</t>
  </si>
  <si>
    <t>Brogborough Primary</t>
  </si>
  <si>
    <t>EPN 0084</t>
  </si>
  <si>
    <t>Broxbourne Primary</t>
  </si>
  <si>
    <t>EPN 0074</t>
  </si>
  <si>
    <t>EPN 0065</t>
  </si>
  <si>
    <t>EPN 0066</t>
  </si>
  <si>
    <t>EPN 0121</t>
  </si>
  <si>
    <t>EPN 0021</t>
  </si>
  <si>
    <t>Brimsdown South Grid</t>
  </si>
  <si>
    <t>EPN 0015</t>
  </si>
  <si>
    <t>EPN 0080</t>
  </si>
  <si>
    <t>Bruce Gv Primary</t>
  </si>
  <si>
    <t>EPN 0059</t>
  </si>
  <si>
    <t>EPN 0071</t>
  </si>
  <si>
    <t>EPN 0096</t>
  </si>
  <si>
    <t>Brantham Primary</t>
  </si>
  <si>
    <t>Burnham Thorpe Primary</t>
  </si>
  <si>
    <t>EPN 0009</t>
  </si>
  <si>
    <t>Buckingham Rd Primary</t>
  </si>
  <si>
    <t>EPN 0162</t>
  </si>
  <si>
    <t>Bungay Primary</t>
  </si>
  <si>
    <t>Bury Grid</t>
  </si>
  <si>
    <t>Burwell Primary</t>
  </si>
  <si>
    <t>Bushey Mill Grid</t>
  </si>
  <si>
    <t>Bellevue Primary</t>
  </si>
  <si>
    <t>EPN 0146</t>
  </si>
  <si>
    <t>Caddington Primary</t>
  </si>
  <si>
    <t>Caister Primary</t>
  </si>
  <si>
    <t>Canvey Primary</t>
  </si>
  <si>
    <t>Capability Green Primary</t>
  </si>
  <si>
    <t>EPN 0003</t>
  </si>
  <si>
    <t>EPN 0024</t>
  </si>
  <si>
    <t>Central Edmonton Primary</t>
  </si>
  <si>
    <t>Cell Barnes Primary</t>
  </si>
  <si>
    <t>EPN 0041</t>
  </si>
  <si>
    <t>Chalvedon Primary</t>
  </si>
  <si>
    <t>Chantry Ln Primary</t>
  </si>
  <si>
    <t>Central Harpenden Primary</t>
  </si>
  <si>
    <t>Chase Cross Primary</t>
  </si>
  <si>
    <t>Chatteris Primary</t>
  </si>
  <si>
    <t>Chaul End Primary</t>
  </si>
  <si>
    <t>Cheddington Primary</t>
  </si>
  <si>
    <t>Chelmsford East Local</t>
  </si>
  <si>
    <t>Chequers Primary</t>
  </si>
  <si>
    <t>Cherry Grn Primary</t>
  </si>
  <si>
    <t>Chinnor Primary</t>
  </si>
  <si>
    <t>Chisbon Heath Primary</t>
  </si>
  <si>
    <t>Chelmsford East Grid</t>
  </si>
  <si>
    <t>Cherry Tree Primary</t>
  </si>
  <si>
    <t>Church End Primary</t>
  </si>
  <si>
    <t>Clacton</t>
  </si>
  <si>
    <t>Claydon Cement Primary</t>
  </si>
  <si>
    <t>EPN 0224</t>
  </si>
  <si>
    <t>Cliff Quay Grid</t>
  </si>
  <si>
    <t>Clacton Grid</t>
  </si>
  <si>
    <t>Cockfosters Primary</t>
  </si>
  <si>
    <t>Coggeshall Primary</t>
  </si>
  <si>
    <t>Colchester Grid</t>
  </si>
  <si>
    <t>EPN 0120</t>
  </si>
  <si>
    <t>EPN 0060</t>
  </si>
  <si>
    <t>Cornard Primary</t>
  </si>
  <si>
    <t>Coryton Grid</t>
  </si>
  <si>
    <t>Cotton Primary</t>
  </si>
  <si>
    <t>Coxford Primary</t>
  </si>
  <si>
    <t>Central Potters Bar Primary</t>
  </si>
  <si>
    <t>Cranham Primary</t>
  </si>
  <si>
    <t>Cringleford Primary</t>
  </si>
  <si>
    <t>Crouch End Primary</t>
  </si>
  <si>
    <t>Cromer Primary</t>
  </si>
  <si>
    <t>Crowland(WPD)</t>
  </si>
  <si>
    <t>Croydon Primary</t>
  </si>
  <si>
    <t>EPN 0151</t>
  </si>
  <si>
    <t>Central Tottenham Primary</t>
  </si>
  <si>
    <t>Cuffley Primary</t>
  </si>
  <si>
    <t>Central Welwyn Primary</t>
  </si>
  <si>
    <t>Central Wembley Primary</t>
  </si>
  <si>
    <t>EPN 0124</t>
  </si>
  <si>
    <t>EPN 0034</t>
  </si>
  <si>
    <t>Danbury Primary</t>
  </si>
  <si>
    <t>Debenham Primary</t>
  </si>
  <si>
    <t>Dock Rd Primary</t>
  </si>
  <si>
    <t>EPN 0040</t>
  </si>
  <si>
    <t>Dovercourt Primary</t>
  </si>
  <si>
    <t>Downham Market Primary</t>
  </si>
  <si>
    <t>EPN 0016</t>
  </si>
  <si>
    <t>Drinkstone Primary</t>
  </si>
  <si>
    <t>Diss Grid</t>
  </si>
  <si>
    <t>Dunmow Primary</t>
  </si>
  <si>
    <t>Dunstable Primary</t>
  </si>
  <si>
    <t>Durham Rd Primary</t>
  </si>
  <si>
    <t>Earlham Grid Local</t>
  </si>
  <si>
    <t>Earlham West Primary</t>
  </si>
  <si>
    <t>East Bay Primary</t>
  </si>
  <si>
    <t>Eastcote Primary</t>
  </si>
  <si>
    <t>East Barnet Primary</t>
  </si>
  <si>
    <t>EPN 0053</t>
  </si>
  <si>
    <t>East Dereham Primary</t>
  </si>
  <si>
    <t>Edison Rd Grid</t>
  </si>
  <si>
    <t>East Enfield Primary</t>
  </si>
  <si>
    <t>EPN 0029</t>
  </si>
  <si>
    <t>East Finchley Primary</t>
  </si>
  <si>
    <t>EPN 0107</t>
  </si>
  <si>
    <t>Egmere Primary</t>
  </si>
  <si>
    <t>East Harpenden Primary</t>
  </si>
  <si>
    <t>East Hertford Primary</t>
  </si>
  <si>
    <t>EPN 0027</t>
  </si>
  <si>
    <t>EPN 0214</t>
  </si>
  <si>
    <t>Elstree Primary</t>
  </si>
  <si>
    <t>East Letchworth Primary</t>
  </si>
  <si>
    <t>EPN 0056</t>
  </si>
  <si>
    <t>Elm Park Primary</t>
  </si>
  <si>
    <t>Elmswell Primary</t>
  </si>
  <si>
    <t>Ely Primary</t>
  </si>
  <si>
    <t>Epping Grid</t>
  </si>
  <si>
    <t>East Stevenage Primary</t>
  </si>
  <si>
    <t>Exchange St Primary</t>
  </si>
  <si>
    <t>Exning Primary</t>
  </si>
  <si>
    <t>EPN 0165</t>
  </si>
  <si>
    <t>EPN 0031</t>
  </si>
  <si>
    <t>Eye Primary</t>
  </si>
  <si>
    <t>Fagbury Rd Primary</t>
  </si>
  <si>
    <t>Fairstead Primary</t>
  </si>
  <si>
    <t>Fakenham Primary</t>
  </si>
  <si>
    <t>Farcet Primary</t>
  </si>
  <si>
    <t>EPN 0012</t>
  </si>
  <si>
    <t>Feltwell Primary</t>
  </si>
  <si>
    <t>EPN 0047</t>
  </si>
  <si>
    <t>Finchley Grid</t>
  </si>
  <si>
    <t>Fleethall Grid</t>
  </si>
  <si>
    <t>Fords Dunton Primary</t>
  </si>
  <si>
    <t>Fore Hamlet Primary</t>
  </si>
  <si>
    <t>Fornham Primary</t>
  </si>
  <si>
    <t>EPN 0157</t>
  </si>
  <si>
    <t>Foxash Primary</t>
  </si>
  <si>
    <t>Framlingham Primary</t>
  </si>
  <si>
    <t>Frinton Primary</t>
  </si>
  <si>
    <t>Frogmore Primary</t>
  </si>
  <si>
    <t>Frythe</t>
  </si>
  <si>
    <t>EPN 0109</t>
  </si>
  <si>
    <t>EPN 0068</t>
  </si>
  <si>
    <t>Fulbourn Grid</t>
  </si>
  <si>
    <t>Funthams Ln Primary</t>
  </si>
  <si>
    <t>EPN 0129</t>
  </si>
  <si>
    <t>Gardiners Ln Primary</t>
  </si>
  <si>
    <t>Gaywood Bridge Primary</t>
  </si>
  <si>
    <t>George Hill Primary</t>
  </si>
  <si>
    <t>EPN 0139</t>
  </si>
  <si>
    <t>EPN 0179</t>
  </si>
  <si>
    <t>EPN 0220</t>
  </si>
  <si>
    <t>EPN 0118</t>
  </si>
  <si>
    <t>EPN 0105</t>
  </si>
  <si>
    <t>Glaxo Primary</t>
  </si>
  <si>
    <t>Glemsford Primary</t>
  </si>
  <si>
    <t>EPN 0026</t>
  </si>
  <si>
    <t>Godmanchester Primary</t>
  </si>
  <si>
    <t>Golders Grn Primary</t>
  </si>
  <si>
    <t>Gooseberry Grn Primary</t>
  </si>
  <si>
    <t>Gorleston Grid</t>
  </si>
  <si>
    <t>EPN 0210</t>
  </si>
  <si>
    <t>Grays Primary</t>
  </si>
  <si>
    <t>Greenhill Primary</t>
  </si>
  <si>
    <t>Groton Primary</t>
  </si>
  <si>
    <t>Grove Mill Primary</t>
  </si>
  <si>
    <t>EPN 0169</t>
  </si>
  <si>
    <t>EPN 0167</t>
  </si>
  <si>
    <t>Gt Missenden Primary</t>
  </si>
  <si>
    <t>Great Witchingham Primary</t>
  </si>
  <si>
    <t>EPN 0028</t>
  </si>
  <si>
    <t>EPN 0019</t>
  </si>
  <si>
    <t>Gusford Hall Primary</t>
  </si>
  <si>
    <t>Guyhirn Primary</t>
  </si>
  <si>
    <t>GT Yarmouth Grid</t>
  </si>
  <si>
    <t>EPN 0048</t>
  </si>
  <si>
    <t>Hacheston Primary</t>
  </si>
  <si>
    <t>Hainault Av Primary</t>
  </si>
  <si>
    <t>Halstead Primary</t>
  </si>
  <si>
    <t>Hanger Lea Primary</t>
  </si>
  <si>
    <t>Hapton Primary</t>
  </si>
  <si>
    <t>EPN 0051</t>
  </si>
  <si>
    <t>Hardingham Primary</t>
  </si>
  <si>
    <t>Harleston Primary</t>
  </si>
  <si>
    <t>Harrow North Grid</t>
  </si>
  <si>
    <t>Harrowden Primary</t>
  </si>
  <si>
    <t>Hartspring Primary</t>
  </si>
  <si>
    <t>Harlow West Grid</t>
  </si>
  <si>
    <t>EPN 0168</t>
  </si>
  <si>
    <t>Hatch End</t>
  </si>
  <si>
    <t>Hatfield Grid</t>
  </si>
  <si>
    <t>Hatfield Primary</t>
  </si>
  <si>
    <t>EPN 0082</t>
  </si>
  <si>
    <t>Haverhill Primary</t>
  </si>
  <si>
    <t>Harold Wood Primary</t>
  </si>
  <si>
    <t>Hemblington Primary</t>
  </si>
  <si>
    <t>Hemel East Primary</t>
  </si>
  <si>
    <t>Hemel North Primary</t>
  </si>
  <si>
    <t>Hempton Grid</t>
  </si>
  <si>
    <t>Hendon</t>
  </si>
  <si>
    <t>Henstead Primary</t>
  </si>
  <si>
    <t>Hendon Way Primary</t>
  </si>
  <si>
    <t>Highfield Primary</t>
  </si>
  <si>
    <t>EPN 0067</t>
  </si>
  <si>
    <t>High St Primary</t>
  </si>
  <si>
    <t>Hilton Primary</t>
  </si>
  <si>
    <t>Hitcham Primary</t>
  </si>
  <si>
    <t>Halesworth Primary</t>
  </si>
  <si>
    <t>EPN 0137</t>
  </si>
  <si>
    <t>Hoddesdon Primary</t>
  </si>
  <si>
    <t>Hornsey Grid</t>
  </si>
  <si>
    <t>Holywell Grid</t>
  </si>
  <si>
    <t>Honington Primary</t>
  </si>
  <si>
    <t>Houghton Regis Primary</t>
  </si>
  <si>
    <t>Horsford Primary</t>
  </si>
  <si>
    <t>EPN 0204</t>
  </si>
  <si>
    <t>Histon Primary</t>
  </si>
  <si>
    <t>Hunstanton Primary</t>
  </si>
  <si>
    <t>Huntingdon Grid</t>
  </si>
  <si>
    <t>Hutton Primary</t>
  </si>
  <si>
    <t>Hardwick Rd Primary</t>
  </si>
  <si>
    <t>EPN 0062</t>
  </si>
  <si>
    <t>EPN 0125</t>
  </si>
  <si>
    <t>Icklingham Primary</t>
  </si>
  <si>
    <t>Ilketshall Grid</t>
  </si>
  <si>
    <t>Ilmer Primary</t>
  </si>
  <si>
    <t>Industrial Primary</t>
  </si>
  <si>
    <t>Ingatestone Primary</t>
  </si>
  <si>
    <t>Ipswich Grid</t>
  </si>
  <si>
    <t>EPN 0142</t>
  </si>
  <si>
    <t>Kimms Belt Primary</t>
  </si>
  <si>
    <t>Kingsbury Primary</t>
  </si>
  <si>
    <t>EPN 0154</t>
  </si>
  <si>
    <t>Kempstone Primary</t>
  </si>
  <si>
    <t>Kennett Primary</t>
  </si>
  <si>
    <t>EPN 0212</t>
  </si>
  <si>
    <t>Kensworth Primary</t>
  </si>
  <si>
    <t>Kenton Primary</t>
  </si>
  <si>
    <t>Kenninghall Primary</t>
  </si>
  <si>
    <t>EPN 0011</t>
  </si>
  <si>
    <t>Kimbolton Primary</t>
  </si>
  <si>
    <t>Kings Langley Primary</t>
  </si>
  <si>
    <t>EPN 0101</t>
  </si>
  <si>
    <t>Kings Lynn  Grid</t>
  </si>
  <si>
    <t>Knapton Primary</t>
  </si>
  <si>
    <t>Knebworth Primary</t>
  </si>
  <si>
    <t>Kingswood Primary</t>
  </si>
  <si>
    <t>Ladysmith Rd Primary</t>
  </si>
  <si>
    <t>Langdon Primary</t>
  </si>
  <si>
    <t>Luton Airport Primary</t>
  </si>
  <si>
    <t>Lake &amp; Elliot Primary</t>
  </si>
  <si>
    <t>Landbeach Primary</t>
  </si>
  <si>
    <t>Langham Primary</t>
  </si>
  <si>
    <t>EPN 0143</t>
  </si>
  <si>
    <t>Langley Av Primary</t>
  </si>
  <si>
    <t>Lawford Grid</t>
  </si>
  <si>
    <t>Laxfield Primary</t>
  </si>
  <si>
    <t>Little Barford</t>
  </si>
  <si>
    <t>EPN 0038</t>
  </si>
  <si>
    <t>Leighton Buzzard Primary</t>
  </si>
  <si>
    <t>Leavesden Studios Primary</t>
  </si>
  <si>
    <t>EPN 0085</t>
  </si>
  <si>
    <t>Leicester Rd Grid</t>
  </si>
  <si>
    <t>Leigh Primary</t>
  </si>
  <si>
    <t>Leiston Primary</t>
  </si>
  <si>
    <t>EPN 0108</t>
  </si>
  <si>
    <t>Letchworth Grid</t>
  </si>
  <si>
    <t>Leverington Primary</t>
  </si>
  <si>
    <t>Lewsey Primary</t>
  </si>
  <si>
    <t>Lexden Primary</t>
  </si>
  <si>
    <t>EPN 0092</t>
  </si>
  <si>
    <t>EPN 0144</t>
  </si>
  <si>
    <t>Lakenheath Primary</t>
  </si>
  <si>
    <t>Lindsey St Primary</t>
  </si>
  <si>
    <t>Linton Primary</t>
  </si>
  <si>
    <t>EPN 0163</t>
  </si>
  <si>
    <t>Littleport Primary</t>
  </si>
  <si>
    <t>Long Rd Primary</t>
  </si>
  <si>
    <t>Lonsdale Dr Primary</t>
  </si>
  <si>
    <t>Lakeside Primary</t>
  </si>
  <si>
    <t>Lowestoft Grid</t>
  </si>
  <si>
    <t>EPN 0023</t>
  </si>
  <si>
    <t>Longstanton Primary</t>
  </si>
  <si>
    <t>Little Belhus Primary</t>
  </si>
  <si>
    <t>Luton St Marys Primary</t>
  </si>
  <si>
    <t>Luton North Grid</t>
  </si>
  <si>
    <t>Luton South Grid</t>
  </si>
  <si>
    <t>Lye Grn Primary</t>
  </si>
  <si>
    <t>Lyle Primary</t>
  </si>
  <si>
    <t>Manganese Bronze Primary</t>
  </si>
  <si>
    <t>Maldon Causeway Primary</t>
  </si>
  <si>
    <t>Madingley Rd Primary</t>
  </si>
  <si>
    <t>Magdalen Way Primary</t>
  </si>
  <si>
    <t>Maldon Grid</t>
  </si>
  <si>
    <t>Manns Rd Primary</t>
  </si>
  <si>
    <t>Manor Road Primary</t>
  </si>
  <si>
    <t>EPN 0095</t>
  </si>
  <si>
    <t>Manton Ln Primary</t>
  </si>
  <si>
    <t>Marks Tey Primary</t>
  </si>
  <si>
    <t>Marston Rd Primary</t>
  </si>
  <si>
    <t>Martham Primary</t>
  </si>
  <si>
    <t>Maldon Wick Primary</t>
  </si>
  <si>
    <t>Melbourn  Primary</t>
  </si>
  <si>
    <t>Melton Primary</t>
  </si>
  <si>
    <t>EPN 0077</t>
  </si>
  <si>
    <t>Merryhill Primary</t>
  </si>
  <si>
    <t>Mersea Rd Primary</t>
  </si>
  <si>
    <t>EPN 0158</t>
  </si>
  <si>
    <t>Marshfoot Road Primary</t>
  </si>
  <si>
    <t>EPN 0171</t>
  </si>
  <si>
    <t>EPN 0072</t>
  </si>
  <si>
    <t>Mill Hill Primary</t>
  </si>
  <si>
    <t>Mildenhall Primary</t>
  </si>
  <si>
    <t>Milton Rd Primary</t>
  </si>
  <si>
    <t>EPN 0218</t>
  </si>
  <si>
    <t>EPN 0221</t>
  </si>
  <si>
    <t>Mousehold Primary</t>
  </si>
  <si>
    <t>March Grid</t>
  </si>
  <si>
    <t>March Primary</t>
  </si>
  <si>
    <t>EPN 0112</t>
  </si>
  <si>
    <t>Martlesham Primary</t>
  </si>
  <si>
    <t>EPN 0090</t>
  </si>
  <si>
    <t>Much Hadham Primary</t>
  </si>
  <si>
    <t>Mulbarton Primary</t>
  </si>
  <si>
    <t>EPN 0078</t>
  </si>
  <si>
    <t>EPN 0079</t>
  </si>
  <si>
    <t>Marshalswick Primary</t>
  </si>
  <si>
    <t>Manor Way Primary</t>
  </si>
  <si>
    <t>May &amp; Baker Primary</t>
  </si>
  <si>
    <t>Nacton Primary</t>
  </si>
  <si>
    <t>Narborough Primary</t>
  </si>
  <si>
    <t>North Chingford Primary</t>
  </si>
  <si>
    <t>EPN 0205</t>
  </si>
  <si>
    <t>North Enfield Primary</t>
  </si>
  <si>
    <t>Nevendon Grid</t>
  </si>
  <si>
    <t>Newmarket Primary</t>
  </si>
  <si>
    <t>Newtown Primary</t>
  </si>
  <si>
    <t>North Finchley Primary</t>
  </si>
  <si>
    <t>New Harlow Primary</t>
  </si>
  <si>
    <t>North Hitchin Primary</t>
  </si>
  <si>
    <t>Noak Hill Primary</t>
  </si>
  <si>
    <t>North Dr Primary</t>
  </si>
  <si>
    <t>EPN 0054</t>
  </si>
  <si>
    <t>EPN 0058</t>
  </si>
  <si>
    <t>Northwold Primary</t>
  </si>
  <si>
    <t>EPN 0110</t>
  </si>
  <si>
    <t>North Stevenage Primary</t>
  </si>
  <si>
    <t>EPN 0094</t>
  </si>
  <si>
    <t>North Walsham</t>
  </si>
  <si>
    <t>North Wembley Primary</t>
  </si>
  <si>
    <t>EPN 0152</t>
  </si>
  <si>
    <t>Offord Primary</t>
  </si>
  <si>
    <t>Old Rd Primary</t>
  </si>
  <si>
    <t>Old Welwyn Primary</t>
  </si>
  <si>
    <t>Ongar Primary</t>
  </si>
  <si>
    <t>Orford Primary</t>
  </si>
  <si>
    <t>Ormesby Primary</t>
  </si>
  <si>
    <t>Orton Primary</t>
  </si>
  <si>
    <t>EPN 0145</t>
  </si>
  <si>
    <t>Outwell Moors Primary</t>
  </si>
  <si>
    <t>Oysterbed Rd</t>
  </si>
  <si>
    <t>EPN 0128</t>
  </si>
  <si>
    <t>Palmers Grn Grid</t>
  </si>
  <si>
    <t>EPN 0100</t>
  </si>
  <si>
    <t>Park St Primary</t>
  </si>
  <si>
    <t>Parsons Heath Primary</t>
  </si>
  <si>
    <t>Peasenhall Primary</t>
  </si>
  <si>
    <t>Peachman Way Primary</t>
  </si>
  <si>
    <t>Peldon Primary</t>
  </si>
  <si>
    <t>Perry Primary</t>
  </si>
  <si>
    <t>Peterborough Central</t>
  </si>
  <si>
    <t>Peterborough East Grid</t>
  </si>
  <si>
    <t>Peterborough North Grid</t>
  </si>
  <si>
    <t>Peterborough South Grid</t>
  </si>
  <si>
    <t>Piccotts End Grid</t>
  </si>
  <si>
    <t>Pinner Grn Primary</t>
  </si>
  <si>
    <t>Pitstone Primary</t>
  </si>
  <si>
    <t>EPN 0086</t>
  </si>
  <si>
    <t>P_L_A</t>
  </si>
  <si>
    <t>Playfield Primary</t>
  </si>
  <si>
    <t>EPN 0173</t>
  </si>
  <si>
    <t>Ponders End Primary</t>
  </si>
  <si>
    <t>EPN 0102</t>
  </si>
  <si>
    <t>Prebend St Primary</t>
  </si>
  <si>
    <t>EPN 0088</t>
  </si>
  <si>
    <t>Purfleet Grid</t>
  </si>
  <si>
    <t>EPN 0132</t>
  </si>
  <si>
    <t>Radnor Primary</t>
  </si>
  <si>
    <t>EPN 0044</t>
  </si>
  <si>
    <t>RAF Alconbury Primary</t>
  </si>
  <si>
    <t>EPN 0161</t>
  </si>
  <si>
    <t>EPN 0122</t>
  </si>
  <si>
    <t>Rainham Primary</t>
  </si>
  <si>
    <t>EPN 0116</t>
  </si>
  <si>
    <t>EPN 0160</t>
  </si>
  <si>
    <t>Rayleigh Local Primary</t>
  </si>
  <si>
    <t>Rainbow Ln Primary</t>
  </si>
  <si>
    <t>Reed Primary</t>
  </si>
  <si>
    <t>EPN 0025</t>
  </si>
  <si>
    <t>Reydon Primary</t>
  </si>
  <si>
    <t>Rickinghall Primary</t>
  </si>
  <si>
    <t>Rickmansworth Grid</t>
  </si>
  <si>
    <t>Romford Primary</t>
  </si>
  <si>
    <t>Romford North Primary</t>
  </si>
  <si>
    <t>Roundwood Rd Primary</t>
  </si>
  <si>
    <t>Royston Primary</t>
  </si>
  <si>
    <t>EPN 0175</t>
  </si>
  <si>
    <t>Saffron Walden Primary</t>
  </si>
  <si>
    <t>Stansted Airport Main Pr</t>
  </si>
  <si>
    <t>Sall</t>
  </si>
  <si>
    <t>Sandy Primary</t>
  </si>
  <si>
    <t>St Anthony St Primary</t>
  </si>
  <si>
    <t>Saunderton Primary</t>
  </si>
  <si>
    <t>Sawston Primary</t>
  </si>
  <si>
    <t>South Benfleet Primary</t>
  </si>
  <si>
    <t>EPN 0006</t>
  </si>
  <si>
    <t>South Chelmsford Primary</t>
  </si>
  <si>
    <t>South Chingford Primary</t>
  </si>
  <si>
    <t>EPN 0193</t>
  </si>
  <si>
    <t>Scottow Primary</t>
  </si>
  <si>
    <t>EPN 0153</t>
  </si>
  <si>
    <t>Sudbury Court Primary</t>
  </si>
  <si>
    <t>EPN 0057</t>
  </si>
  <si>
    <t>EPN 0020</t>
  </si>
  <si>
    <t>Selinas Ln Primary</t>
  </si>
  <si>
    <t>Southery Primary</t>
  </si>
  <si>
    <t>Severalls Ln Primary</t>
  </si>
  <si>
    <t>Stickfast Ln Primary</t>
  </si>
  <si>
    <t>Straight Rd Primary</t>
  </si>
  <si>
    <t>Stonegrove Primary</t>
  </si>
  <si>
    <t>South Harlow Primary</t>
  </si>
  <si>
    <t>Shefford Primary</t>
  </si>
  <si>
    <t>Shell Grid</t>
  </si>
  <si>
    <t>Shenfield Grid</t>
  </si>
  <si>
    <t>EPN 0052</t>
  </si>
  <si>
    <t>South Hitchin Primary</t>
  </si>
  <si>
    <t>Shotley Primary</t>
  </si>
  <si>
    <t>Shepreth Primary</t>
  </si>
  <si>
    <t>Shrub End Primary</t>
  </si>
  <si>
    <t>South Harrow Primary</t>
  </si>
  <si>
    <t>EPN 0033</t>
  </si>
  <si>
    <t>Sleaford St Primary</t>
  </si>
  <si>
    <t>Selwyn Rd Primary</t>
  </si>
  <si>
    <t>EPN 0083</t>
  </si>
  <si>
    <t>Snettisham Primary</t>
  </si>
  <si>
    <t>Southend Grid</t>
  </si>
  <si>
    <t>Soham Primary</t>
  </si>
  <si>
    <t>Southend West Primary</t>
  </si>
  <si>
    <t>EPN 0061</t>
  </si>
  <si>
    <t>Sprowston Primary</t>
  </si>
  <si>
    <t>South Ruislip Primary</t>
  </si>
  <si>
    <t>South Stevenage Primary</t>
  </si>
  <si>
    <t>EPN 0115</t>
  </si>
  <si>
    <t>Stalham Primary</t>
  </si>
  <si>
    <t>Stanmore Grid</t>
  </si>
  <si>
    <t>Stevenage Primary</t>
  </si>
  <si>
    <t>EPN 0174</t>
  </si>
  <si>
    <t>St Ives Primary</t>
  </si>
  <si>
    <t>Stamford</t>
  </si>
  <si>
    <t>Stody Primary</t>
  </si>
  <si>
    <t>Stanton Primary</t>
  </si>
  <si>
    <t>Stopsley</t>
  </si>
  <si>
    <t>Stowmarket Grid</t>
  </si>
  <si>
    <t>St Pauls Primary</t>
  </si>
  <si>
    <t>EPN 0064</t>
  </si>
  <si>
    <t>EPN 0216</t>
  </si>
  <si>
    <t>St Stephens Prim</t>
  </si>
  <si>
    <t>Sudbury Primary</t>
  </si>
  <si>
    <t>Sundon</t>
  </si>
  <si>
    <t>EPN 0002</t>
  </si>
  <si>
    <t>Swaffham Grid</t>
  </si>
  <si>
    <t>Storeys Way Primary</t>
  </si>
  <si>
    <t>Stewartby Primary</t>
  </si>
  <si>
    <t>Takeley Primary</t>
  </si>
  <si>
    <t>Tapster St Primary</t>
  </si>
  <si>
    <t>Tattingstone Primary</t>
  </si>
  <si>
    <t>Thorpe Bay Primary</t>
  </si>
  <si>
    <t>Tilbury Compact Grid</t>
  </si>
  <si>
    <t>Thame Primary</t>
  </si>
  <si>
    <t>Thaxted Grid</t>
  </si>
  <si>
    <t>The Cross</t>
  </si>
  <si>
    <t>Thetford Grid</t>
  </si>
  <si>
    <t>The Limes</t>
  </si>
  <si>
    <t>Thorpe Gd Local</t>
  </si>
  <si>
    <t>Thompsons Ln Primary</t>
  </si>
  <si>
    <t>EPN 0030</t>
  </si>
  <si>
    <t>Tillingham Primary</t>
  </si>
  <si>
    <t>Tiptree Primary</t>
  </si>
  <si>
    <t>Tivetshall Primary</t>
  </si>
  <si>
    <t>Thorley Primary</t>
  </si>
  <si>
    <t>EPN 0172</t>
  </si>
  <si>
    <t>Tottenham Grid</t>
  </si>
  <si>
    <t>Tring Primary</t>
  </si>
  <si>
    <t>EPN 0219</t>
  </si>
  <si>
    <t>Tuckswood Primary</t>
  </si>
  <si>
    <t>Tunnel Primary</t>
  </si>
  <si>
    <t>Turnford Primary</t>
  </si>
  <si>
    <t>Turret Ln Primary</t>
  </si>
  <si>
    <t>EPN 0117</t>
  </si>
  <si>
    <t>EPN 0032</t>
  </si>
  <si>
    <t>Trowse Grid</t>
  </si>
  <si>
    <t>Thaxted Local</t>
  </si>
  <si>
    <t>EPN 0039</t>
  </si>
  <si>
    <t>EPN 0166</t>
  </si>
  <si>
    <t>EPN 0089</t>
  </si>
  <si>
    <t>Uplands Pk Primary</t>
  </si>
  <si>
    <t>Valleybridge Rd Primary</t>
  </si>
  <si>
    <t>EPN 0081</t>
  </si>
  <si>
    <t>Verity Way Primary</t>
  </si>
  <si>
    <t>EPN 0190</t>
  </si>
  <si>
    <t>Waddesdon Primary</t>
  </si>
  <si>
    <t>EPN 0055</t>
  </si>
  <si>
    <t>Walsoken Grid</t>
  </si>
  <si>
    <t>Waltham Abbey Primary</t>
  </si>
  <si>
    <t>Ware Primary</t>
  </si>
  <si>
    <t>Warren Heath</t>
  </si>
  <si>
    <t>Warners End Primary</t>
  </si>
  <si>
    <t>Warren Springs Primary</t>
  </si>
  <si>
    <t>EPN 0004</t>
  </si>
  <si>
    <t>Watlington Primary</t>
  </si>
  <si>
    <t>Watsons Rd Primary</t>
  </si>
  <si>
    <t>Watton Primary</t>
  </si>
  <si>
    <t>EPN 0008</t>
  </si>
  <si>
    <t>West Beckham Primary</t>
  </si>
  <si>
    <t>West Braintree Primary</t>
  </si>
  <si>
    <t>Westbury Primary</t>
  </si>
  <si>
    <t>West Chelmsford Primary</t>
  </si>
  <si>
    <t>Wealdstone Primary</t>
  </si>
  <si>
    <t>Welwyn Primary</t>
  </si>
  <si>
    <t>EPN 0075</t>
  </si>
  <si>
    <t>Wembley Park</t>
  </si>
  <si>
    <t>Wendover Primary</t>
  </si>
  <si>
    <t>EPN 0155</t>
  </si>
  <si>
    <t>Wethersfield Primary</t>
  </si>
  <si>
    <t>Wickford Primary</t>
  </si>
  <si>
    <t>West Grn Primary</t>
  </si>
  <si>
    <t>Wymondham Primary</t>
  </si>
  <si>
    <t>West Hanningfield Pri</t>
  </si>
  <si>
    <t>Whapload Rd Primary</t>
  </si>
  <si>
    <t>West Hertford Primary</t>
  </si>
  <si>
    <t>Whetstone Primary</t>
  </si>
  <si>
    <t>Whittlesey Primary</t>
  </si>
  <si>
    <t>West Horndon Primary</t>
  </si>
  <si>
    <t>EPN 0148</t>
  </si>
  <si>
    <t>Wickham Market Grid</t>
  </si>
  <si>
    <t>Wiggenhall Primary</t>
  </si>
  <si>
    <t>EPN 0133</t>
  </si>
  <si>
    <t>EPN 0126</t>
  </si>
  <si>
    <t>Wissington BSC</t>
  </si>
  <si>
    <t>Witham Primary</t>
  </si>
  <si>
    <t>EPN 0063</t>
  </si>
  <si>
    <t>Wix Primary</t>
  </si>
  <si>
    <t>West Letchworth Primary</t>
  </si>
  <si>
    <t>Weston Longville Primary</t>
  </si>
  <si>
    <t>EPN 0007</t>
  </si>
  <si>
    <t>Waltham Park</t>
  </si>
  <si>
    <t>Woodwalton Primary</t>
  </si>
  <si>
    <t>EPN 0136</t>
  </si>
  <si>
    <t>White Roding Primary</t>
  </si>
  <si>
    <t>Worstead Primary</t>
  </si>
  <si>
    <t>West Potters Bar Primary</t>
  </si>
  <si>
    <t>Wratting Primary</t>
  </si>
  <si>
    <t>EPN 0182</t>
  </si>
  <si>
    <t>Writtle St Primary</t>
  </si>
  <si>
    <t>Wroxham Primary</t>
  </si>
  <si>
    <t>Wisbech Railway Primary</t>
  </si>
  <si>
    <t>EPN 0150</t>
  </si>
  <si>
    <t>Westoning Primary</t>
  </si>
  <si>
    <t>EPN 0119</t>
  </si>
  <si>
    <t>Wymondley Grid</t>
  </si>
  <si>
    <t>1050001450466
1050001450475</t>
  </si>
  <si>
    <t>1050000612870
1050001004915
1050001004924</t>
  </si>
  <si>
    <t>1050000612880
1050001004933
1050001004942</t>
  </si>
  <si>
    <t>MANFRM</t>
  </si>
  <si>
    <t>1030037720697
1030037258165</t>
  </si>
  <si>
    <t>`</t>
  </si>
  <si>
    <t>CVA site specific LLFs</t>
  </si>
  <si>
    <t>MSID</t>
  </si>
  <si>
    <t>1050001003372
1050001003381
1050001003390</t>
  </si>
  <si>
    <t>2020/21</t>
  </si>
  <si>
    <t>1 April 2020</t>
  </si>
  <si>
    <t>Copy LDNO sections from CDCM Ouput 101-A in "Tariff Summary" tab for rows 13 to 55</t>
  </si>
  <si>
    <t>Copy data from EDCM Outputs 204-A to 204-E in "LDNO tariffs transposed" tab for rows 56 and below</t>
  </si>
  <si>
    <t>Copy data from EDCM Outputs 202-A in "LDNO tariffs transposed" tab into row 11</t>
  </si>
  <si>
    <t>Copy All-the-way section from CDCM Ouput 101-A in "Tariff Summary" tab into row 13 below</t>
  </si>
  <si>
    <t>CLFFQY</t>
  </si>
  <si>
    <t>CLRDWN</t>
  </si>
  <si>
    <t>PBPS_2</t>
  </si>
  <si>
    <t>HRMT_B</t>
  </si>
  <si>
    <t>HRMT_P</t>
  </si>
  <si>
    <t>ADPT31</t>
  </si>
  <si>
    <t>BRAI31</t>
  </si>
  <si>
    <t>BURL31</t>
  </si>
  <si>
    <t>BUSY51</t>
  </si>
  <si>
    <t>CFBS31</t>
  </si>
  <si>
    <t>CGCS31</t>
  </si>
  <si>
    <t>CLQG11</t>
  </si>
  <si>
    <t>COLI51</t>
  </si>
  <si>
    <t>COLI52</t>
  </si>
  <si>
    <t>CROW11</t>
  </si>
  <si>
    <t>CROW12</t>
  </si>
  <si>
    <t>DORT31</t>
  </si>
  <si>
    <t>ERNR11</t>
  </si>
  <si>
    <t>ESTW31</t>
  </si>
  <si>
    <t>HIHA31</t>
  </si>
  <si>
    <t>HORN31</t>
  </si>
  <si>
    <t>HUNT51</t>
  </si>
  <si>
    <t>KLPS31</t>
  </si>
  <si>
    <t>LORP51</t>
  </si>
  <si>
    <t>LTMA51</t>
  </si>
  <si>
    <t>PGBS11</t>
  </si>
  <si>
    <t>RAMP51</t>
  </si>
  <si>
    <t>REDT3A</t>
  </si>
  <si>
    <t>SUPR51</t>
  </si>
  <si>
    <t>TROW31</t>
  </si>
  <si>
    <t>TWSE11</t>
  </si>
  <si>
    <t>TWSE12</t>
  </si>
  <si>
    <t>WIXM51</t>
  </si>
  <si>
    <t>GYPS5A</t>
  </si>
  <si>
    <t>HFAG31</t>
  </si>
  <si>
    <t>NEBP31</t>
  </si>
  <si>
    <t>REDW31</t>
  </si>
  <si>
    <t>SRSF31</t>
  </si>
  <si>
    <t>SUTT5A</t>
  </si>
  <si>
    <t>TUSF51</t>
  </si>
  <si>
    <t>British Sugar</t>
  </si>
  <si>
    <t>Braintree</t>
  </si>
  <si>
    <t>Burwell Local Grid</t>
  </si>
  <si>
    <t>Claredown Farm Battery Storage</t>
  </si>
  <si>
    <t>Cranham Golf Club Solar Farm</t>
  </si>
  <si>
    <t>Cliff Quay Generation</t>
  </si>
  <si>
    <t>Colindale Grid</t>
  </si>
  <si>
    <t>Crowlands Grid</t>
  </si>
  <si>
    <t>Dock Road Tilbury</t>
  </si>
  <si>
    <t>Ernest Nunn Road</t>
  </si>
  <si>
    <t>Eastman Way Generation</t>
  </si>
  <si>
    <t>Hill Hall Solar Farm</t>
  </si>
  <si>
    <t>Hornchurch Grid</t>
  </si>
  <si>
    <t>Kings Lynn Pwr Stn</t>
  </si>
  <si>
    <t>London Road Primary</t>
  </si>
  <si>
    <t>Lt Massingham Primary</t>
  </si>
  <si>
    <t>Pelham Grid Battery Storage</t>
  </si>
  <si>
    <t>RAF Marham Primary</t>
  </si>
  <si>
    <t>Red Tile Windfarm</t>
  </si>
  <si>
    <t>Sundon Primary</t>
  </si>
  <si>
    <t>Trowse Solar Farm</t>
  </si>
  <si>
    <t>Wixams</t>
  </si>
  <si>
    <t>Gt Yarmouth Power Station</t>
  </si>
  <si>
    <t>Horseley Fen AD Generation</t>
  </si>
  <si>
    <t>Nevendon Battery Park</t>
  </si>
  <si>
    <t>Swanland Road Solar Farm</t>
  </si>
  <si>
    <t>Sutton Power Stn</t>
  </si>
  <si>
    <t>Burnt House Wind &amp; Solar FM</t>
  </si>
  <si>
    <t>Low Voltage Network</t>
  </si>
  <si>
    <t>Low Voltage Substation</t>
  </si>
  <si>
    <t>High Voltage Network</t>
  </si>
  <si>
    <t>High Voltage Substation</t>
  </si>
  <si>
    <t>33kV Generic</t>
  </si>
  <si>
    <t>132kV Generic</t>
  </si>
  <si>
    <t>1023485782546
1050000914900</t>
  </si>
  <si>
    <t>1023518907371
1023518908064</t>
  </si>
  <si>
    <t>TILBEM</t>
  </si>
  <si>
    <t>COMBRN</t>
  </si>
  <si>
    <t>GOOSFM</t>
  </si>
  <si>
    <t>NEVEDN</t>
  </si>
  <si>
    <t>40</t>
  </si>
  <si>
    <t>3</t>
  </si>
  <si>
    <t>11, 25, 43, 46, 58</t>
  </si>
  <si>
    <t>7</t>
  </si>
  <si>
    <t>29, 55, 61</t>
  </si>
  <si>
    <t>22</t>
  </si>
  <si>
    <t>237, 238, 239</t>
  </si>
  <si>
    <t>15, 49, 242, 247, 248</t>
  </si>
  <si>
    <t>205</t>
  </si>
  <si>
    <t>64</t>
  </si>
  <si>
    <t>33</t>
  </si>
  <si>
    <t>250</t>
  </si>
  <si>
    <t>905, 913</t>
  </si>
  <si>
    <t>201</t>
  </si>
  <si>
    <t>202</t>
  </si>
  <si>
    <t>203</t>
  </si>
  <si>
    <t>204</t>
  </si>
  <si>
    <t>1030082588170
1050000414848
1050000423105
1050001757717</t>
  </si>
  <si>
    <t>MOLLAV</t>
  </si>
  <si>
    <t>RAINDC</t>
  </si>
  <si>
    <t>1050001877738
1050001878244</t>
  </si>
  <si>
    <t>1050001877747
1050001878253</t>
  </si>
  <si>
    <t>1050001507458</t>
  </si>
  <si>
    <t>771, 791, 792</t>
  </si>
  <si>
    <t>796, 797</t>
  </si>
  <si>
    <t>798, 799</t>
  </si>
  <si>
    <t>Spare - Import</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</si>
  <si>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</si>
  <si>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CAVDRD</t>
  </si>
  <si>
    <t>LITSTA</t>
  </si>
  <si>
    <t>ARLBES</t>
  </si>
  <si>
    <t>MSID: 7401</t>
  </si>
  <si>
    <t>MSID: 7402</t>
  </si>
  <si>
    <t>1050001872410
1050001872400</t>
  </si>
  <si>
    <t>0.00</t>
  </si>
  <si>
    <t>19, 86</t>
  </si>
  <si>
    <t>79, 80</t>
  </si>
  <si>
    <t>84, 89</t>
  </si>
  <si>
    <t>STA33E</t>
  </si>
  <si>
    <t>ALCORG - Import</t>
  </si>
  <si>
    <t>GREYSH - Import</t>
  </si>
  <si>
    <t>HRMT_B - Import</t>
  </si>
  <si>
    <t>PBPS_2 - Import</t>
  </si>
  <si>
    <t>ESWMID - Export</t>
  </si>
  <si>
    <t>AIAMAN - Export</t>
  </si>
  <si>
    <t>GREYSH - Export</t>
  </si>
  <si>
    <t>HDATTP - Export</t>
  </si>
  <si>
    <t>HRMT_B - Export</t>
  </si>
  <si>
    <t>PBPS_2 - Export</t>
  </si>
  <si>
    <t>FXDFAG - Import</t>
  </si>
  <si>
    <t>FXDOYS - Import</t>
  </si>
  <si>
    <t>GLXOST - Import</t>
  </si>
  <si>
    <t>GLXOW2 - Import</t>
  </si>
  <si>
    <t>GLXOWR - Import</t>
  </si>
  <si>
    <t>HEINZF - Import</t>
  </si>
  <si>
    <t>HRLWDC - Import</t>
  </si>
  <si>
    <t>LAKENH - Import</t>
  </si>
  <si>
    <t>MLVLCM - Import</t>
  </si>
  <si>
    <t>MNBRNZ - Import</t>
  </si>
  <si>
    <t>NRAUTH - Import</t>
  </si>
  <si>
    <t>NYSEIB - Import</t>
  </si>
  <si>
    <t>PRECIS - Import</t>
  </si>
  <si>
    <t>PRMFDS - Import</t>
  </si>
  <si>
    <t>QNETIC - Import</t>
  </si>
  <si>
    <t>RAF_AL - Import</t>
  </si>
  <si>
    <t>RANJAC - Import</t>
  </si>
  <si>
    <t>RNDMHS - Import</t>
  </si>
  <si>
    <t>RPRLTD - Import</t>
  </si>
  <si>
    <t>UB_EYE - Import</t>
  </si>
  <si>
    <t>UBS_UK - Import</t>
  </si>
  <si>
    <t>VXHALL - Import</t>
  </si>
  <si>
    <t>WARNER - Import</t>
  </si>
  <si>
    <t>AIAMAN - Import</t>
  </si>
  <si>
    <t>3VALSW - Import</t>
  </si>
  <si>
    <t>ADBRKS - Import</t>
  </si>
  <si>
    <t>ARLAFD - Import</t>
  </si>
  <si>
    <t>AWOUSE - Import</t>
  </si>
  <si>
    <t>BERMAT - Import</t>
  </si>
  <si>
    <t>BPTLTD - Import</t>
  </si>
  <si>
    <t>BTLCOM - Import</t>
  </si>
  <si>
    <t>CEMXUK - Import</t>
  </si>
  <si>
    <t>CMRODC - Import</t>
  </si>
  <si>
    <t>DGRLTY - Import</t>
  </si>
  <si>
    <t>ESWMID - Import</t>
  </si>
  <si>
    <t>ESWWIX - Import</t>
  </si>
  <si>
    <t>FRDHVS - Import</t>
  </si>
  <si>
    <t>FUJISL - Import</t>
  </si>
  <si>
    <t>ARLAFD - Export</t>
  </si>
  <si>
    <t>84, 89, 903, 918, 988, 989, 990, 991</t>
  </si>
  <si>
    <t>79, 80, 902, 916, 984, 985, 986, 987</t>
  </si>
  <si>
    <t>1, 3, 7, 19, 22, 64, 86, 100, 101, 102, 103, 110, 111, 112, 113, 150, 151, 152, 153, 160, 161, 162, 163, 200, 201, 205, 254, 350, 901, 912, 915, 980, 981, 982, 983</t>
  </si>
  <si>
    <t>STRTHL - Import</t>
  </si>
  <si>
    <t>WAIRWF - Import</t>
  </si>
  <si>
    <t>SFKEFW - Import</t>
  </si>
  <si>
    <t>ASTONC - Import</t>
  </si>
  <si>
    <t>AVENUE - Import</t>
  </si>
  <si>
    <t>BDGHSE - Import</t>
  </si>
  <si>
    <t>BOXTED - Import</t>
  </si>
  <si>
    <t>BSGBRN - Import</t>
  </si>
  <si>
    <t>BRTHS2 - Import</t>
  </si>
  <si>
    <t>CROYDN - Import</t>
  </si>
  <si>
    <t>EXNING - Import</t>
  </si>
  <si>
    <t>FENLND - Import</t>
  </si>
  <si>
    <t>FLYFRM - Import</t>
  </si>
  <si>
    <t>FWINDS - Import</t>
  </si>
  <si>
    <t>GDE132 - Import</t>
  </si>
  <si>
    <t>GOSFLD - Import</t>
  </si>
  <si>
    <t>GRNEND - Import</t>
  </si>
  <si>
    <t>HOBACK - Import</t>
  </si>
  <si>
    <t>HYDESF - Import</t>
  </si>
  <si>
    <t>JKSLNE - Import</t>
  </si>
  <si>
    <t>KNNING - Import</t>
  </si>
  <si>
    <t>LNGFRD - Import</t>
  </si>
  <si>
    <t>LNGHOE - Import</t>
  </si>
  <si>
    <t>LNGHO2 - Import</t>
  </si>
  <si>
    <t>MANORF - Import</t>
  </si>
  <si>
    <t>QRRNDN - Import</t>
  </si>
  <si>
    <t>SCTTOW - Import</t>
  </si>
  <si>
    <t>STOSTH - Import</t>
  </si>
  <si>
    <t>WIGGIN - Import</t>
  </si>
  <si>
    <t>WLBRHM - Import</t>
  </si>
  <si>
    <t>WSBRDG - Import</t>
  </si>
  <si>
    <t>WOOLLY - Import</t>
  </si>
  <si>
    <t>WTRLOO - Import</t>
  </si>
  <si>
    <t>BLGTSF - Import</t>
  </si>
  <si>
    <t>CLTSHL - Import</t>
  </si>
  <si>
    <t>LDAHSF - Import</t>
  </si>
  <si>
    <t>MELBRN - Import</t>
  </si>
  <si>
    <t>WSTNLV - Import</t>
  </si>
  <si>
    <t>BLCAMB - Import</t>
  </si>
  <si>
    <t>BNNSHL - Import</t>
  </si>
  <si>
    <t>BURYLN - Import</t>
  </si>
  <si>
    <t>CHFARM - Import</t>
  </si>
  <si>
    <t>CHPLOW - Import</t>
  </si>
  <si>
    <t>CLDECT - Import</t>
  </si>
  <si>
    <t>DRAYTN - Import</t>
  </si>
  <si>
    <t>ELSAGE - Import</t>
  </si>
  <si>
    <t>HOLTON - Import</t>
  </si>
  <si>
    <t>HONYSM - Import</t>
  </si>
  <si>
    <t>LBZSNS - Import</t>
  </si>
  <si>
    <t>LEICSQ - Import</t>
  </si>
  <si>
    <t>LWRNCE - Import</t>
  </si>
  <si>
    <t>MANFRM - Import</t>
  </si>
  <si>
    <t>NEWTON - Import</t>
  </si>
  <si>
    <t>OULTON - Import</t>
  </si>
  <si>
    <t>RANDCS - Import</t>
  </si>
  <si>
    <t>RMSYSF - Import</t>
  </si>
  <si>
    <t>RMWFII - Import</t>
  </si>
  <si>
    <t>ROOKRY - Import</t>
  </si>
  <si>
    <t>ROYSTN - Import</t>
  </si>
  <si>
    <t>TOGGAM - Import</t>
  </si>
  <si>
    <t>TOOLEY - Import</t>
  </si>
  <si>
    <t>VINESF - Import</t>
  </si>
  <si>
    <t>WRYDEC - Import</t>
  </si>
  <si>
    <t>ARDLGH - Import</t>
  </si>
  <si>
    <t>POBAIL - Import</t>
  </si>
  <si>
    <t>CRANHM - Import</t>
  </si>
  <si>
    <t>GFTHRN - Import</t>
  </si>
  <si>
    <t>GRNILM - Import</t>
  </si>
  <si>
    <t>HRMT_P - Import</t>
  </si>
  <si>
    <t>HHFARM - Import</t>
  </si>
  <si>
    <t>HDATTP - Import</t>
  </si>
  <si>
    <t>LYONSH - Import</t>
  </si>
  <si>
    <t>MILLDR - Import</t>
  </si>
  <si>
    <t>MILLFM - Import</t>
  </si>
  <si>
    <t>MOWLEM - Import</t>
  </si>
  <si>
    <t>OUTWDS - Import</t>
  </si>
  <si>
    <t>PLYTRS - Import</t>
  </si>
  <si>
    <t>SCMOOR - Import</t>
  </si>
  <si>
    <t>SNTBRE - Import</t>
  </si>
  <si>
    <t>SWNLND - Import</t>
  </si>
  <si>
    <t>STNPTS - Import</t>
  </si>
  <si>
    <t>TILGRN - Import</t>
  </si>
  <si>
    <t>TRNCLE - Import</t>
  </si>
  <si>
    <t>UKPRST - Import</t>
  </si>
  <si>
    <t>SEN1&amp;2 - Import</t>
  </si>
  <si>
    <t>ARAMAN - Import</t>
  </si>
  <si>
    <t>STANS3 - Import</t>
  </si>
  <si>
    <t>STANS2 - Import</t>
  </si>
  <si>
    <t>BOCTHA - Import</t>
  </si>
  <si>
    <t>BPA_CO - Import</t>
  </si>
  <si>
    <t>BS_BUR - Import</t>
  </si>
  <si>
    <t>BS_WIS - Import</t>
  </si>
  <si>
    <t>NEWHOL - Import</t>
  </si>
  <si>
    <t>COLDHA - Import</t>
  </si>
  <si>
    <t>DRABED - Import</t>
  </si>
  <si>
    <t>EDLMUC - Import</t>
  </si>
  <si>
    <t>EDLPIT - Import</t>
  </si>
  <si>
    <t>EPRSUT - Import</t>
  </si>
  <si>
    <t>EMR_TI - Import</t>
  </si>
  <si>
    <t>GLASSM - Import</t>
  </si>
  <si>
    <t>REDTI1 - Import</t>
  </si>
  <si>
    <t>FIBEYE - Import</t>
  </si>
  <si>
    <t>FBWTHE - Import</t>
  </si>
  <si>
    <t>FORD_D - Import</t>
  </si>
  <si>
    <t>WILLIA - Import</t>
  </si>
  <si>
    <t>HTFD_L - Import</t>
  </si>
  <si>
    <t>BROGB_ - Import</t>
  </si>
  <si>
    <t>LS&amp;E_N - Import</t>
  </si>
  <si>
    <t>LBARPS - Import</t>
  </si>
  <si>
    <t>LU_FIN - Import</t>
  </si>
  <si>
    <t>LONWST - Import</t>
  </si>
  <si>
    <t>BDWLWF - Import</t>
  </si>
  <si>
    <t>MSDHOD - Import</t>
  </si>
  <si>
    <t>NEWSIL - Import</t>
  </si>
  <si>
    <t>PICKEN - Import</t>
  </si>
  <si>
    <t>PLMPPR - Import</t>
  </si>
  <si>
    <t>PP_COR - Import</t>
  </si>
  <si>
    <t>RANSON - Import</t>
  </si>
  <si>
    <t>CTWDFM - Import</t>
  </si>
  <si>
    <t>SCROBY - Import</t>
  </si>
  <si>
    <t>SHELL_ - Import</t>
  </si>
  <si>
    <t>STAGSH - Import</t>
  </si>
  <si>
    <t>WRGSTE - Import</t>
  </si>
  <si>
    <t>NR_BAS - Import</t>
  </si>
  <si>
    <t>EARLHF - Import</t>
  </si>
  <si>
    <t>NR_COL - Import</t>
  </si>
  <si>
    <t>NR_CRW - Import</t>
  </si>
  <si>
    <t>NR_GRA - Import</t>
  </si>
  <si>
    <t>NR_HOR - Import</t>
  </si>
  <si>
    <t>NR_KNG - Import</t>
  </si>
  <si>
    <t>NR_LBR - Import</t>
  </si>
  <si>
    <t>NR_MAN - Import</t>
  </si>
  <si>
    <t>NR_MIL - Import</t>
  </si>
  <si>
    <t>NR_NRW - Import</t>
  </si>
  <si>
    <t>NR_PET - Import</t>
  </si>
  <si>
    <t>NR_RAY - Import</t>
  </si>
  <si>
    <t>NR_RYE - Import</t>
  </si>
  <si>
    <t>NR_SHN - Import</t>
  </si>
  <si>
    <t>NR_SED - Import</t>
  </si>
  <si>
    <t>NR_SPR - Import</t>
  </si>
  <si>
    <t>NR_STW - Import</t>
  </si>
  <si>
    <t>NR_SUN - Import</t>
  </si>
  <si>
    <t>NR_TOT - Import</t>
  </si>
  <si>
    <t>NR_UGL - Import</t>
  </si>
  <si>
    <t>NR_WEL - Import</t>
  </si>
  <si>
    <t>RAINHM - Import</t>
  </si>
  <si>
    <t>WWYNDC - Import</t>
  </si>
  <si>
    <t>LU_MHO - Import</t>
  </si>
  <si>
    <t>GLASM2 - Import</t>
  </si>
  <si>
    <t>WHMLWF - Import</t>
  </si>
  <si>
    <t>ABSRSF - Import</t>
  </si>
  <si>
    <t>BAYFMS - Import</t>
  </si>
  <si>
    <t>BGWDWF - Import</t>
  </si>
  <si>
    <t>BROXSF - Import</t>
  </si>
  <si>
    <t>BRTHSS - Import</t>
  </si>
  <si>
    <t>BRTHSW - Import</t>
  </si>
  <si>
    <t>CANTSF - Import</t>
  </si>
  <si>
    <t>CHEDSF - Import</t>
  </si>
  <si>
    <t>DRYHSE - Import</t>
  </si>
  <si>
    <t>DBLANE - Import</t>
  </si>
  <si>
    <t>DRAPER - Import</t>
  </si>
  <si>
    <t>EGMRSF - Import</t>
  </si>
  <si>
    <t>ELLOSF - Import</t>
  </si>
  <si>
    <t>EUSTSF - Import</t>
  </si>
  <si>
    <t>EYEWFM - Import</t>
  </si>
  <si>
    <t>HDGMSF - Import</t>
  </si>
  <si>
    <t>HGHFLD - Import</t>
  </si>
  <si>
    <t>LCKFRD - Import</t>
  </si>
  <si>
    <t>EBCKHM - Import</t>
  </si>
  <si>
    <t>HALLFM - Import</t>
  </si>
  <si>
    <t>LEXHSF - Import</t>
  </si>
  <si>
    <t>NVASCT - Import</t>
  </si>
  <si>
    <t>MDWFRM - Import</t>
  </si>
  <si>
    <t>MDLWCK - Import</t>
  </si>
  <si>
    <t>MINGAY - Import</t>
  </si>
  <si>
    <t>NNFKSF - Import</t>
  </si>
  <si>
    <t>PRHMSF - Import</t>
  </si>
  <si>
    <t>REYDON - Import</t>
  </si>
  <si>
    <t>SPRIGS - Import</t>
  </si>
  <si>
    <t>STWBRG - Import</t>
  </si>
  <si>
    <t>BARNFM - Import</t>
  </si>
  <si>
    <t>BERDHF - Import</t>
  </si>
  <si>
    <t>CLAYPV - Import</t>
  </si>
  <si>
    <t>CRSSNG - Import</t>
  </si>
  <si>
    <t>ERNUNN - Import</t>
  </si>
  <si>
    <t>GRNFRM - Import</t>
  </si>
  <si>
    <t>HRSFEN - Import</t>
  </si>
  <si>
    <t>LU_NEA - Import</t>
  </si>
  <si>
    <t>MLLFLD - Import</t>
  </si>
  <si>
    <t>SALHSE - Import</t>
  </si>
  <si>
    <t>CLFFQY - Import</t>
  </si>
  <si>
    <t>CLRDWN - Import</t>
  </si>
  <si>
    <t>NEVEDN - Import</t>
  </si>
  <si>
    <t>HYDESF - Export</t>
  </si>
  <si>
    <t>JKSLNE - Export</t>
  </si>
  <si>
    <t>KNNING - Export</t>
  </si>
  <si>
    <t>LNGFRD - Export</t>
  </si>
  <si>
    <t>LNGHOE - Export</t>
  </si>
  <si>
    <t>LNGHO2 - Export</t>
  </si>
  <si>
    <t>MANORF - Export</t>
  </si>
  <si>
    <t>QRRNDN - Export</t>
  </si>
  <si>
    <t>SCTTOW - Export</t>
  </si>
  <si>
    <t>STOSTH - Export</t>
  </si>
  <si>
    <t>WIGGIN - Export</t>
  </si>
  <si>
    <t>WLBRHM - Export</t>
  </si>
  <si>
    <t>WSBRDG - Export</t>
  </si>
  <si>
    <t>WOOLLY - Export</t>
  </si>
  <si>
    <t>WTRLOO - Export</t>
  </si>
  <si>
    <t>BLGTSF - Export</t>
  </si>
  <si>
    <t>CLTSHL - Export</t>
  </si>
  <si>
    <t>LDAHSF - Export</t>
  </si>
  <si>
    <t>MELBRN - Export</t>
  </si>
  <si>
    <t>SFKEFW - Export</t>
  </si>
  <si>
    <t>WSTNLV - Export</t>
  </si>
  <si>
    <t>ALCORG - Export</t>
  </si>
  <si>
    <t>BARNFM - Export</t>
  </si>
  <si>
    <t>BLCAMB - Export</t>
  </si>
  <si>
    <t>BNNSHL - Export</t>
  </si>
  <si>
    <t>CHPLOW - Export</t>
  </si>
  <si>
    <t>CLDECT - Export</t>
  </si>
  <si>
    <t>CRSSNG - Export</t>
  </si>
  <si>
    <t>DRAYTN - Export</t>
  </si>
  <si>
    <t>ELSAGE - Export</t>
  </si>
  <si>
    <t>GFTHRN - Export</t>
  </si>
  <si>
    <t>GRNFRM - Export</t>
  </si>
  <si>
    <t>HOLTON - Export</t>
  </si>
  <si>
    <t>HONYSM - Export</t>
  </si>
  <si>
    <t>LBZSNS - Export</t>
  </si>
  <si>
    <t>LEICSQ - Export</t>
  </si>
  <si>
    <t>ARDLGH - Export</t>
  </si>
  <si>
    <t>LWRNCE - Export</t>
  </si>
  <si>
    <t>MANFRM - Export</t>
  </si>
  <si>
    <t>MLLFLD - Export</t>
  </si>
  <si>
    <t>NEWTON - Export</t>
  </si>
  <si>
    <t>OULTON - Export</t>
  </si>
  <si>
    <t>OUTWDS - Export</t>
  </si>
  <si>
    <t>RANDCS - Export</t>
  </si>
  <si>
    <t>RMSYSF - Export</t>
  </si>
  <si>
    <t>RMWFII - Export</t>
  </si>
  <si>
    <t>ROOKRY - Export</t>
  </si>
  <si>
    <t>ROYSTN - Export</t>
  </si>
  <si>
    <t>SALHSE - Export</t>
  </si>
  <si>
    <t>TOGGAM - Export</t>
  </si>
  <si>
    <t>TOOLEY - Export</t>
  </si>
  <si>
    <t>VINESF - Export</t>
  </si>
  <si>
    <t>WRYDEC - Export</t>
  </si>
  <si>
    <t>CHFARM - Export</t>
  </si>
  <si>
    <t>CRANHM - Export</t>
  </si>
  <si>
    <t>GRNILM - Export</t>
  </si>
  <si>
    <t>HRMT_P - Export</t>
  </si>
  <si>
    <t>HHFARM - Export</t>
  </si>
  <si>
    <t>LYONSH - Export</t>
  </si>
  <si>
    <t>HRSFEN - Export</t>
  </si>
  <si>
    <t>MILLDR - Export</t>
  </si>
  <si>
    <t>MILLFM - Export</t>
  </si>
  <si>
    <t>MOWLEM - Export</t>
  </si>
  <si>
    <t>PLYTRS - Export</t>
  </si>
  <si>
    <t>SCMOOR - Export</t>
  </si>
  <si>
    <t>SNTBRE - Export</t>
  </si>
  <si>
    <t>SWNLND - Export</t>
  </si>
  <si>
    <t>STNPTS - Export</t>
  </si>
  <si>
    <t>TRNCLE - Export</t>
  </si>
  <si>
    <t>UKPRST - Export</t>
  </si>
  <si>
    <t>BS_BUR - Export</t>
  </si>
  <si>
    <t>EPRSUT - Export</t>
  </si>
  <si>
    <t>FIBEYE - Export</t>
  </si>
  <si>
    <t>REDTI1 - Export</t>
  </si>
  <si>
    <t>MDLWCK - Export</t>
  </si>
  <si>
    <t>STAGSH - Export</t>
  </si>
  <si>
    <t>FBWTHE - Export</t>
  </si>
  <si>
    <t>BS_WIS - Export</t>
  </si>
  <si>
    <t>NR_COL - Export</t>
  </si>
  <si>
    <t>MINGAY - Export</t>
  </si>
  <si>
    <t>NNFKSF - Export</t>
  </si>
  <si>
    <t>STWBRG - Export</t>
  </si>
  <si>
    <t>TILBUR - Export</t>
  </si>
  <si>
    <t>BDWLWF - Export</t>
  </si>
  <si>
    <t>BRTHSS - Export</t>
  </si>
  <si>
    <t>CTWDFM - Export</t>
  </si>
  <si>
    <t>EARLHF - Export</t>
  </si>
  <si>
    <t>GLASM2 - Export</t>
  </si>
  <si>
    <t>WHMLWF - Export</t>
  </si>
  <si>
    <t>ABSRSF - Export</t>
  </si>
  <si>
    <t>BAYFMS - Export</t>
  </si>
  <si>
    <t>BGWDWF - Export</t>
  </si>
  <si>
    <t>BROXSF - Export</t>
  </si>
  <si>
    <t>BRTHSW - Export</t>
  </si>
  <si>
    <t>CANTSF - Export</t>
  </si>
  <si>
    <t>CHEDSF - Export</t>
  </si>
  <si>
    <t>DRYHSE - Export</t>
  </si>
  <si>
    <t>DBLANE - Export</t>
  </si>
  <si>
    <t>DRAPER - Export</t>
  </si>
  <si>
    <t>EGMRSF - Export</t>
  </si>
  <si>
    <t>ELLOSF - Export</t>
  </si>
  <si>
    <t>EUSTSF - Export</t>
  </si>
  <si>
    <t>EYEWFM - Export</t>
  </si>
  <si>
    <t>HDGMSF - Export</t>
  </si>
  <si>
    <t>HGHFLD - Export</t>
  </si>
  <si>
    <t>LCKFRD - Export</t>
  </si>
  <si>
    <t>EBCKHM - Export</t>
  </si>
  <si>
    <t>HALLFM - Export</t>
  </si>
  <si>
    <t>LEXHSF - Export</t>
  </si>
  <si>
    <t>NVASCT - Export</t>
  </si>
  <si>
    <t>MDWFRM - Export</t>
  </si>
  <si>
    <t>FWINDS - Export</t>
  </si>
  <si>
    <t>GDE132 - Export</t>
  </si>
  <si>
    <t>GOSFLD - Export</t>
  </si>
  <si>
    <t>GRNEND - Export</t>
  </si>
  <si>
    <t>HOBACK - Export</t>
  </si>
  <si>
    <t>STRTHL - Export</t>
  </si>
  <si>
    <t>REYDON - Export</t>
  </si>
  <si>
    <t>PRHMSF - Export</t>
  </si>
  <si>
    <t>SPRIGS - Export</t>
  </si>
  <si>
    <t>WAIRWF - Export</t>
  </si>
  <si>
    <t>ASTONC - Export</t>
  </si>
  <si>
    <t>AVENUE - Export</t>
  </si>
  <si>
    <t>BDGHSE - Export</t>
  </si>
  <si>
    <t>BOXTED - Export</t>
  </si>
  <si>
    <t>BSGBRN - Export</t>
  </si>
  <si>
    <t>BRTHS2 - Export</t>
  </si>
  <si>
    <t>BURYLN - Export</t>
  </si>
  <si>
    <t>CROYDN - Export</t>
  </si>
  <si>
    <t>EXNING - Export</t>
  </si>
  <si>
    <t>FENLND - Export</t>
  </si>
  <si>
    <t>FLYFRM - Export</t>
  </si>
  <si>
    <t>BERDHF - Export</t>
  </si>
  <si>
    <t>CLAYPV - Export</t>
  </si>
  <si>
    <t>ERNUNN - Export</t>
  </si>
  <si>
    <t>PLMPPR - Export</t>
  </si>
  <si>
    <t>POBAIL - Export</t>
  </si>
  <si>
    <t>CLFFQY - Export</t>
  </si>
  <si>
    <t>CLRDWN - Export</t>
  </si>
  <si>
    <t>NEVEDN - Export</t>
  </si>
  <si>
    <t>BRCHGP/OLDAIR - Import</t>
  </si>
  <si>
    <t>BRCHGP/OLDAIR - Export</t>
  </si>
  <si>
    <t>TILBEM/TILBUR - Import</t>
  </si>
  <si>
    <t>ICGLTD - Import</t>
  </si>
  <si>
    <t>NR_KNG - Export</t>
  </si>
  <si>
    <t>NR_MIL - Export</t>
  </si>
  <si>
    <t>BROGB_ - Export</t>
  </si>
  <si>
    <t>EDLMUC - Export</t>
  </si>
  <si>
    <t>RAINHM - Export</t>
  </si>
  <si>
    <t>LONWST - Export</t>
  </si>
  <si>
    <t>PICKEN - Export</t>
  </si>
  <si>
    <t>WRGSTE - Export</t>
  </si>
  <si>
    <t>EDLPIT - Export</t>
  </si>
  <si>
    <t>RANSON - Export</t>
  </si>
  <si>
    <t>COLDHA - Export</t>
  </si>
  <si>
    <t>SCROBY - Export</t>
  </si>
  <si>
    <t>NR_CRW - Export</t>
  </si>
  <si>
    <t>NR_BAS - Export</t>
  </si>
  <si>
    <t>NR_MAN - Export</t>
  </si>
  <si>
    <t>NR_NRW - Export</t>
  </si>
  <si>
    <t>NR_RAY - Export</t>
  </si>
  <si>
    <t>NR_SHN - Export</t>
  </si>
  <si>
    <t>NR_SED - Export</t>
  </si>
  <si>
    <t>NR_SPR - Export</t>
  </si>
  <si>
    <t>NR_STW - Export</t>
  </si>
  <si>
    <t>GLASSM - Export</t>
  </si>
  <si>
    <t>NR_SUN - Export</t>
  </si>
  <si>
    <t>NR_TOT - Export</t>
  </si>
  <si>
    <t>NR_UGL - Export</t>
  </si>
  <si>
    <t xml:space="preserve">AMEM_1 </t>
  </si>
  <si>
    <t>NORM_1</t>
  </si>
  <si>
    <t>SUND_1</t>
  </si>
  <si>
    <t>BARKC_A</t>
  </si>
  <si>
    <t>KLYN33/KNGSLN</t>
  </si>
  <si>
    <t>T_EECL-1</t>
  </si>
  <si>
    <t>E_PEAKGEN</t>
  </si>
  <si>
    <t>WDLWWW - Import</t>
  </si>
  <si>
    <t>WDLWWW - Export</t>
  </si>
  <si>
    <t>WDLWWF - Export</t>
  </si>
  <si>
    <t>WDLWWF - Import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</si>
</sst>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
    <numFmt numFmtId="171" formatCode="00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Black]General;[Black]\-General;;[Black]@"/>
    <numFmt numFmtId="180" formatCode="#,##0.00_ ;[Red]\-#,##0.00\ "/>
    <numFmt numFmtId="181" formatCode="_(?,???,??0.000_);[Red]\(?,???,??0.000\);"/>
    <numFmt numFmtId="182" formatCode="_(?,???,??0.00_);[Red]\-0.00;"/>
    <numFmt numFmtId="183" formatCode="_(?,???,??0.000_);[Red]\-0.000;"/>
  </numFmts>
  <fonts count="33"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0"/>
      <color rgb="FF9C6500"/>
      <name val="Arial"/>
      <family val="2"/>
    </font>
    <font>
      <b/>
      <sz val="12"/>
      <name val="Arial"/>
      <family val="2"/>
    </font>
    <font>
      <b/>
      <sz val="11"/>
      <color rgb="FFFF00FF"/>
      <name val="Arial"/>
      <family val="2"/>
    </font>
    <font>
      <b/>
      <sz val="11"/>
      <color rgb="FFFF0000"/>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rgb="FFC0C0C0"/>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rgb="FFCCFF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7">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7"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3" fillId="21" borderId="0" applyNumberFormat="0" applyBorder="0" applyAlignment="0" applyProtection="0"/>
    <xf numFmtId="0" fontId="2" fillId="6"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 fillId="24" borderId="0" applyNumberFormat="0" applyBorder="0" applyAlignment="0" applyProtection="0"/>
    <xf numFmtId="0" fontId="23" fillId="25" borderId="0" applyNumberFormat="0" applyBorder="0" applyAlignment="0" applyProtection="0"/>
    <xf numFmtId="0" fontId="28" fillId="0" borderId="0"/>
    <xf numFmtId="0" fontId="29" fillId="33" borderId="0" applyNumberFormat="0" applyBorder="0" applyAlignment="0" applyProtection="0"/>
  </cellStyleXfs>
  <cellXfs count="313">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0" fillId="0" borderId="1" xfId="0" applyBorder="1" applyAlignment="1">
      <alignment vertical="center"/>
    </xf>
    <xf numFmtId="0" fontId="5" fillId="0" borderId="0" xfId="0" applyFont="1" applyBorder="1" applyAlignment="1">
      <alignment wrapText="1"/>
    </xf>
    <xf numFmtId="0" fontId="0" fillId="0" borderId="0" xfId="0" applyBorder="1"/>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7" borderId="1"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7" xfId="3" applyNumberFormat="1" applyFont="1" applyAlignment="1" applyProtection="1">
      <alignment horizontal="center" vertical="center" wrapText="1"/>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19" fillId="8" borderId="1" xfId="0" applyNumberFormat="1" applyFont="1" applyFill="1" applyBorder="1" applyAlignment="1" applyProtection="1">
      <alignment horizontal="center" vertical="center" wrapText="1"/>
      <protection locked="0"/>
    </xf>
    <xf numFmtId="172" fontId="19" fillId="9" borderId="1" xfId="0" applyNumberFormat="1" applyFont="1" applyFill="1" applyBorder="1" applyAlignment="1" applyProtection="1">
      <alignment horizontal="center" vertical="center"/>
      <protection locked="0"/>
    </xf>
    <xf numFmtId="172" fontId="19" fillId="3" borderId="1" xfId="0" applyNumberFormat="1" applyFont="1" applyFill="1" applyBorder="1" applyAlignment="1" applyProtection="1">
      <alignment horizontal="center" vertical="center"/>
      <protection locked="0"/>
    </xf>
    <xf numFmtId="2" fontId="19" fillId="10" borderId="1" xfId="0" applyNumberFormat="1" applyFont="1" applyFill="1" applyBorder="1" applyAlignment="1" applyProtection="1">
      <alignment horizontal="center" vertical="center"/>
      <protection locked="0"/>
    </xf>
    <xf numFmtId="0" fontId="19" fillId="8" borderId="1" xfId="0" applyFont="1" applyFill="1" applyBorder="1" applyAlignment="1" applyProtection="1">
      <alignment horizontal="center" vertical="center" wrapText="1"/>
      <protection locked="0"/>
    </xf>
    <xf numFmtId="3" fontId="19" fillId="8" borderId="1" xfId="0" applyNumberFormat="1" applyFont="1" applyFill="1" applyBorder="1" applyAlignment="1" applyProtection="1">
      <alignment horizontal="center" vertical="center" wrapText="1"/>
      <protection locked="0"/>
    </xf>
    <xf numFmtId="0" fontId="21" fillId="0" borderId="1" xfId="1" applyFont="1" applyFill="1" applyBorder="1" applyAlignment="1" applyProtection="1">
      <alignment horizontal="center" vertical="center" wrapText="1"/>
    </xf>
    <xf numFmtId="0" fontId="19" fillId="0" borderId="1" xfId="0" applyFont="1" applyBorder="1" applyAlignment="1" applyProtection="1">
      <alignment horizontal="center" vertical="center" wrapText="1"/>
    </xf>
    <xf numFmtId="0" fontId="0" fillId="14"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2"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0" fontId="19" fillId="14"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7"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24" fillId="17" borderId="1" xfId="0" applyFont="1" applyFill="1" applyBorder="1" applyAlignment="1" applyProtection="1">
      <alignment horizontal="center" vertical="center" wrapText="1"/>
      <protection locked="0"/>
    </xf>
    <xf numFmtId="0" fontId="6" fillId="0" borderId="6" xfId="0" applyFont="1" applyBorder="1" applyAlignment="1">
      <alignment vertical="center" wrapText="1"/>
    </xf>
    <xf numFmtId="0" fontId="6" fillId="0" borderId="1" xfId="0" applyFont="1" applyBorder="1" applyAlignment="1">
      <alignment vertical="center" wrapText="1"/>
    </xf>
    <xf numFmtId="0" fontId="24" fillId="15" borderId="1" xfId="0" applyFont="1" applyFill="1" applyBorder="1" applyAlignment="1" applyProtection="1">
      <alignment horizontal="center" vertical="center" wrapText="1"/>
      <protection locked="0"/>
    </xf>
    <xf numFmtId="0" fontId="24" fillId="18" borderId="1" xfId="0" applyFont="1" applyFill="1" applyBorder="1" applyAlignment="1" applyProtection="1">
      <alignment horizontal="center" vertical="center" wrapText="1"/>
      <protection locked="0"/>
    </xf>
    <xf numFmtId="0" fontId="6" fillId="19"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4" borderId="0" xfId="2" applyNumberFormat="1" applyFont="1" applyFill="1" applyBorder="1" applyAlignment="1">
      <alignment horizontal="center" vertical="center" wrapText="1"/>
    </xf>
    <xf numFmtId="0" fontId="0" fillId="14" borderId="0" xfId="0" applyFill="1" applyBorder="1"/>
    <xf numFmtId="0" fontId="0" fillId="14" borderId="0" xfId="0" applyFill="1" applyBorder="1" applyAlignment="1">
      <alignment vertical="center"/>
    </xf>
    <xf numFmtId="0" fontId="7" fillId="14" borderId="0" xfId="7" applyFont="1" applyFill="1" applyBorder="1" applyAlignment="1">
      <alignment vertical="center"/>
    </xf>
    <xf numFmtId="0" fontId="16" fillId="14" borderId="0" xfId="2" applyNumberFormat="1" applyFont="1" applyFill="1" applyBorder="1" applyAlignment="1" applyProtection="1">
      <alignment horizontal="center" vertical="center" wrapText="1"/>
    </xf>
    <xf numFmtId="0" fontId="16" fillId="14" borderId="12" xfId="2" applyNumberFormat="1" applyFont="1" applyFill="1" applyBorder="1" applyAlignment="1">
      <alignment horizontal="center" vertical="center" wrapText="1"/>
    </xf>
    <xf numFmtId="0" fontId="6" fillId="14" borderId="0" xfId="0" applyFont="1" applyFill="1" applyBorder="1" applyAlignment="1">
      <alignment horizontal="left" vertical="center" wrapText="1"/>
    </xf>
    <xf numFmtId="0" fontId="5" fillId="14" borderId="0" xfId="0" applyFont="1" applyFill="1" applyBorder="1" applyAlignment="1">
      <alignment horizontal="left" vertical="center" wrapText="1"/>
    </xf>
    <xf numFmtId="0" fontId="16" fillId="14" borderId="0" xfId="2" applyNumberFormat="1" applyFont="1" applyFill="1" applyBorder="1" applyAlignment="1">
      <alignment vertical="center" wrapText="1"/>
    </xf>
    <xf numFmtId="0" fontId="6" fillId="14" borderId="4" xfId="0" applyFont="1" applyFill="1" applyBorder="1" applyAlignment="1">
      <alignment horizontal="left" vertical="center" wrapText="1"/>
    </xf>
    <xf numFmtId="0" fontId="5" fillId="14" borderId="4" xfId="0" applyFont="1" applyFill="1" applyBorder="1" applyAlignment="1">
      <alignment horizontal="center" vertical="center" wrapText="1"/>
    </xf>
    <xf numFmtId="0" fontId="5" fillId="14" borderId="8" xfId="0" applyFont="1" applyFill="1" applyBorder="1" applyAlignment="1">
      <alignment horizontal="center" vertical="center" wrapText="1"/>
    </xf>
    <xf numFmtId="0" fontId="16" fillId="14"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0" fontId="12" fillId="0" borderId="0" xfId="4" applyAlignment="1" applyProtection="1"/>
    <xf numFmtId="0" fontId="12" fillId="2" borderId="0" xfId="4" applyFont="1" applyFill="1" applyAlignment="1" applyProtection="1">
      <alignment vertical="center"/>
      <protection hidden="1"/>
    </xf>
    <xf numFmtId="175" fontId="5" fillId="9" borderId="1" xfId="7" applyNumberFormat="1" applyFont="1" applyFill="1" applyBorder="1" applyAlignment="1">
      <alignment horizontal="center" vertical="center" wrapText="1"/>
    </xf>
    <xf numFmtId="0" fontId="5" fillId="9" borderId="1" xfId="7" applyNumberFormat="1" applyFont="1" applyFill="1" applyBorder="1" applyAlignment="1" applyProtection="1">
      <alignment horizontal="left" vertical="center" wrapText="1"/>
    </xf>
    <xf numFmtId="1" fontId="5" fillId="9" borderId="1" xfId="7" applyNumberFormat="1" applyFont="1" applyFill="1" applyBorder="1" applyAlignment="1" applyProtection="1">
      <alignment horizontal="left" vertical="center" wrapText="1"/>
    </xf>
    <xf numFmtId="170" fontId="5" fillId="27" borderId="0" xfId="7" applyNumberFormat="1" applyFill="1"/>
    <xf numFmtId="171" fontId="5" fillId="27" borderId="0" xfId="7" applyNumberFormat="1" applyFill="1"/>
    <xf numFmtId="0" fontId="5" fillId="27" borderId="0" xfId="7" applyFill="1"/>
    <xf numFmtId="0" fontId="5" fillId="27" borderId="0" xfId="7" applyFill="1" applyAlignment="1">
      <alignment horizontal="left"/>
    </xf>
    <xf numFmtId="0" fontId="5" fillId="11" borderId="1" xfId="14" applyFont="1" applyFill="1" applyBorder="1" applyAlignment="1" applyProtection="1">
      <alignment vertical="center"/>
      <protection locked="0"/>
    </xf>
    <xf numFmtId="174" fontId="5" fillId="29" borderId="1" xfId="11" applyNumberFormat="1" applyFont="1" applyFill="1" applyBorder="1" applyAlignment="1" applyProtection="1">
      <alignment vertical="center"/>
      <protection locked="0"/>
    </xf>
    <xf numFmtId="173" fontId="2" fillId="28" borderId="1" xfId="10" applyNumberFormat="1" applyFill="1" applyBorder="1" applyAlignment="1" applyProtection="1">
      <alignment vertical="center"/>
    </xf>
    <xf numFmtId="174" fontId="5" fillId="28" borderId="1" xfId="10" applyNumberFormat="1" applyFont="1" applyFill="1" applyBorder="1" applyAlignment="1" applyProtection="1">
      <alignment vertical="center"/>
      <protection locked="0"/>
    </xf>
    <xf numFmtId="174" fontId="5" fillId="31" borderId="1" xfId="10" applyNumberFormat="1" applyFont="1" applyFill="1" applyBorder="1" applyAlignment="1" applyProtection="1">
      <alignment vertical="center"/>
      <protection locked="0"/>
    </xf>
    <xf numFmtId="174" fontId="5" fillId="32"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0" borderId="1" xfId="12" quotePrefix="1" applyFont="1" applyFill="1" applyBorder="1" applyAlignment="1" applyProtection="1">
      <alignment horizontal="center" vertical="center" wrapText="1"/>
    </xf>
    <xf numFmtId="173" fontId="2" fillId="31"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6"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6"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4" fontId="2" fillId="28" borderId="1" xfId="10" applyNumberFormat="1" applyFill="1" applyBorder="1" applyAlignment="1" applyProtection="1">
      <alignment vertical="center"/>
      <protection locked="0"/>
    </xf>
    <xf numFmtId="176" fontId="2" fillId="28" borderId="1" xfId="10" applyNumberFormat="1" applyFill="1" applyBorder="1" applyAlignment="1" applyProtection="1">
      <alignment vertical="center"/>
    </xf>
    <xf numFmtId="176" fontId="2" fillId="31" borderId="1" xfId="10" applyNumberFormat="1" applyFill="1" applyBorder="1" applyAlignment="1" applyProtection="1">
      <alignment vertical="center"/>
    </xf>
    <xf numFmtId="176" fontId="5" fillId="29" borderId="1" xfId="11" applyNumberFormat="1" applyFont="1" applyFill="1" applyBorder="1" applyAlignment="1" applyProtection="1">
      <alignment vertical="center"/>
    </xf>
    <xf numFmtId="176" fontId="5" fillId="32" borderId="1" xfId="11" applyNumberFormat="1" applyFont="1" applyFill="1" applyBorder="1" applyAlignment="1" applyProtection="1">
      <alignment vertical="center"/>
    </xf>
    <xf numFmtId="177" fontId="2" fillId="28" borderId="5" xfId="10" applyNumberFormat="1" applyFill="1" applyBorder="1" applyAlignment="1" applyProtection="1">
      <alignment vertical="center"/>
    </xf>
    <xf numFmtId="177" fontId="2" fillId="28" borderId="1" xfId="10" applyNumberFormat="1" applyFill="1" applyBorder="1" applyAlignment="1" applyProtection="1">
      <alignment vertical="center"/>
    </xf>
    <xf numFmtId="0" fontId="27"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0" borderId="1" xfId="12" quotePrefix="1" applyNumberFormat="1" applyFont="1" applyFill="1" applyBorder="1" applyAlignment="1" applyProtection="1">
      <alignment horizontal="center"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2" fillId="7" borderId="1" xfId="7" quotePrefix="1" applyNumberFormat="1" applyFont="1" applyFill="1" applyBorder="1" applyAlignment="1">
      <alignment horizontal="center" vertical="center" wrapText="1"/>
    </xf>
    <xf numFmtId="0" fontId="0" fillId="0" borderId="0" xfId="0" applyFill="1"/>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7" fillId="0" borderId="0" xfId="5" quotePrefix="1" applyNumberFormat="1" applyFont="1" applyBorder="1" applyAlignment="1" applyProtection="1">
      <alignment horizontal="left" vertical="center"/>
      <protection locked="0"/>
    </xf>
    <xf numFmtId="2" fontId="19" fillId="3" borderId="1" xfId="0" applyNumberFormat="1" applyFont="1" applyFill="1" applyBorder="1" applyAlignment="1" applyProtection="1">
      <alignment horizontal="center" vertical="center"/>
      <protection locked="0"/>
    </xf>
    <xf numFmtId="2" fontId="19" fillId="3" borderId="1" xfId="0" applyNumberFormat="1" applyFont="1" applyFill="1" applyBorder="1" applyAlignment="1" applyProtection="1">
      <alignment horizontal="center" vertical="center"/>
    </xf>
    <xf numFmtId="2" fontId="19" fillId="10" borderId="1" xfId="0" applyNumberFormat="1" applyFont="1" applyFill="1" applyBorder="1" applyAlignment="1" applyProtection="1">
      <alignment horizontal="center" vertical="center"/>
    </xf>
    <xf numFmtId="2" fontId="19" fillId="4" borderId="1" xfId="0" applyNumberFormat="1" applyFont="1" applyFill="1" applyBorder="1" applyAlignment="1" applyProtection="1">
      <alignment horizontal="center" vertical="center"/>
    </xf>
    <xf numFmtId="0" fontId="5" fillId="4" borderId="1" xfId="0" applyFont="1" applyFill="1" applyBorder="1" applyAlignment="1">
      <alignment horizontal="center" vertical="center" wrapText="1"/>
    </xf>
    <xf numFmtId="49" fontId="14" fillId="34" borderId="1" xfId="0" applyNumberFormat="1" applyFont="1" applyFill="1" applyBorder="1" applyAlignment="1" applyProtection="1">
      <alignment horizontal="center" vertical="center" wrapText="1"/>
      <protection locked="0"/>
    </xf>
    <xf numFmtId="0" fontId="5" fillId="1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165" fontId="5" fillId="13" borderId="1" xfId="0" applyNumberFormat="1" applyFont="1" applyFill="1" applyBorder="1" applyAlignment="1" applyProtection="1">
      <alignment horizontal="center" vertical="center" wrapText="1"/>
      <protection locked="0"/>
    </xf>
    <xf numFmtId="165" fontId="3" fillId="13" borderId="1" xfId="0" applyNumberFormat="1" applyFont="1" applyFill="1" applyBorder="1" applyAlignment="1" applyProtection="1">
      <alignment horizontal="center" vertical="center"/>
      <protection locked="0"/>
    </xf>
    <xf numFmtId="0" fontId="5" fillId="4" borderId="1" xfId="0" applyFont="1" applyFill="1" applyBorder="1" applyAlignment="1">
      <alignment vertical="center" wrapText="1"/>
    </xf>
    <xf numFmtId="0" fontId="6" fillId="35" borderId="1" xfId="0" quotePrefix="1" applyFont="1" applyFill="1" applyBorder="1" applyAlignment="1">
      <alignment horizontal="center" vertical="center" wrapText="1"/>
    </xf>
    <xf numFmtId="0" fontId="6" fillId="36" borderId="1" xfId="0" quotePrefix="1" applyFont="1" applyFill="1" applyBorder="1" applyAlignment="1">
      <alignment horizontal="center" vertical="center" wrapText="1"/>
    </xf>
    <xf numFmtId="0" fontId="5" fillId="2" borderId="8" xfId="0" quotePrefix="1" applyFont="1" applyFill="1" applyBorder="1" applyAlignment="1">
      <alignment horizontal="center" vertical="center" wrapText="1"/>
    </xf>
    <xf numFmtId="0" fontId="12" fillId="0" borderId="0" xfId="4" applyAlignment="1" applyProtection="1">
      <alignment horizontal="left" vertical="top" wrapText="1"/>
    </xf>
    <xf numFmtId="172" fontId="6" fillId="16" borderId="3" xfId="0" applyNumberFormat="1" applyFont="1" applyFill="1" applyBorder="1" applyAlignment="1" applyProtection="1">
      <alignment horizontal="center" vertical="center" wrapText="1"/>
      <protection locked="0"/>
    </xf>
    <xf numFmtId="0" fontId="0" fillId="0" borderId="8" xfId="0" applyBorder="1"/>
    <xf numFmtId="175" fontId="5" fillId="9" borderId="5" xfId="7" applyNumberFormat="1" applyFont="1" applyFill="1" applyBorder="1" applyAlignment="1">
      <alignment horizontal="center" vertical="center" wrapText="1"/>
    </xf>
    <xf numFmtId="179" fontId="31" fillId="37" borderId="1" xfId="0" applyNumberFormat="1" applyFont="1" applyFill="1" applyBorder="1" applyAlignment="1" applyProtection="1">
      <alignment horizontal="center" vertical="center" wrapText="1"/>
      <protection locked="0"/>
    </xf>
    <xf numFmtId="172" fontId="20" fillId="15" borderId="1" xfId="0" applyNumberFormat="1" applyFont="1" applyFill="1" applyBorder="1" applyAlignment="1" applyProtection="1">
      <alignment horizontal="center" vertical="center"/>
      <protection locked="0"/>
    </xf>
    <xf numFmtId="172" fontId="20" fillId="18" borderId="1" xfId="0" applyNumberFormat="1" applyFont="1" applyFill="1" applyBorder="1" applyAlignment="1" applyProtection="1">
      <alignment horizontal="center" vertical="center"/>
      <protection locked="0"/>
    </xf>
    <xf numFmtId="172" fontId="19" fillId="16" borderId="1" xfId="0" applyNumberFormat="1" applyFont="1" applyFill="1" applyBorder="1" applyAlignment="1" applyProtection="1">
      <alignment horizontal="center" vertical="center"/>
      <protection locked="0"/>
    </xf>
    <xf numFmtId="172" fontId="20" fillId="17" borderId="1" xfId="0" applyNumberFormat="1" applyFont="1" applyFill="1" applyBorder="1" applyAlignment="1" applyProtection="1">
      <alignment horizontal="center" vertical="center"/>
      <protection locked="0"/>
    </xf>
    <xf numFmtId="172" fontId="19" fillId="19" borderId="1" xfId="0" applyNumberFormat="1" applyFont="1" applyFill="1" applyBorder="1" applyAlignment="1" applyProtection="1">
      <alignment horizontal="center" vertical="center"/>
      <protection locked="0"/>
    </xf>
    <xf numFmtId="172" fontId="32" fillId="16" borderId="1" xfId="0" applyNumberFormat="1" applyFont="1" applyFill="1" applyBorder="1" applyAlignment="1" applyProtection="1">
      <alignment horizontal="center" vertical="center"/>
      <protection locked="0"/>
    </xf>
    <xf numFmtId="172" fontId="3" fillId="12" borderId="1" xfId="7" applyNumberFormat="1" applyFont="1" applyFill="1" applyBorder="1" applyAlignment="1" applyProtection="1">
      <alignment horizontal="right" vertical="center" indent="1"/>
      <protection locked="0"/>
    </xf>
    <xf numFmtId="164" fontId="3" fillId="12" borderId="1" xfId="7" applyNumberFormat="1" applyFont="1" applyFill="1" applyBorder="1" applyAlignment="1" applyProtection="1">
      <alignment horizontal="right" vertical="center" indent="1"/>
      <protection locked="0"/>
    </xf>
    <xf numFmtId="172" fontId="3" fillId="9" borderId="1" xfId="7" applyNumberFormat="1" applyFont="1" applyFill="1" applyBorder="1" applyAlignment="1" applyProtection="1">
      <alignment horizontal="right" vertical="center" indent="1"/>
      <protection locked="0"/>
    </xf>
    <xf numFmtId="164" fontId="3" fillId="9" borderId="1" xfId="7" applyNumberFormat="1" applyFont="1" applyFill="1" applyBorder="1" applyAlignment="1" applyProtection="1">
      <alignment horizontal="right" vertical="center" indent="1"/>
      <protection locked="0"/>
    </xf>
    <xf numFmtId="165" fontId="3" fillId="12" borderId="1" xfId="7" applyNumberFormat="1" applyFont="1" applyFill="1" applyBorder="1" applyAlignment="1" applyProtection="1">
      <alignment horizontal="right" vertical="center" indent="1"/>
    </xf>
    <xf numFmtId="164" fontId="3" fillId="12" borderId="1" xfId="7" applyNumberFormat="1" applyFont="1" applyFill="1" applyBorder="1" applyAlignment="1" applyProtection="1">
      <alignment horizontal="right" vertical="center" indent="1"/>
    </xf>
    <xf numFmtId="2" fontId="3" fillId="12" borderId="1" xfId="8" applyNumberFormat="1" applyFont="1" applyFill="1" applyBorder="1" applyAlignment="1" applyProtection="1">
      <alignment horizontal="right" vertical="center" indent="1"/>
    </xf>
    <xf numFmtId="172" fontId="3" fillId="20" borderId="1" xfId="7" applyNumberFormat="1" applyFont="1" applyFill="1" applyBorder="1" applyAlignment="1" applyProtection="1">
      <alignment horizontal="right" vertical="center" indent="1"/>
    </xf>
    <xf numFmtId="164" fontId="3" fillId="20" borderId="1" xfId="7" applyNumberFormat="1" applyFont="1" applyFill="1" applyBorder="1" applyAlignment="1" applyProtection="1">
      <alignment horizontal="right" vertical="center" indent="1"/>
    </xf>
    <xf numFmtId="2" fontId="3" fillId="20" borderId="1" xfId="8" applyNumberFormat="1" applyFont="1" applyFill="1" applyBorder="1" applyAlignment="1" applyProtection="1">
      <alignment horizontal="right" vertical="center" indent="1"/>
    </xf>
    <xf numFmtId="180" fontId="3" fillId="12" borderId="1" xfId="7" applyNumberFormat="1" applyFont="1" applyFill="1" applyBorder="1" applyAlignment="1" applyProtection="1">
      <alignment horizontal="right" vertical="center" indent="1"/>
      <protection locked="0"/>
    </xf>
    <xf numFmtId="180" fontId="3" fillId="9" borderId="1" xfId="7" applyNumberFormat="1" applyFont="1" applyFill="1" applyBorder="1" applyAlignment="1" applyProtection="1">
      <alignment horizontal="right" vertical="center" indent="1"/>
      <protection locked="0"/>
    </xf>
    <xf numFmtId="178" fontId="20" fillId="15" borderId="1" xfId="0" applyNumberFormat="1" applyFont="1" applyFill="1" applyBorder="1" applyAlignment="1" applyProtection="1">
      <alignment horizontal="center" vertical="center"/>
      <protection locked="0"/>
    </xf>
    <xf numFmtId="178" fontId="20" fillId="17" borderId="1" xfId="0" applyNumberFormat="1" applyFont="1" applyFill="1" applyBorder="1" applyAlignment="1" applyProtection="1">
      <alignment horizontal="center" vertical="center"/>
      <protection locked="0"/>
    </xf>
    <xf numFmtId="164" fontId="19" fillId="10" borderId="1" xfId="0" applyNumberFormat="1" applyFont="1" applyFill="1" applyBorder="1" applyAlignment="1" applyProtection="1">
      <alignment horizontal="center" vertical="center"/>
      <protection locked="0"/>
    </xf>
    <xf numFmtId="164" fontId="19" fillId="3" borderId="1" xfId="0" applyNumberFormat="1" applyFont="1" applyFill="1" applyBorder="1" applyAlignment="1" applyProtection="1">
      <alignment horizontal="center" vertical="center"/>
      <protection locked="0"/>
    </xf>
    <xf numFmtId="178" fontId="19" fillId="16" borderId="1" xfId="0" applyNumberFormat="1" applyFont="1" applyFill="1" applyBorder="1" applyAlignment="1" applyProtection="1">
      <alignment horizontal="center" vertical="center"/>
      <protection locked="0"/>
    </xf>
    <xf numFmtId="164" fontId="19" fillId="10" borderId="1" xfId="0" applyNumberFormat="1" applyFont="1" applyFill="1" applyBorder="1" applyAlignment="1" applyProtection="1">
      <alignment horizontal="center" vertical="center"/>
    </xf>
    <xf numFmtId="178" fontId="20" fillId="18" borderId="1" xfId="0" applyNumberFormat="1" applyFont="1" applyFill="1" applyBorder="1" applyAlignment="1" applyProtection="1">
      <alignment horizontal="center" vertical="center"/>
      <protection locked="0"/>
    </xf>
    <xf numFmtId="178" fontId="19" fillId="19" borderId="1" xfId="0" applyNumberFormat="1" applyFont="1" applyFill="1" applyBorder="1" applyAlignment="1" applyProtection="1">
      <alignment horizontal="center" vertical="center"/>
      <protection locked="0"/>
    </xf>
    <xf numFmtId="178" fontId="32" fillId="16" borderId="1" xfId="0" applyNumberFormat="1" applyFont="1" applyFill="1" applyBorder="1" applyAlignment="1" applyProtection="1">
      <alignment horizontal="center" vertical="center"/>
      <protection locked="0"/>
    </xf>
    <xf numFmtId="0" fontId="0" fillId="2" borderId="1" xfId="0" applyFill="1" applyBorder="1" applyAlignment="1">
      <alignment horizontal="left" vertical="center" indent="1"/>
    </xf>
    <xf numFmtId="165" fontId="0" fillId="2" borderId="1" xfId="0" applyNumberFormat="1" applyFill="1" applyBorder="1" applyAlignment="1">
      <alignment horizontal="center" vertical="center"/>
    </xf>
    <xf numFmtId="180" fontId="3" fillId="9" borderId="1" xfId="7" quotePrefix="1" applyNumberFormat="1" applyFont="1" applyFill="1" applyBorder="1" applyAlignment="1" applyProtection="1">
      <alignment horizontal="right" vertical="center" indent="1"/>
      <protection locked="0"/>
    </xf>
    <xf numFmtId="181" fontId="3" fillId="12" borderId="1" xfId="8" applyNumberFormat="1" applyFont="1" applyFill="1" applyBorder="1" applyAlignment="1" applyProtection="1">
      <alignment horizontal="right" vertical="center"/>
    </xf>
    <xf numFmtId="182" fontId="3" fillId="12" borderId="1" xfId="8" applyNumberFormat="1" applyFont="1" applyFill="1" applyBorder="1" applyAlignment="1" applyProtection="1">
      <alignment horizontal="right" vertical="center"/>
    </xf>
    <xf numFmtId="183" fontId="3" fillId="9" borderId="1" xfId="7" applyNumberFormat="1" applyFont="1" applyFill="1" applyBorder="1" applyAlignment="1" applyProtection="1">
      <alignment horizontal="right" vertical="center"/>
      <protection locked="0"/>
    </xf>
    <xf numFmtId="182" fontId="3" fillId="9" borderId="1" xfId="8" applyNumberFormat="1" applyFont="1" applyFill="1" applyBorder="1" applyAlignment="1" applyProtection="1">
      <alignment horizontal="right" vertical="center"/>
      <protection locked="0"/>
    </xf>
    <xf numFmtId="182" fontId="3" fillId="9" borderId="1" xfId="7" applyNumberFormat="1" applyFont="1" applyFill="1" applyBorder="1" applyAlignment="1" applyProtection="1">
      <alignment horizontal="right" vertical="center"/>
      <protection locked="0"/>
    </xf>
    <xf numFmtId="49" fontId="5" fillId="9" borderId="1" xfId="0" quotePrefix="1" applyNumberFormat="1" applyFont="1" applyFill="1" applyBorder="1" applyAlignment="1" applyProtection="1">
      <alignment horizontal="left" vertical="center" wrapText="1" indent="1"/>
      <protection locked="0"/>
    </xf>
    <xf numFmtId="1" fontId="5" fillId="9" borderId="1" xfId="0" quotePrefix="1" applyNumberFormat="1" applyFont="1" applyFill="1" applyBorder="1" applyAlignment="1" applyProtection="1">
      <alignment horizontal="center" vertical="center" wrapText="1"/>
      <protection locked="0"/>
    </xf>
    <xf numFmtId="49" fontId="5" fillId="9" borderId="1" xfId="0" applyNumberFormat="1" applyFont="1" applyFill="1" applyBorder="1" applyAlignment="1" applyProtection="1">
      <alignment horizontal="left" vertical="center" wrapText="1" indent="1"/>
    </xf>
    <xf numFmtId="175" fontId="5" fillId="9" borderId="1" xfId="7" applyNumberFormat="1" applyFont="1" applyFill="1" applyBorder="1" applyAlignment="1">
      <alignment horizontal="left" vertical="center" wrapText="1" indent="1"/>
    </xf>
    <xf numFmtId="182" fontId="3" fillId="12" borderId="1" xfId="8" quotePrefix="1" applyNumberFormat="1" applyFont="1" applyFill="1" applyBorder="1" applyAlignment="1" applyProtection="1">
      <alignment horizontal="right" vertical="center"/>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5" fillId="0" borderId="8" xfId="0" applyFont="1" applyBorder="1" applyAlignment="1">
      <alignment horizontal="left" vertical="center" wrapText="1"/>
    </xf>
    <xf numFmtId="0" fontId="6" fillId="7" borderId="1" xfId="0" applyFont="1" applyFill="1" applyBorder="1" applyAlignment="1" applyProtection="1">
      <alignment horizontal="center" vertical="center" wrapText="1"/>
      <protection locked="0"/>
    </xf>
    <xf numFmtId="0" fontId="12" fillId="0" borderId="0" xfId="4" applyFont="1" applyFill="1" applyBorder="1" applyAlignment="1" applyProtection="1">
      <alignment vertical="center"/>
    </xf>
    <xf numFmtId="0" fontId="0" fillId="0" borderId="1" xfId="0" applyBorder="1" applyAlignment="1">
      <alignment horizontal="center" vertical="center"/>
    </xf>
    <xf numFmtId="0" fontId="0" fillId="0" borderId="1" xfId="0" applyBorder="1" applyAlignment="1">
      <alignment vertical="center" wrapText="1"/>
    </xf>
    <xf numFmtId="165" fontId="0" fillId="0" borderId="1" xfId="0" applyNumberFormat="1" applyBorder="1" applyAlignment="1">
      <alignment horizontal="center" vertical="center"/>
    </xf>
    <xf numFmtId="0" fontId="5" fillId="0" borderId="15" xfId="0" applyFont="1" applyBorder="1" applyAlignment="1">
      <alignment vertical="center" wrapText="1"/>
    </xf>
    <xf numFmtId="0" fontId="5" fillId="0" borderId="16" xfId="0" applyFont="1" applyBorder="1" applyAlignment="1">
      <alignment horizontal="left" vertical="center" wrapText="1"/>
    </xf>
    <xf numFmtId="0" fontId="0" fillId="0" borderId="16" xfId="0" applyBorder="1" applyAlignment="1">
      <alignment vertical="center"/>
    </xf>
    <xf numFmtId="181" fontId="3" fillId="12" borderId="1" xfId="8" quotePrefix="1" applyNumberFormat="1" applyFont="1" applyFill="1" applyBorder="1" applyAlignment="1" applyProtection="1">
      <alignment horizontal="right" vertical="center"/>
    </xf>
    <xf numFmtId="183" fontId="3" fillId="9" borderId="1" xfId="7" quotePrefix="1" applyNumberFormat="1" applyFont="1" applyFill="1" applyBorder="1" applyAlignment="1" applyProtection="1">
      <alignment horizontal="right" vertical="center"/>
      <protection locked="0"/>
    </xf>
    <xf numFmtId="0" fontId="5" fillId="0" borderId="1" xfId="0" applyFont="1" applyBorder="1" applyAlignment="1">
      <alignment horizontal="center" vertical="center" wrapText="1"/>
    </xf>
    <xf numFmtId="182" fontId="3" fillId="9" borderId="1" xfId="8" quotePrefix="1" applyNumberFormat="1" applyFont="1" applyFill="1" applyBorder="1" applyAlignment="1" applyProtection="1">
      <alignment horizontal="right" vertical="center"/>
      <protection locked="0"/>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0" xfId="0" applyFont="1"/>
    <xf numFmtId="0" fontId="5" fillId="0" borderId="1" xfId="0" applyFont="1" applyBorder="1" applyAlignment="1">
      <alignment horizontal="center" vertical="center" wrapText="1"/>
    </xf>
    <xf numFmtId="0" fontId="5" fillId="0" borderId="0" xfId="0" quotePrefix="1" applyFont="1" applyAlignment="1">
      <alignment horizontal="left" wrapText="1"/>
    </xf>
    <xf numFmtId="0" fontId="18" fillId="0" borderId="0" xfId="0" quotePrefix="1" applyNumberFormat="1" applyFont="1" applyAlignment="1" applyProtection="1">
      <alignment horizontal="left" vertical="top" wrapText="1"/>
    </xf>
    <xf numFmtId="0" fontId="14"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14" fillId="0" borderId="0" xfId="0" quotePrefix="1" applyNumberFormat="1" applyFont="1" applyFill="1" applyAlignment="1" applyProtection="1">
      <alignment horizontal="left" vertical="top" wrapText="1"/>
    </xf>
    <xf numFmtId="49" fontId="10" fillId="6" borderId="0" xfId="2" applyNumberFormat="1" applyFont="1" applyFill="1" applyAlignment="1" applyProtection="1">
      <alignment horizontal="center" vertical="center" wrapText="1"/>
      <protection locked="0"/>
    </xf>
    <xf numFmtId="49" fontId="10" fillId="6" borderId="0" xfId="2" applyNumberFormat="1" applyFont="1" applyFill="1" applyAlignment="1" applyProtection="1">
      <alignment horizontal="left" vertical="center" wrapText="1"/>
      <protection locked="0"/>
    </xf>
    <xf numFmtId="0" fontId="5" fillId="2" borderId="8" xfId="7" quotePrefix="1" applyFont="1" applyFill="1" applyBorder="1" applyAlignment="1">
      <alignment horizontal="center" vertical="center" wrapText="1"/>
    </xf>
    <xf numFmtId="0" fontId="29" fillId="33" borderId="13" xfId="16" quotePrefix="1" applyBorder="1" applyAlignment="1">
      <alignment horizontal="left" vertical="top" wrapText="1"/>
    </xf>
    <xf numFmtId="0" fontId="29" fillId="33" borderId="8" xfId="16" quotePrefix="1" applyBorder="1" applyAlignment="1">
      <alignment horizontal="left" vertical="top"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1" xfId="0" applyFont="1" applyBorder="1" applyAlignment="1">
      <alignment horizontal="left" vertical="center" wrapText="1"/>
    </xf>
    <xf numFmtId="0" fontId="16" fillId="6" borderId="1" xfId="2" applyNumberFormat="1" applyFont="1" applyFill="1" applyBorder="1" applyAlignment="1">
      <alignment horizontal="center" vertical="center" wrapText="1"/>
    </xf>
    <xf numFmtId="172" fontId="19" fillId="16" borderId="3" xfId="0" applyNumberFormat="1" applyFont="1" applyFill="1" applyBorder="1" applyAlignment="1" applyProtection="1">
      <alignment horizontal="center" vertical="center"/>
      <protection locked="0"/>
    </xf>
    <xf numFmtId="172" fontId="19" fillId="16"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6" fillId="0" borderId="1" xfId="0" applyFont="1" applyBorder="1" applyAlignment="1">
      <alignment horizontal="left" vertical="center" wrapText="1" indent="1"/>
    </xf>
    <xf numFmtId="0" fontId="5"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24" fillId="15" borderId="1" xfId="0" applyFont="1" applyFill="1" applyBorder="1" applyAlignment="1" applyProtection="1">
      <alignment horizontal="center" vertical="center" wrapText="1"/>
      <protection locked="0"/>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30" fillId="0" borderId="15" xfId="0" applyFont="1" applyBorder="1" applyAlignment="1">
      <alignment horizontal="center" vertical="center" wrapText="1"/>
    </xf>
    <xf numFmtId="0" fontId="30" fillId="0" borderId="16" xfId="0" applyFont="1" applyBorder="1" applyAlignment="1">
      <alignment horizontal="center" vertical="center" wrapText="1"/>
    </xf>
    <xf numFmtId="172" fontId="30" fillId="0" borderId="17" xfId="0" applyNumberFormat="1" applyFont="1" applyBorder="1" applyAlignment="1">
      <alignment horizontal="center" vertical="center" wrapText="1"/>
    </xf>
    <xf numFmtId="0" fontId="30" fillId="0" borderId="11" xfId="0" applyFont="1" applyBorder="1" applyAlignment="1">
      <alignment horizontal="center" vertical="center" wrapText="1"/>
    </xf>
    <xf numFmtId="0" fontId="30" fillId="0" borderId="0" xfId="0" applyFont="1" applyBorder="1" applyAlignment="1">
      <alignment horizontal="center" vertical="center" wrapText="1"/>
    </xf>
    <xf numFmtId="172" fontId="30" fillId="0" borderId="12" xfId="0" applyNumberFormat="1" applyFont="1" applyBorder="1" applyAlignment="1">
      <alignment horizontal="center" vertical="center" wrapText="1"/>
    </xf>
    <xf numFmtId="0" fontId="30" fillId="0" borderId="13" xfId="0" applyFont="1" applyBorder="1" applyAlignment="1">
      <alignment horizontal="center" vertical="center" wrapText="1"/>
    </xf>
    <xf numFmtId="0" fontId="30" fillId="0" borderId="8" xfId="0" applyFont="1" applyBorder="1" applyAlignment="1">
      <alignment horizontal="center" vertical="center" wrapText="1"/>
    </xf>
    <xf numFmtId="172" fontId="30" fillId="0" borderId="14" xfId="0" applyNumberFormat="1" applyFont="1" applyBorder="1" applyAlignment="1">
      <alignment horizontal="center" vertical="center" wrapText="1"/>
    </xf>
    <xf numFmtId="0" fontId="8" fillId="0" borderId="6" xfId="0" applyFont="1" applyBorder="1" applyAlignment="1">
      <alignment horizontal="left" vertical="center" wrapText="1" indent="1"/>
    </xf>
    <xf numFmtId="0" fontId="8" fillId="0" borderId="18" xfId="0" applyFont="1" applyBorder="1" applyAlignment="1">
      <alignment horizontal="left" vertical="center" wrapText="1" indent="1"/>
    </xf>
    <xf numFmtId="0" fontId="8" fillId="0" borderId="2" xfId="0" applyFont="1" applyBorder="1" applyAlignment="1">
      <alignment horizontal="left" vertical="center" wrapText="1" indent="1"/>
    </xf>
    <xf numFmtId="0" fontId="30" fillId="0" borderId="17" xfId="0" applyFont="1" applyBorder="1" applyAlignment="1">
      <alignment horizontal="center" vertical="center" wrapText="1"/>
    </xf>
    <xf numFmtId="0" fontId="30" fillId="0" borderId="12" xfId="0" applyFont="1" applyBorder="1" applyAlignment="1">
      <alignment horizontal="center" vertical="center" wrapText="1"/>
    </xf>
    <xf numFmtId="0" fontId="30" fillId="0" borderId="14" xfId="0" applyFont="1" applyBorder="1" applyAlignment="1">
      <alignment horizontal="center" vertical="center" wrapText="1"/>
    </xf>
    <xf numFmtId="0" fontId="6" fillId="7" borderId="1" xfId="0" applyFont="1" applyFill="1" applyBorder="1" applyAlignment="1">
      <alignment horizontal="center" vertical="center" wrapText="1"/>
    </xf>
    <xf numFmtId="0" fontId="8" fillId="0" borderId="1" xfId="0" applyFont="1" applyBorder="1" applyAlignment="1">
      <alignment vertical="top" wrapText="1"/>
    </xf>
    <xf numFmtId="0" fontId="29" fillId="33" borderId="13" xfId="16" quotePrefix="1" applyBorder="1" applyAlignment="1" applyProtection="1">
      <alignment horizontal="left" vertical="center" wrapText="1"/>
    </xf>
    <xf numFmtId="0" fontId="29" fillId="33" borderId="8" xfId="16" quotePrefix="1" applyBorder="1" applyAlignment="1" applyProtection="1">
      <alignment horizontal="left" vertical="center" wrapText="1"/>
    </xf>
    <xf numFmtId="0" fontId="29" fillId="33" borderId="13" xfId="16" quotePrefix="1" applyBorder="1" applyAlignment="1" applyProtection="1">
      <alignment horizontal="center" vertical="center" wrapText="1"/>
    </xf>
    <xf numFmtId="0" fontId="29" fillId="33" borderId="8" xfId="16" quotePrefix="1" applyBorder="1" applyAlignment="1" applyProtection="1">
      <alignment horizontal="center" vertical="center" wrapText="1"/>
    </xf>
    <xf numFmtId="0" fontId="29" fillId="33"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5" fillId="0" borderId="3" xfId="0" applyFont="1" applyBorder="1" applyAlignment="1">
      <alignment horizontal="left" vertical="center" wrapText="1" indent="1"/>
    </xf>
    <xf numFmtId="0" fontId="5" fillId="0" borderId="5" xfId="0" applyFont="1" applyBorder="1" applyAlignment="1">
      <alignment horizontal="left" vertical="center" wrapText="1" indent="1"/>
    </xf>
    <xf numFmtId="0" fontId="5" fillId="0" borderId="3" xfId="0" applyFont="1" applyBorder="1" applyAlignment="1">
      <alignment horizontal="left" vertical="center" wrapText="1"/>
    </xf>
    <xf numFmtId="0" fontId="5" fillId="0" borderId="5" xfId="0" applyFont="1" applyBorder="1" applyAlignment="1">
      <alignment horizontal="left" vertical="center" wrapText="1"/>
    </xf>
    <xf numFmtId="0" fontId="5" fillId="0" borderId="8" xfId="0" applyFont="1" applyBorder="1" applyAlignment="1">
      <alignment horizontal="left" vertical="center" wrapText="1"/>
    </xf>
    <xf numFmtId="0" fontId="6" fillId="7" borderId="1" xfId="0" applyFont="1" applyFill="1" applyBorder="1" applyAlignment="1" applyProtection="1">
      <alignment horizontal="center" vertical="center" wrapText="1"/>
      <protection locked="0"/>
    </xf>
    <xf numFmtId="0" fontId="6" fillId="7" borderId="13" xfId="0" applyFont="1" applyFill="1" applyBorder="1" applyAlignment="1" applyProtection="1">
      <alignment horizontal="center" vertical="center" wrapText="1"/>
      <protection locked="0"/>
    </xf>
    <xf numFmtId="0" fontId="6" fillId="7" borderId="8" xfId="0" applyFont="1" applyFill="1" applyBorder="1" applyAlignment="1" applyProtection="1">
      <alignment horizontal="center" vertical="center" wrapText="1"/>
      <protection locked="0"/>
    </xf>
    <xf numFmtId="0" fontId="6" fillId="7" borderId="15" xfId="0" applyFont="1" applyFill="1" applyBorder="1" applyAlignment="1" applyProtection="1">
      <alignment horizontal="center" vertical="center" wrapText="1"/>
      <protection locked="0"/>
    </xf>
    <xf numFmtId="0" fontId="6" fillId="7" borderId="16" xfId="0" applyFont="1" applyFill="1" applyBorder="1" applyAlignment="1" applyProtection="1">
      <alignment horizontal="center" vertical="center" wrapText="1"/>
      <protection locked="0"/>
    </xf>
    <xf numFmtId="0" fontId="0" fillId="0" borderId="4" xfId="0" applyBorder="1" applyAlignment="1">
      <alignment horizontal="left"/>
    </xf>
    <xf numFmtId="0" fontId="6" fillId="7" borderId="1" xfId="0" quotePrefix="1" applyFont="1" applyFill="1" applyBorder="1" applyAlignment="1" applyProtection="1">
      <alignment horizontal="center" vertical="center" wrapText="1"/>
      <protection locked="0"/>
    </xf>
    <xf numFmtId="0" fontId="16" fillId="6" borderId="3" xfId="2" quotePrefix="1" applyNumberFormat="1" applyFont="1" applyFill="1" applyBorder="1" applyAlignment="1">
      <alignment vertical="center" wrapText="1"/>
    </xf>
    <xf numFmtId="0" fontId="16" fillId="6" borderId="4" xfId="2" quotePrefix="1" applyNumberFormat="1" applyFont="1" applyFill="1" applyBorder="1" applyAlignment="1">
      <alignment vertical="center" wrapText="1"/>
    </xf>
    <xf numFmtId="0" fontId="16" fillId="6" borderId="5" xfId="2" quotePrefix="1" applyNumberFormat="1" applyFont="1" applyFill="1" applyBorder="1" applyAlignment="1">
      <alignment vertical="center" wrapText="1"/>
    </xf>
    <xf numFmtId="0" fontId="0" fillId="2" borderId="8" xfId="0" quotePrefix="1" applyFill="1" applyBorder="1" applyAlignment="1">
      <alignment horizontal="center" vertical="center" wrapText="1"/>
    </xf>
    <xf numFmtId="0" fontId="12" fillId="0" borderId="0" xfId="4" applyFill="1" applyAlignment="1" applyProtection="1">
      <alignment horizontal="left" vertical="center"/>
    </xf>
    <xf numFmtId="0" fontId="25" fillId="6" borderId="3" xfId="2" applyNumberFormat="1" applyFont="1" applyFill="1" applyBorder="1" applyAlignment="1" applyProtection="1">
      <alignment horizontal="center" vertical="center" wrapText="1"/>
    </xf>
    <xf numFmtId="0" fontId="25" fillId="6" borderId="4" xfId="2" applyNumberFormat="1" applyFont="1" applyFill="1" applyBorder="1" applyAlignment="1" applyProtection="1">
      <alignment horizontal="center" vertical="center" wrapText="1"/>
    </xf>
    <xf numFmtId="0" fontId="25"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5" fillId="6" borderId="3" xfId="2" applyNumberFormat="1" applyFont="1" applyFill="1" applyBorder="1" applyAlignment="1" applyProtection="1">
      <alignment horizontal="left" vertical="center" wrapText="1"/>
    </xf>
    <xf numFmtId="0" fontId="25" fillId="6" borderId="4" xfId="2" applyNumberFormat="1" applyFont="1" applyFill="1" applyBorder="1" applyAlignment="1" applyProtection="1">
      <alignment horizontal="left" vertical="center" wrapText="1"/>
    </xf>
    <xf numFmtId="0" fontId="25"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7">
    <cellStyle name="40% - Accent1" xfId="10" builtinId="31"/>
    <cellStyle name="40% - Accent4" xfId="13" builtinId="43"/>
    <cellStyle name="60% - Accent2" xfId="11" builtinId="36"/>
    <cellStyle name="Accent1" xfId="9" builtinId="29"/>
    <cellStyle name="Accent4" xfId="12" builtinId="41"/>
    <cellStyle name="Accent6" xfId="14" builtinId="49"/>
    <cellStyle name="Comma 2" xfId="8" xr:uid="{00000000-0005-0000-0000-000006000000}"/>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xr:uid="{00000000-0005-0000-0000-00000E000000}"/>
    <cellStyle name="Normal 3" xfId="15" xr:uid="{00000000-0005-0000-0000-00000F000000}"/>
    <cellStyle name="Normal_Sheet1" xfId="1" xr:uid="{00000000-0005-0000-0000-000010000000}"/>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C0C0C0"/>
      <color rgb="FFFFBE82"/>
      <color rgb="FFFFCC99"/>
      <color rgb="FFB4FFCC"/>
      <color rgb="FFB8D2BB"/>
      <color rgb="FF91FFCC"/>
      <color rgb="FF8CFFCC"/>
      <color rgb="FFCCFFCC"/>
      <color rgb="FFCC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5"/>
  <sheetViews>
    <sheetView showGridLines="0" zoomScale="90" zoomScaleNormal="90" zoomScaleSheetLayoutView="100" workbookViewId="0"/>
  </sheetViews>
  <sheetFormatPr defaultRowHeight="12.75" x14ac:dyDescent="0.2"/>
  <cols>
    <col min="1" max="1" width="57" customWidth="1"/>
    <col min="2" max="2" width="42.140625" customWidth="1"/>
    <col min="3" max="3" width="28" customWidth="1"/>
    <col min="4" max="4" width="18.140625" customWidth="1"/>
    <col min="5" max="5" width="21.5703125" customWidth="1"/>
  </cols>
  <sheetData>
    <row r="1" spans="1:8" x14ac:dyDescent="0.2">
      <c r="A1" s="23"/>
      <c r="B1" s="23"/>
      <c r="C1" s="23"/>
      <c r="D1" s="23"/>
      <c r="E1" s="23"/>
    </row>
    <row r="2" spans="1:8" ht="16.5" x14ac:dyDescent="0.2">
      <c r="A2" s="140" t="s">
        <v>629</v>
      </c>
      <c r="B2" s="56"/>
      <c r="C2" s="56"/>
      <c r="D2" s="56"/>
      <c r="E2" s="56"/>
    </row>
    <row r="3" spans="1:8" ht="15" x14ac:dyDescent="0.2">
      <c r="A3" s="60"/>
      <c r="B3" s="134" t="s">
        <v>630</v>
      </c>
      <c r="C3" s="133" t="s">
        <v>674</v>
      </c>
      <c r="D3" s="133" t="s">
        <v>89</v>
      </c>
      <c r="E3" s="133" t="s">
        <v>88</v>
      </c>
    </row>
    <row r="4" spans="1:8" ht="30" x14ac:dyDescent="0.2">
      <c r="A4" s="57" t="s">
        <v>629</v>
      </c>
      <c r="B4" s="29" t="s">
        <v>714</v>
      </c>
      <c r="C4" s="29" t="s">
        <v>2429</v>
      </c>
      <c r="D4" s="29" t="s">
        <v>2430</v>
      </c>
      <c r="E4" s="29" t="s">
        <v>628</v>
      </c>
    </row>
    <row r="5" spans="1:8" x14ac:dyDescent="0.2">
      <c r="A5" s="56"/>
      <c r="B5" s="56"/>
      <c r="C5" s="56"/>
      <c r="D5" s="56"/>
      <c r="E5" s="56"/>
    </row>
    <row r="6" spans="1:8" ht="16.5" x14ac:dyDescent="0.2">
      <c r="A6" s="59" t="s">
        <v>83</v>
      </c>
      <c r="B6" s="56"/>
      <c r="C6" s="56"/>
      <c r="D6" s="56"/>
      <c r="E6" s="56"/>
    </row>
    <row r="7" spans="1:8" ht="15" x14ac:dyDescent="0.2">
      <c r="A7" s="61" t="s">
        <v>84</v>
      </c>
      <c r="B7" s="229" t="s">
        <v>85</v>
      </c>
      <c r="C7" s="229"/>
      <c r="D7" s="229"/>
      <c r="E7" s="229"/>
    </row>
    <row r="8" spans="1:8" ht="30" customHeight="1" x14ac:dyDescent="0.2">
      <c r="A8" s="66" t="s">
        <v>471</v>
      </c>
      <c r="B8" s="224" t="s">
        <v>690</v>
      </c>
      <c r="C8" s="224"/>
      <c r="D8" s="224"/>
      <c r="E8" s="224"/>
    </row>
    <row r="9" spans="1:8" ht="30" customHeight="1" x14ac:dyDescent="0.2">
      <c r="A9" s="66" t="s">
        <v>472</v>
      </c>
      <c r="B9" s="224"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24"/>
      <c r="D9" s="224"/>
      <c r="E9" s="224"/>
    </row>
    <row r="10" spans="1:8" ht="30" customHeight="1" x14ac:dyDescent="0.2">
      <c r="A10" s="66" t="s">
        <v>473</v>
      </c>
      <c r="B10" s="224" t="s">
        <v>87</v>
      </c>
      <c r="C10" s="224"/>
      <c r="D10" s="224"/>
      <c r="E10" s="224"/>
    </row>
    <row r="11" spans="1:8" ht="61.5" customHeight="1" x14ac:dyDescent="0.2">
      <c r="A11" s="66" t="s">
        <v>474</v>
      </c>
      <c r="B11" s="224"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4"/>
      <c r="D11" s="224"/>
      <c r="E11" s="224"/>
      <c r="F11" s="223"/>
      <c r="G11" s="223"/>
      <c r="H11" s="223"/>
    </row>
    <row r="12" spans="1:8" ht="86.25" customHeight="1" x14ac:dyDescent="0.2">
      <c r="A12" s="66" t="s">
        <v>178</v>
      </c>
      <c r="B12" s="227" t="s">
        <v>692</v>
      </c>
      <c r="C12" s="227"/>
      <c r="D12" s="227"/>
      <c r="E12" s="227"/>
    </row>
    <row r="13" spans="1:8" ht="43.5" customHeight="1" x14ac:dyDescent="0.2">
      <c r="A13" s="158" t="s">
        <v>693</v>
      </c>
      <c r="B13" s="224"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Eastern Power Networks Licence area.</v>
      </c>
      <c r="C13" s="224"/>
      <c r="D13" s="224"/>
      <c r="E13" s="224"/>
    </row>
    <row r="14" spans="1:8" ht="29.25" customHeight="1" x14ac:dyDescent="0.2">
      <c r="A14" s="66" t="s">
        <v>451</v>
      </c>
      <c r="B14" s="224" t="s">
        <v>700</v>
      </c>
      <c r="C14" s="224"/>
      <c r="D14" s="224"/>
      <c r="E14" s="224"/>
    </row>
    <row r="15" spans="1:8" ht="30" customHeight="1" x14ac:dyDescent="0.2">
      <c r="A15" s="66" t="s">
        <v>446</v>
      </c>
      <c r="B15" s="224" t="s">
        <v>447</v>
      </c>
      <c r="C15" s="224"/>
      <c r="D15" s="224"/>
      <c r="E15" s="224"/>
    </row>
    <row r="16" spans="1:8" ht="30" customHeight="1" x14ac:dyDescent="0.2">
      <c r="A16" s="66" t="s">
        <v>525</v>
      </c>
      <c r="B16" s="224" t="s">
        <v>524</v>
      </c>
      <c r="C16" s="224"/>
      <c r="D16" s="224"/>
      <c r="E16" s="224"/>
    </row>
    <row r="17" spans="1:5" x14ac:dyDescent="0.2">
      <c r="A17" s="56"/>
      <c r="B17" s="56"/>
      <c r="C17" s="56"/>
      <c r="D17" s="56"/>
      <c r="E17" s="56"/>
    </row>
    <row r="18" spans="1:5" ht="15" x14ac:dyDescent="0.2">
      <c r="A18" s="62" t="s">
        <v>94</v>
      </c>
      <c r="B18" s="56"/>
      <c r="C18" s="56"/>
      <c r="D18" s="56"/>
      <c r="E18" s="56"/>
    </row>
    <row r="19" spans="1:5" ht="15" x14ac:dyDescent="0.2">
      <c r="A19" s="61"/>
      <c r="B19" s="228"/>
      <c r="C19" s="228"/>
      <c r="D19" s="228"/>
      <c r="E19" s="228"/>
    </row>
    <row r="20" spans="1:5" ht="32.25" customHeight="1" x14ac:dyDescent="0.2">
      <c r="A20" s="225" t="s">
        <v>504</v>
      </c>
      <c r="B20" s="226"/>
      <c r="C20" s="226"/>
      <c r="D20" s="226"/>
      <c r="E20" s="226"/>
    </row>
    <row r="21" spans="1:5" x14ac:dyDescent="0.2">
      <c r="A21" s="56"/>
      <c r="B21" s="56"/>
      <c r="C21" s="56"/>
      <c r="D21" s="56"/>
      <c r="E21" s="56"/>
    </row>
    <row r="22" spans="1:5" ht="15" x14ac:dyDescent="0.2">
      <c r="A22" s="63" t="s">
        <v>95</v>
      </c>
      <c r="B22" s="56"/>
      <c r="C22" s="56"/>
      <c r="D22" s="56"/>
      <c r="E22" s="56"/>
    </row>
    <row r="23" spans="1:5" ht="15" x14ac:dyDescent="0.2">
      <c r="A23" s="58"/>
      <c r="B23" s="228"/>
      <c r="C23" s="228"/>
      <c r="D23" s="228"/>
      <c r="E23" s="228"/>
    </row>
    <row r="24" spans="1:5" ht="28.5" customHeight="1" x14ac:dyDescent="0.2">
      <c r="A24" s="225" t="s">
        <v>475</v>
      </c>
      <c r="B24" s="226"/>
      <c r="C24" s="226"/>
      <c r="D24" s="226"/>
      <c r="E24" s="226"/>
    </row>
    <row r="25" spans="1:5" ht="28.5" customHeight="1" x14ac:dyDescent="0.2">
      <c r="A25" s="222" t="s">
        <v>627</v>
      </c>
      <c r="B25" s="222"/>
      <c r="C25" s="222"/>
      <c r="D25" s="222"/>
      <c r="E25" s="222"/>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4" location="'Nodal prices'!A1" display="Nodal prices" xr:uid="{00000000-0004-0000-0000-000005000000}"/>
    <hyperlink ref="A13" location="'Annex 6 new or amended EHV'!Print_Area" display="Annex 6  Charges for New or Amended Designated EHV Properties" xr:uid="{00000000-0004-0000-0000-000006000000}"/>
    <hyperlink ref="A15" location="'SSC TPR unit rate lookup'!A1" display="SSC TPR to unit rate lookup table" xr:uid="{00000000-0004-0000-0000-000007000000}"/>
    <hyperlink ref="A16" location="'Charge Calculator'!B10" display="Charge calculator" xr:uid="{00000000-0004-0000-0000-000008000000}"/>
  </hyperlinks>
  <pageMargins left="0.70866141732283472" right="0.70866141732283472" top="0.74803149606299213" bottom="0.74803149606299213" header="0.31496062992125984" footer="0.31496062992125984"/>
  <pageSetup paperSize="9" scale="6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44"/>
  <sheetViews>
    <sheetView tabSelected="1" zoomScale="70" zoomScaleNormal="70" zoomScaleSheetLayoutView="100" workbookViewId="0">
      <selection activeCell="F20" sqref="F20"/>
    </sheetView>
  </sheetViews>
  <sheetFormatPr defaultRowHeight="27.75" customHeight="1" x14ac:dyDescent="0.2"/>
  <cols>
    <col min="1" max="1" width="49" style="1" customWidth="1"/>
    <col min="2" max="2" width="20.7109375" style="2" customWidth="1"/>
    <col min="3" max="3" width="8.85546875" style="1" customWidth="1"/>
    <col min="4" max="4" width="17.5703125" style="1" customWidth="1"/>
    <col min="5" max="7" width="17.5703125" style="2" customWidth="1"/>
    <col min="8" max="9" width="17.5703125" style="6" customWidth="1"/>
    <col min="10" max="10" width="17.5703125" style="4" customWidth="1"/>
    <col min="11" max="11" width="17.5703125" style="5" customWidth="1"/>
    <col min="12" max="12" width="1.42578125" style="3" customWidth="1"/>
    <col min="13" max="13" width="15.5703125" style="3" customWidth="1"/>
    <col min="14" max="19" width="15.5703125" style="1" customWidth="1"/>
    <col min="20" max="16384" width="9.140625" style="1"/>
  </cols>
  <sheetData>
    <row r="1" spans="1:15" ht="27.75" customHeight="1" x14ac:dyDescent="0.2">
      <c r="A1" s="91" t="s">
        <v>86</v>
      </c>
      <c r="B1" s="231" t="s">
        <v>2434</v>
      </c>
      <c r="C1" s="232"/>
      <c r="D1" s="232"/>
      <c r="E1" s="230" t="s">
        <v>689</v>
      </c>
      <c r="F1" s="230"/>
      <c r="G1" s="230"/>
      <c r="H1" s="230"/>
      <c r="I1" s="230"/>
      <c r="J1" s="230"/>
      <c r="K1" s="230"/>
      <c r="L1" s="45"/>
      <c r="M1" s="45"/>
      <c r="N1" s="45"/>
      <c r="O1" s="45"/>
    </row>
    <row r="2" spans="1:15" ht="27" customHeight="1" x14ac:dyDescent="0.2">
      <c r="A2" s="237" t="str">
        <f>Overview!B4&amp; " - Effective from "&amp;Overview!D4&amp;" - "&amp;Overview!E4&amp;" LV and HV charges"</f>
        <v>Eastern Power Networks - Effective from 1 April 2020 - Final LV and HV charges</v>
      </c>
      <c r="B2" s="237"/>
      <c r="C2" s="237"/>
      <c r="D2" s="237"/>
      <c r="E2" s="237"/>
      <c r="F2" s="237"/>
      <c r="G2" s="237"/>
      <c r="H2" s="237"/>
      <c r="I2" s="237"/>
      <c r="J2" s="237"/>
      <c r="K2" s="237"/>
    </row>
    <row r="3" spans="1:15" s="77" customFormat="1" ht="15" customHeight="1" x14ac:dyDescent="0.2">
      <c r="A3" s="75"/>
      <c r="B3" s="75"/>
      <c r="C3" s="75"/>
      <c r="D3" s="75"/>
      <c r="E3" s="75"/>
      <c r="F3" s="75"/>
      <c r="G3" s="75"/>
      <c r="H3" s="75"/>
      <c r="I3" s="75"/>
      <c r="J3" s="75"/>
      <c r="K3" s="75"/>
      <c r="L3" s="76"/>
      <c r="M3" s="76"/>
    </row>
    <row r="4" spans="1:15" ht="27" customHeight="1" x14ac:dyDescent="0.2">
      <c r="A4" s="237" t="s">
        <v>494</v>
      </c>
      <c r="B4" s="237"/>
      <c r="C4" s="237"/>
      <c r="D4" s="237"/>
      <c r="E4" s="237"/>
      <c r="F4" s="75"/>
      <c r="G4" s="237" t="s">
        <v>493</v>
      </c>
      <c r="H4" s="237"/>
      <c r="I4" s="237"/>
      <c r="J4" s="237"/>
      <c r="K4" s="237"/>
    </row>
    <row r="5" spans="1:15" ht="28.5" customHeight="1" x14ac:dyDescent="0.2">
      <c r="A5" s="67" t="s">
        <v>80</v>
      </c>
      <c r="B5" s="71" t="s">
        <v>485</v>
      </c>
      <c r="C5" s="238" t="s">
        <v>486</v>
      </c>
      <c r="D5" s="239"/>
      <c r="E5" s="68" t="s">
        <v>487</v>
      </c>
      <c r="F5" s="75"/>
      <c r="G5" s="241"/>
      <c r="H5" s="242"/>
      <c r="I5" s="72" t="s">
        <v>491</v>
      </c>
      <c r="J5" s="73" t="s">
        <v>492</v>
      </c>
      <c r="K5" s="68" t="s">
        <v>487</v>
      </c>
      <c r="L5" s="75"/>
      <c r="N5" s="3"/>
    </row>
    <row r="6" spans="1:15" ht="65.25" customHeight="1" x14ac:dyDescent="0.2">
      <c r="A6" s="69" t="s">
        <v>488</v>
      </c>
      <c r="B6" s="21" t="s">
        <v>694</v>
      </c>
      <c r="C6" s="240" t="s">
        <v>695</v>
      </c>
      <c r="D6" s="240"/>
      <c r="E6" s="147" t="s">
        <v>696</v>
      </c>
      <c r="F6" s="75"/>
      <c r="G6" s="243" t="s">
        <v>489</v>
      </c>
      <c r="H6" s="243"/>
      <c r="I6" s="21" t="s">
        <v>694</v>
      </c>
      <c r="J6" s="74" t="s">
        <v>695</v>
      </c>
      <c r="K6" s="147" t="s">
        <v>696</v>
      </c>
      <c r="L6" s="75"/>
      <c r="N6" s="3"/>
    </row>
    <row r="7" spans="1:15" ht="65.25" customHeight="1" x14ac:dyDescent="0.2">
      <c r="A7" s="69" t="s">
        <v>82</v>
      </c>
      <c r="B7" s="20"/>
      <c r="C7" s="244"/>
      <c r="D7" s="244"/>
      <c r="E7" s="74" t="s">
        <v>699</v>
      </c>
      <c r="F7" s="75"/>
      <c r="G7" s="243" t="s">
        <v>697</v>
      </c>
      <c r="H7" s="243"/>
      <c r="I7" s="145"/>
      <c r="J7" s="74" t="s">
        <v>698</v>
      </c>
      <c r="K7" s="147" t="s">
        <v>696</v>
      </c>
      <c r="L7" s="75"/>
      <c r="N7" s="3"/>
    </row>
    <row r="8" spans="1:15" ht="65.25" customHeight="1" x14ac:dyDescent="0.2">
      <c r="A8" s="70" t="s">
        <v>81</v>
      </c>
      <c r="B8" s="245" t="s">
        <v>715</v>
      </c>
      <c r="C8" s="246"/>
      <c r="D8" s="246"/>
      <c r="E8" s="247"/>
      <c r="F8" s="75"/>
      <c r="G8" s="245" t="s">
        <v>82</v>
      </c>
      <c r="H8" s="247"/>
      <c r="I8" s="145"/>
      <c r="J8" s="145"/>
      <c r="K8" s="74" t="s">
        <v>699</v>
      </c>
      <c r="L8" s="75"/>
      <c r="N8" s="3"/>
    </row>
    <row r="9" spans="1:15" s="77" customFormat="1" ht="65.25" customHeight="1" x14ac:dyDescent="0.2">
      <c r="A9" s="75"/>
      <c r="B9" s="75"/>
      <c r="C9" s="75"/>
      <c r="D9" s="75"/>
      <c r="E9" s="75"/>
      <c r="F9" s="75"/>
      <c r="G9" s="236" t="s">
        <v>81</v>
      </c>
      <c r="H9" s="236"/>
      <c r="I9" s="233" t="s">
        <v>715</v>
      </c>
      <c r="J9" s="234"/>
      <c r="K9" s="235"/>
      <c r="L9" s="76"/>
      <c r="M9" s="76"/>
    </row>
    <row r="10" spans="1:15" s="77" customFormat="1" ht="12.75" customHeight="1" x14ac:dyDescent="0.2">
      <c r="A10" s="75"/>
      <c r="B10" s="75"/>
      <c r="C10" s="75"/>
      <c r="D10" s="75"/>
      <c r="E10" s="75"/>
      <c r="F10" s="75"/>
      <c r="G10" s="75"/>
      <c r="H10" s="75"/>
      <c r="I10" s="75"/>
      <c r="J10" s="75"/>
      <c r="K10" s="75"/>
      <c r="L10" s="76"/>
      <c r="M10" s="76"/>
    </row>
    <row r="11" spans="1:15" ht="78.75" customHeight="1" x14ac:dyDescent="0.2">
      <c r="A11" s="28" t="s">
        <v>675</v>
      </c>
      <c r="B11" s="65" t="s">
        <v>90</v>
      </c>
      <c r="C11" s="65" t="s">
        <v>91</v>
      </c>
      <c r="D11" s="28" t="s">
        <v>621</v>
      </c>
      <c r="E11" s="28" t="s">
        <v>622</v>
      </c>
      <c r="F11" s="28" t="s">
        <v>623</v>
      </c>
      <c r="G11" s="65" t="s">
        <v>92</v>
      </c>
      <c r="H11" s="65" t="s">
        <v>93</v>
      </c>
      <c r="I11" s="28" t="s">
        <v>676</v>
      </c>
      <c r="J11" s="65" t="s">
        <v>452</v>
      </c>
      <c r="K11" s="65" t="s">
        <v>50</v>
      </c>
    </row>
    <row r="12" spans="1:15" ht="32.25" customHeight="1" x14ac:dyDescent="0.2">
      <c r="A12" s="15" t="s">
        <v>0</v>
      </c>
      <c r="B12" s="35" t="s">
        <v>2516</v>
      </c>
      <c r="C12" s="55">
        <v>1</v>
      </c>
      <c r="D12" s="36">
        <v>2.194</v>
      </c>
      <c r="E12" s="37"/>
      <c r="F12" s="37"/>
      <c r="G12" s="183">
        <v>4.84</v>
      </c>
      <c r="H12" s="184"/>
      <c r="I12" s="184"/>
      <c r="J12" s="37"/>
      <c r="K12" s="162" t="s">
        <v>2515</v>
      </c>
    </row>
    <row r="13" spans="1:15" ht="32.25" customHeight="1" x14ac:dyDescent="0.2">
      <c r="A13" s="15" t="s">
        <v>1</v>
      </c>
      <c r="B13" s="35" t="s">
        <v>2518</v>
      </c>
      <c r="C13" s="55">
        <v>2</v>
      </c>
      <c r="D13" s="36">
        <v>2.8290000000000002</v>
      </c>
      <c r="E13" s="36">
        <v>0.18</v>
      </c>
      <c r="F13" s="37"/>
      <c r="G13" s="183">
        <v>4.84</v>
      </c>
      <c r="H13" s="184"/>
      <c r="I13" s="184"/>
      <c r="J13" s="37"/>
      <c r="K13" s="162" t="s">
        <v>2517</v>
      </c>
    </row>
    <row r="14" spans="1:15" ht="32.25" customHeight="1" x14ac:dyDescent="0.2">
      <c r="A14" s="15" t="s">
        <v>11</v>
      </c>
      <c r="B14" s="35" t="s">
        <v>2520</v>
      </c>
      <c r="C14" s="55">
        <v>2</v>
      </c>
      <c r="D14" s="36">
        <v>0.24199999999999999</v>
      </c>
      <c r="E14" s="37"/>
      <c r="F14" s="37"/>
      <c r="G14" s="184"/>
      <c r="H14" s="184"/>
      <c r="I14" s="184"/>
      <c r="J14" s="37"/>
      <c r="K14" s="162" t="s">
        <v>2519</v>
      </c>
    </row>
    <row r="15" spans="1:15" ht="32.25" customHeight="1" x14ac:dyDescent="0.2">
      <c r="A15" s="15" t="s">
        <v>12</v>
      </c>
      <c r="B15" s="40">
        <v>201</v>
      </c>
      <c r="C15" s="55">
        <v>3</v>
      </c>
      <c r="D15" s="36">
        <v>1.69</v>
      </c>
      <c r="E15" s="37"/>
      <c r="F15" s="37"/>
      <c r="G15" s="183">
        <v>4.84</v>
      </c>
      <c r="H15" s="184"/>
      <c r="I15" s="184"/>
      <c r="J15" s="37"/>
      <c r="K15" s="162" t="s">
        <v>2521</v>
      </c>
    </row>
    <row r="16" spans="1:15" ht="32.25" customHeight="1" x14ac:dyDescent="0.2">
      <c r="A16" s="15" t="s">
        <v>13</v>
      </c>
      <c r="B16" s="35" t="s">
        <v>2523</v>
      </c>
      <c r="C16" s="55">
        <v>4</v>
      </c>
      <c r="D16" s="36">
        <v>2.052</v>
      </c>
      <c r="E16" s="36">
        <v>0.16</v>
      </c>
      <c r="F16" s="37"/>
      <c r="G16" s="183">
        <v>4.84</v>
      </c>
      <c r="H16" s="184"/>
      <c r="I16" s="184"/>
      <c r="J16" s="37"/>
      <c r="K16" s="162" t="s">
        <v>2522</v>
      </c>
    </row>
    <row r="17" spans="1:11" ht="32.25" customHeight="1" x14ac:dyDescent="0.2">
      <c r="A17" s="15" t="s">
        <v>14</v>
      </c>
      <c r="B17" s="35" t="s">
        <v>2524</v>
      </c>
      <c r="C17" s="55">
        <v>4</v>
      </c>
      <c r="D17" s="36">
        <v>0.31</v>
      </c>
      <c r="E17" s="37"/>
      <c r="F17" s="37"/>
      <c r="G17" s="184"/>
      <c r="H17" s="184"/>
      <c r="I17" s="184"/>
      <c r="J17" s="37"/>
      <c r="K17" s="162" t="s">
        <v>2525</v>
      </c>
    </row>
    <row r="18" spans="1:11" ht="32.25" customHeight="1" x14ac:dyDescent="0.2">
      <c r="A18" s="15" t="s">
        <v>2</v>
      </c>
      <c r="B18" s="40">
        <v>254</v>
      </c>
      <c r="C18" s="55" t="s">
        <v>20</v>
      </c>
      <c r="D18" s="36">
        <v>2.222</v>
      </c>
      <c r="E18" s="36">
        <v>0.14199999999999999</v>
      </c>
      <c r="F18" s="37"/>
      <c r="G18" s="183">
        <v>51.55</v>
      </c>
      <c r="H18" s="184"/>
      <c r="I18" s="184"/>
      <c r="J18" s="37"/>
      <c r="K18" s="162" t="s">
        <v>2526</v>
      </c>
    </row>
    <row r="19" spans="1:11" ht="32.25" customHeight="1" x14ac:dyDescent="0.2">
      <c r="A19" s="15" t="s">
        <v>15</v>
      </c>
      <c r="B19" s="146"/>
      <c r="C19" s="55" t="s">
        <v>20</v>
      </c>
      <c r="D19" s="36">
        <v>1.1459999999999999</v>
      </c>
      <c r="E19" s="36">
        <v>0.108</v>
      </c>
      <c r="F19" s="37"/>
      <c r="G19" s="183">
        <v>7.48</v>
      </c>
      <c r="H19" s="184"/>
      <c r="I19" s="184"/>
      <c r="J19" s="37"/>
      <c r="K19" s="162"/>
    </row>
    <row r="20" spans="1:11" ht="32.25" customHeight="1" x14ac:dyDescent="0.2">
      <c r="A20" s="15" t="s">
        <v>16</v>
      </c>
      <c r="B20" s="146"/>
      <c r="C20" s="55" t="s">
        <v>20</v>
      </c>
      <c r="D20" s="36">
        <v>0.747</v>
      </c>
      <c r="E20" s="36">
        <v>0.09</v>
      </c>
      <c r="F20" s="37"/>
      <c r="G20" s="183">
        <v>102.89</v>
      </c>
      <c r="H20" s="184"/>
      <c r="I20" s="184"/>
      <c r="J20" s="37"/>
      <c r="K20" s="162"/>
    </row>
    <row r="21" spans="1:11" ht="32.25" customHeight="1" x14ac:dyDescent="0.2">
      <c r="A21" s="15" t="s">
        <v>558</v>
      </c>
      <c r="B21" s="35" t="s">
        <v>1034</v>
      </c>
      <c r="C21" s="55">
        <v>0</v>
      </c>
      <c r="D21" s="181">
        <v>15.282999999999999</v>
      </c>
      <c r="E21" s="185">
        <v>0.48599999999999999</v>
      </c>
      <c r="F21" s="182">
        <v>0.13500000000000001</v>
      </c>
      <c r="G21" s="183">
        <v>4.84</v>
      </c>
      <c r="H21" s="184"/>
      <c r="I21" s="184"/>
      <c r="J21" s="37"/>
      <c r="K21" s="162"/>
    </row>
    <row r="22" spans="1:11" ht="32.25" customHeight="1" x14ac:dyDescent="0.2">
      <c r="A22" s="15" t="s">
        <v>559</v>
      </c>
      <c r="B22" s="35" t="s">
        <v>1035</v>
      </c>
      <c r="C22" s="55">
        <v>0</v>
      </c>
      <c r="D22" s="181">
        <v>13.13</v>
      </c>
      <c r="E22" s="185">
        <v>0.42899999999999999</v>
      </c>
      <c r="F22" s="182">
        <v>0.127</v>
      </c>
      <c r="G22" s="183">
        <v>5.42</v>
      </c>
      <c r="H22" s="184"/>
      <c r="I22" s="184"/>
      <c r="J22" s="37"/>
      <c r="K22" s="162"/>
    </row>
    <row r="23" spans="1:11" ht="32.25" customHeight="1" x14ac:dyDescent="0.2">
      <c r="A23" s="15" t="s">
        <v>17</v>
      </c>
      <c r="B23" s="39" t="s">
        <v>2550</v>
      </c>
      <c r="C23" s="55">
        <v>0</v>
      </c>
      <c r="D23" s="181">
        <v>9.8000000000000007</v>
      </c>
      <c r="E23" s="185">
        <v>0.314</v>
      </c>
      <c r="F23" s="182">
        <v>0.11</v>
      </c>
      <c r="G23" s="183">
        <v>12.76</v>
      </c>
      <c r="H23" s="183">
        <v>3.64</v>
      </c>
      <c r="I23" s="186">
        <v>7.56</v>
      </c>
      <c r="J23" s="36">
        <v>0.315</v>
      </c>
      <c r="K23" s="162"/>
    </row>
    <row r="24" spans="1:11" ht="32.25" customHeight="1" x14ac:dyDescent="0.2">
      <c r="A24" s="15" t="s">
        <v>18</v>
      </c>
      <c r="B24" s="39" t="s">
        <v>2551</v>
      </c>
      <c r="C24" s="55">
        <v>0</v>
      </c>
      <c r="D24" s="181">
        <v>7.1040000000000001</v>
      </c>
      <c r="E24" s="185">
        <v>0.215</v>
      </c>
      <c r="F24" s="182">
        <v>9.6000000000000002E-2</v>
      </c>
      <c r="G24" s="183">
        <v>7.48</v>
      </c>
      <c r="H24" s="183">
        <v>5.18</v>
      </c>
      <c r="I24" s="186">
        <v>6.8</v>
      </c>
      <c r="J24" s="36">
        <v>0.20799999999999999</v>
      </c>
      <c r="K24" s="162"/>
    </row>
    <row r="25" spans="1:11" ht="32.25" customHeight="1" x14ac:dyDescent="0.2">
      <c r="A25" s="15" t="s">
        <v>19</v>
      </c>
      <c r="B25" s="39" t="s">
        <v>2552</v>
      </c>
      <c r="C25" s="55">
        <v>0</v>
      </c>
      <c r="D25" s="181">
        <v>5.7649999999999997</v>
      </c>
      <c r="E25" s="185">
        <v>0.17399999999999999</v>
      </c>
      <c r="F25" s="182">
        <v>0.09</v>
      </c>
      <c r="G25" s="183">
        <v>102.89</v>
      </c>
      <c r="H25" s="183">
        <v>4.28</v>
      </c>
      <c r="I25" s="186">
        <v>6.02</v>
      </c>
      <c r="J25" s="36">
        <v>0.16700000000000001</v>
      </c>
      <c r="K25" s="162"/>
    </row>
    <row r="26" spans="1:11" ht="32.25" customHeight="1" x14ac:dyDescent="0.2">
      <c r="A26" s="15" t="s">
        <v>181</v>
      </c>
      <c r="B26" s="39" t="s">
        <v>1047</v>
      </c>
      <c r="C26" s="55">
        <v>8</v>
      </c>
      <c r="D26" s="36">
        <v>2.1190000000000002</v>
      </c>
      <c r="E26" s="37"/>
      <c r="F26" s="37"/>
      <c r="G26" s="184"/>
      <c r="H26" s="184"/>
      <c r="I26" s="184"/>
      <c r="J26" s="37"/>
      <c r="K26" s="162"/>
    </row>
    <row r="27" spans="1:11" ht="32.25" customHeight="1" x14ac:dyDescent="0.2">
      <c r="A27" s="15" t="s">
        <v>182</v>
      </c>
      <c r="B27" s="39" t="s">
        <v>1048</v>
      </c>
      <c r="C27" s="55">
        <v>1</v>
      </c>
      <c r="D27" s="36">
        <v>2.9430000000000001</v>
      </c>
      <c r="E27" s="37"/>
      <c r="F27" s="37"/>
      <c r="G27" s="184"/>
      <c r="H27" s="184"/>
      <c r="I27" s="184"/>
      <c r="J27" s="37"/>
      <c r="K27" s="162"/>
    </row>
    <row r="28" spans="1:11" ht="32.25" customHeight="1" x14ac:dyDescent="0.2">
      <c r="A28" s="15" t="s">
        <v>183</v>
      </c>
      <c r="B28" s="39" t="s">
        <v>1049</v>
      </c>
      <c r="C28" s="55">
        <v>1</v>
      </c>
      <c r="D28" s="36">
        <v>4.8689999999999998</v>
      </c>
      <c r="E28" s="37"/>
      <c r="F28" s="37"/>
      <c r="G28" s="184"/>
      <c r="H28" s="184"/>
      <c r="I28" s="184"/>
      <c r="J28" s="37"/>
      <c r="K28" s="162"/>
    </row>
    <row r="29" spans="1:11" ht="32.25" customHeight="1" x14ac:dyDescent="0.2">
      <c r="A29" s="15" t="s">
        <v>184</v>
      </c>
      <c r="B29" s="39" t="s">
        <v>1050</v>
      </c>
      <c r="C29" s="55">
        <v>1</v>
      </c>
      <c r="D29" s="36">
        <v>1.581</v>
      </c>
      <c r="E29" s="37"/>
      <c r="F29" s="37"/>
      <c r="G29" s="184"/>
      <c r="H29" s="184"/>
      <c r="I29" s="184"/>
      <c r="J29" s="37"/>
      <c r="K29" s="162"/>
    </row>
    <row r="30" spans="1:11" ht="32.25" customHeight="1" x14ac:dyDescent="0.2">
      <c r="A30" s="15" t="s">
        <v>3</v>
      </c>
      <c r="B30" s="39" t="s">
        <v>1036</v>
      </c>
      <c r="C30" s="55">
        <v>0</v>
      </c>
      <c r="D30" s="187">
        <v>40.981999999999999</v>
      </c>
      <c r="E30" s="188">
        <v>1.125</v>
      </c>
      <c r="F30" s="182">
        <v>0.78100000000000003</v>
      </c>
      <c r="G30" s="184"/>
      <c r="H30" s="184"/>
      <c r="I30" s="184"/>
      <c r="J30" s="37"/>
      <c r="K30" s="162"/>
    </row>
    <row r="31" spans="1:11" ht="32.25" customHeight="1" x14ac:dyDescent="0.2">
      <c r="A31" s="15" t="s">
        <v>560</v>
      </c>
      <c r="B31" s="40">
        <v>912</v>
      </c>
      <c r="C31" s="55" t="s">
        <v>1051</v>
      </c>
      <c r="D31" s="36">
        <v>-0.98299999999999998</v>
      </c>
      <c r="E31" s="37"/>
      <c r="F31" s="37"/>
      <c r="G31" s="183">
        <v>0</v>
      </c>
      <c r="H31" s="184"/>
      <c r="I31" s="184"/>
      <c r="J31" s="37"/>
      <c r="K31" s="162" t="s">
        <v>2527</v>
      </c>
    </row>
    <row r="32" spans="1:11" ht="32.25" customHeight="1" x14ac:dyDescent="0.2">
      <c r="A32" s="15" t="s">
        <v>10</v>
      </c>
      <c r="B32" s="146"/>
      <c r="C32" s="55">
        <v>8</v>
      </c>
      <c r="D32" s="36">
        <v>-0.86899999999999999</v>
      </c>
      <c r="E32" s="37"/>
      <c r="F32" s="37"/>
      <c r="G32" s="183">
        <v>0</v>
      </c>
      <c r="H32" s="184"/>
      <c r="I32" s="184"/>
      <c r="J32" s="37"/>
      <c r="K32" s="162"/>
    </row>
    <row r="33" spans="1:11" ht="32.25" customHeight="1" x14ac:dyDescent="0.2">
      <c r="A33" s="15" t="s">
        <v>4</v>
      </c>
      <c r="B33" s="39" t="s">
        <v>1037</v>
      </c>
      <c r="C33" s="55">
        <v>0</v>
      </c>
      <c r="D33" s="36">
        <v>-0.98299999999999998</v>
      </c>
      <c r="E33" s="37"/>
      <c r="F33" s="37"/>
      <c r="G33" s="183">
        <v>0</v>
      </c>
      <c r="H33" s="184"/>
      <c r="I33" s="184"/>
      <c r="J33" s="36">
        <v>0.28899999999999998</v>
      </c>
      <c r="K33" s="162"/>
    </row>
    <row r="34" spans="1:11" ht="32.25" customHeight="1" x14ac:dyDescent="0.2">
      <c r="A34" s="15" t="s">
        <v>683</v>
      </c>
      <c r="B34" s="39" t="s">
        <v>1038</v>
      </c>
      <c r="C34" s="55">
        <v>0</v>
      </c>
      <c r="D34" s="36">
        <v>-0.98299999999999998</v>
      </c>
      <c r="E34" s="37"/>
      <c r="F34" s="37"/>
      <c r="G34" s="183">
        <v>0</v>
      </c>
      <c r="H34" s="184"/>
      <c r="I34" s="184"/>
      <c r="J34" s="37"/>
      <c r="K34" s="162"/>
    </row>
    <row r="35" spans="1:11" ht="32.25" customHeight="1" x14ac:dyDescent="0.2">
      <c r="A35" s="15" t="s">
        <v>5</v>
      </c>
      <c r="B35" s="39" t="s">
        <v>1039</v>
      </c>
      <c r="C35" s="55">
        <v>0</v>
      </c>
      <c r="D35" s="181">
        <v>-9.6669999999999998</v>
      </c>
      <c r="E35" s="189">
        <v>-0.25900000000000001</v>
      </c>
      <c r="F35" s="182">
        <v>-3.5999999999999997E-2</v>
      </c>
      <c r="G35" s="183">
        <v>0</v>
      </c>
      <c r="H35" s="184"/>
      <c r="I35" s="184"/>
      <c r="J35" s="36">
        <v>0.28899999999999998</v>
      </c>
      <c r="K35" s="162"/>
    </row>
    <row r="36" spans="1:11" ht="32.25" customHeight="1" x14ac:dyDescent="0.2">
      <c r="A36" s="15" t="s">
        <v>684</v>
      </c>
      <c r="B36" s="39" t="s">
        <v>1040</v>
      </c>
      <c r="C36" s="55">
        <v>0</v>
      </c>
      <c r="D36" s="181">
        <v>-9.6669999999999998</v>
      </c>
      <c r="E36" s="189">
        <v>-0.25900000000000001</v>
      </c>
      <c r="F36" s="182">
        <v>-3.5999999999999997E-2</v>
      </c>
      <c r="G36" s="183">
        <v>0</v>
      </c>
      <c r="H36" s="184"/>
      <c r="I36" s="184"/>
      <c r="J36" s="37"/>
      <c r="K36" s="162"/>
    </row>
    <row r="37" spans="1:11" ht="32.25" customHeight="1" x14ac:dyDescent="0.2">
      <c r="A37" s="15" t="s">
        <v>6</v>
      </c>
      <c r="B37" s="39" t="s">
        <v>1041</v>
      </c>
      <c r="C37" s="55">
        <v>0</v>
      </c>
      <c r="D37" s="36">
        <v>-0.86899999999999999</v>
      </c>
      <c r="E37" s="37"/>
      <c r="F37" s="37"/>
      <c r="G37" s="183">
        <v>0</v>
      </c>
      <c r="H37" s="184"/>
      <c r="I37" s="184"/>
      <c r="J37" s="36">
        <v>0.255</v>
      </c>
      <c r="K37" s="162"/>
    </row>
    <row r="38" spans="1:11" ht="32.25" customHeight="1" x14ac:dyDescent="0.2">
      <c r="A38" s="15" t="s">
        <v>685</v>
      </c>
      <c r="B38" s="39" t="s">
        <v>1042</v>
      </c>
      <c r="C38" s="55">
        <v>0</v>
      </c>
      <c r="D38" s="36">
        <v>-0.86899999999999999</v>
      </c>
      <c r="E38" s="37"/>
      <c r="F38" s="37"/>
      <c r="G38" s="183">
        <v>0</v>
      </c>
      <c r="H38" s="184"/>
      <c r="I38" s="184"/>
      <c r="J38" s="37"/>
      <c r="K38" s="162"/>
    </row>
    <row r="39" spans="1:11" ht="32.25" customHeight="1" x14ac:dyDescent="0.2">
      <c r="A39" s="15" t="s">
        <v>7</v>
      </c>
      <c r="B39" s="39" t="s">
        <v>1043</v>
      </c>
      <c r="C39" s="55">
        <v>0</v>
      </c>
      <c r="D39" s="181">
        <v>-8.6180000000000003</v>
      </c>
      <c r="E39" s="189">
        <v>-0.217</v>
      </c>
      <c r="F39" s="182">
        <v>-2.9000000000000001E-2</v>
      </c>
      <c r="G39" s="183">
        <v>0</v>
      </c>
      <c r="H39" s="184"/>
      <c r="I39" s="184"/>
      <c r="J39" s="36">
        <v>0.255</v>
      </c>
      <c r="K39" s="162"/>
    </row>
    <row r="40" spans="1:11" ht="32.25" customHeight="1" x14ac:dyDescent="0.2">
      <c r="A40" s="15" t="s">
        <v>686</v>
      </c>
      <c r="B40" s="39" t="s">
        <v>1044</v>
      </c>
      <c r="C40" s="55">
        <v>0</v>
      </c>
      <c r="D40" s="181">
        <v>-8.6180000000000003</v>
      </c>
      <c r="E40" s="189">
        <v>-0.217</v>
      </c>
      <c r="F40" s="182">
        <v>-2.9000000000000001E-2</v>
      </c>
      <c r="G40" s="183">
        <v>0</v>
      </c>
      <c r="H40" s="184"/>
      <c r="I40" s="184"/>
      <c r="J40" s="37"/>
      <c r="K40" s="162"/>
    </row>
    <row r="41" spans="1:11" ht="32.25" customHeight="1" x14ac:dyDescent="0.2">
      <c r="A41" s="15" t="s">
        <v>8</v>
      </c>
      <c r="B41" s="39">
        <v>988</v>
      </c>
      <c r="C41" s="55">
        <v>0</v>
      </c>
      <c r="D41" s="36">
        <v>-0.621</v>
      </c>
      <c r="E41" s="37"/>
      <c r="F41" s="37"/>
      <c r="G41" s="183">
        <v>9.02</v>
      </c>
      <c r="H41" s="184"/>
      <c r="I41" s="184"/>
      <c r="J41" s="36">
        <v>0.20699999999999999</v>
      </c>
      <c r="K41" s="162"/>
    </row>
    <row r="42" spans="1:11" ht="32.25" customHeight="1" x14ac:dyDescent="0.2">
      <c r="A42" s="15" t="s">
        <v>687</v>
      </c>
      <c r="B42" s="39">
        <v>989</v>
      </c>
      <c r="C42" s="55">
        <v>0</v>
      </c>
      <c r="D42" s="36">
        <v>-0.621</v>
      </c>
      <c r="E42" s="37"/>
      <c r="F42" s="37"/>
      <c r="G42" s="183">
        <v>9.02</v>
      </c>
      <c r="H42" s="184"/>
      <c r="I42" s="184"/>
      <c r="J42" s="37"/>
      <c r="K42" s="162"/>
    </row>
    <row r="43" spans="1:11" ht="32.25" customHeight="1" x14ac:dyDescent="0.2">
      <c r="A43" s="15" t="s">
        <v>9</v>
      </c>
      <c r="B43" s="39" t="s">
        <v>1045</v>
      </c>
      <c r="C43" s="55">
        <v>0</v>
      </c>
      <c r="D43" s="181">
        <v>-6.343</v>
      </c>
      <c r="E43" s="189">
        <v>-0.12</v>
      </c>
      <c r="F43" s="182">
        <v>-1.4E-2</v>
      </c>
      <c r="G43" s="183">
        <v>9.02</v>
      </c>
      <c r="H43" s="184"/>
      <c r="I43" s="184"/>
      <c r="J43" s="36">
        <v>0.20699999999999999</v>
      </c>
      <c r="K43" s="162"/>
    </row>
    <row r="44" spans="1:11" ht="32.25" customHeight="1" x14ac:dyDescent="0.2">
      <c r="A44" s="15" t="s">
        <v>688</v>
      </c>
      <c r="B44" s="39" t="s">
        <v>1046</v>
      </c>
      <c r="C44" s="55">
        <v>0</v>
      </c>
      <c r="D44" s="181">
        <v>-6.343</v>
      </c>
      <c r="E44" s="189">
        <v>-0.12</v>
      </c>
      <c r="F44" s="182">
        <v>-1.4E-2</v>
      </c>
      <c r="G44" s="183">
        <v>9.02</v>
      </c>
      <c r="H44" s="184"/>
      <c r="I44" s="184"/>
      <c r="J44" s="37"/>
      <c r="K44" s="162"/>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E1:K1"/>
    <mergeCell ref="B1:D1"/>
    <mergeCell ref="I9:K9"/>
    <mergeCell ref="G9:H9"/>
    <mergeCell ref="A2:K2"/>
    <mergeCell ref="C5:D5"/>
    <mergeCell ref="C6:D6"/>
    <mergeCell ref="G5:H5"/>
    <mergeCell ref="G6:H6"/>
    <mergeCell ref="G4:K4"/>
    <mergeCell ref="A4:E4"/>
    <mergeCell ref="C7:D7"/>
    <mergeCell ref="B8:E8"/>
    <mergeCell ref="G7:H7"/>
    <mergeCell ref="G8:H8"/>
  </mergeCells>
  <phoneticPr fontId="4"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4" fitToHeight="0" orientation="portrait" r:id="rId2"/>
  <headerFooter scaleWithDoc="0">
    <oddHeader>&amp;L&amp;"Arial,Bold"
&amp;"Arial,Regular"Annex 1&amp;K10+000 &amp;K000000- Charges for use of the Distribution System by LV and HV Designated Properties</oddHeader>
    <oddFooter>&amp;LNote: Where a tariff only has a p/kWh unit rate in Unit Charge 1 then this unit rate applies at all times.&amp;R&amp;P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260"/>
  <sheetViews>
    <sheetView zoomScale="80" zoomScaleNormal="80" zoomScaleSheetLayoutView="100" workbookViewId="0"/>
  </sheetViews>
  <sheetFormatPr defaultRowHeight="27.75" customHeight="1" x14ac:dyDescent="0.2"/>
  <cols>
    <col min="1" max="1" width="14.5703125" style="46" customWidth="1"/>
    <col min="2" max="2" width="14.42578125" style="46" bestFit="1" customWidth="1"/>
    <col min="3" max="3" width="17.140625" style="46" customWidth="1"/>
    <col min="4" max="4" width="14.7109375" style="52" customWidth="1"/>
    <col min="5" max="5" width="7.140625" style="52" customWidth="1"/>
    <col min="6" max="6" width="17.28515625" style="52" customWidth="1"/>
    <col min="7" max="7" width="33.5703125" style="52" customWidth="1"/>
    <col min="8" max="8" width="14.7109375" style="52" customWidth="1"/>
    <col min="9" max="9" width="14.7109375" style="53" customWidth="1"/>
    <col min="10" max="11" width="14.7109375" style="54" customWidth="1"/>
    <col min="12" max="15" width="14.7109375" style="46" customWidth="1"/>
    <col min="16" max="17" width="15.5703125" style="46" customWidth="1"/>
    <col min="18" max="16384" width="9.140625" style="46"/>
  </cols>
  <sheetData>
    <row r="1" spans="1:15" ht="66.75" customHeight="1" x14ac:dyDescent="0.2">
      <c r="A1" s="44" t="s">
        <v>86</v>
      </c>
      <c r="B1" s="44"/>
      <c r="C1" s="250" t="s">
        <v>2433</v>
      </c>
      <c r="D1" s="250"/>
      <c r="E1" s="45"/>
      <c r="F1" s="249" t="s">
        <v>180</v>
      </c>
      <c r="G1" s="249"/>
      <c r="H1" s="249"/>
      <c r="I1" s="249"/>
      <c r="J1" s="249"/>
      <c r="K1" s="249"/>
      <c r="L1" s="249"/>
      <c r="M1" s="249"/>
      <c r="N1" s="249"/>
      <c r="O1" s="249"/>
    </row>
    <row r="2" spans="1:15" s="47" customFormat="1" ht="25.5" customHeight="1" x14ac:dyDescent="0.2">
      <c r="A2" s="237" t="str">
        <f>Overview!B4&amp; " - Effective from "&amp;Overview!D4&amp;" - "&amp;Overview!E4&amp;" EDCM charges"</f>
        <v>Eastern Power Networks - Effective from 1 April 2020 - Final EDCM charges</v>
      </c>
      <c r="B2" s="237"/>
      <c r="C2" s="237"/>
      <c r="D2" s="237"/>
      <c r="E2" s="237"/>
      <c r="F2" s="237"/>
      <c r="G2" s="237"/>
      <c r="H2" s="237"/>
      <c r="I2" s="237"/>
      <c r="J2" s="237"/>
      <c r="K2" s="237"/>
      <c r="L2" s="237"/>
      <c r="M2" s="237"/>
      <c r="N2" s="237"/>
      <c r="O2" s="237"/>
    </row>
    <row r="3" spans="1:15" s="78" customFormat="1" ht="10.5" customHeight="1" x14ac:dyDescent="0.2">
      <c r="A3" s="75"/>
      <c r="B3" s="75"/>
      <c r="C3" s="75"/>
      <c r="D3" s="75"/>
      <c r="E3" s="75"/>
      <c r="F3" s="75"/>
      <c r="G3" s="75"/>
      <c r="H3" s="75"/>
      <c r="I3" s="75"/>
      <c r="J3" s="75"/>
      <c r="K3" s="75"/>
      <c r="L3" s="75"/>
      <c r="M3" s="75"/>
      <c r="N3" s="75"/>
      <c r="O3" s="75"/>
    </row>
    <row r="4" spans="1:15" s="78" customFormat="1" ht="25.5" customHeight="1" x14ac:dyDescent="0.2">
      <c r="A4" s="237" t="s">
        <v>495</v>
      </c>
      <c r="B4" s="237"/>
      <c r="C4" s="237"/>
      <c r="D4" s="237"/>
      <c r="E4" s="237"/>
      <c r="F4" s="237"/>
      <c r="G4" s="75"/>
      <c r="H4" s="75"/>
      <c r="I4" s="75"/>
      <c r="J4" s="75"/>
      <c r="K4" s="75"/>
      <c r="L4" s="75"/>
      <c r="M4" s="75"/>
      <c r="N4" s="75"/>
      <c r="O4" s="75"/>
    </row>
    <row r="5" spans="1:15" s="78" customFormat="1" ht="25.5" customHeight="1" x14ac:dyDescent="0.2">
      <c r="A5" s="257" t="s">
        <v>80</v>
      </c>
      <c r="B5" s="258"/>
      <c r="C5" s="258"/>
      <c r="D5" s="248" t="s">
        <v>490</v>
      </c>
      <c r="E5" s="248"/>
      <c r="F5" s="248"/>
      <c r="G5" s="75"/>
      <c r="H5" s="75"/>
      <c r="I5" s="75"/>
      <c r="J5" s="75"/>
      <c r="K5" s="75"/>
      <c r="L5" s="75"/>
      <c r="M5" s="75"/>
      <c r="N5" s="75"/>
      <c r="O5" s="75"/>
    </row>
    <row r="6" spans="1:15" s="78" customFormat="1" ht="48" customHeight="1" x14ac:dyDescent="0.2">
      <c r="A6" s="245" t="s">
        <v>489</v>
      </c>
      <c r="B6" s="246"/>
      <c r="C6" s="247"/>
      <c r="D6" s="251" t="s">
        <v>694</v>
      </c>
      <c r="E6" s="252"/>
      <c r="F6" s="253"/>
      <c r="G6" s="75"/>
      <c r="H6" s="75"/>
      <c r="I6" s="75"/>
      <c r="J6" s="75"/>
      <c r="K6" s="75"/>
      <c r="L6" s="75"/>
      <c r="M6" s="75"/>
      <c r="N6" s="75"/>
      <c r="O6" s="75"/>
    </row>
    <row r="7" spans="1:15" s="78" customFormat="1" ht="54.75" customHeight="1" x14ac:dyDescent="0.2">
      <c r="A7" s="245" t="s">
        <v>81</v>
      </c>
      <c r="B7" s="246"/>
      <c r="C7" s="247"/>
      <c r="D7" s="254" t="s">
        <v>715</v>
      </c>
      <c r="E7" s="255"/>
      <c r="F7" s="256"/>
      <c r="G7" s="75"/>
      <c r="H7" s="75"/>
      <c r="I7" s="75"/>
      <c r="J7" s="75"/>
      <c r="K7" s="75"/>
      <c r="L7" s="75"/>
      <c r="M7" s="75"/>
      <c r="N7" s="75"/>
      <c r="O7" s="75"/>
    </row>
    <row r="8" spans="1:15" s="78" customFormat="1" ht="10.5" customHeight="1" x14ac:dyDescent="0.2">
      <c r="A8" s="75"/>
      <c r="B8" s="75"/>
      <c r="C8" s="75"/>
      <c r="D8" s="75"/>
      <c r="E8" s="75"/>
      <c r="F8" s="75"/>
      <c r="G8" s="75"/>
      <c r="H8" s="75"/>
      <c r="I8" s="75"/>
      <c r="J8" s="75"/>
      <c r="K8" s="75"/>
      <c r="L8" s="75"/>
      <c r="M8" s="75"/>
      <c r="N8" s="75"/>
      <c r="O8" s="75"/>
    </row>
    <row r="9" spans="1:15" ht="63.75" customHeight="1" x14ac:dyDescent="0.2">
      <c r="A9" s="48" t="s">
        <v>480</v>
      </c>
      <c r="B9" s="49" t="s">
        <v>468</v>
      </c>
      <c r="C9" s="48" t="s">
        <v>469</v>
      </c>
      <c r="D9" s="48" t="s">
        <v>482</v>
      </c>
      <c r="E9" s="49" t="s">
        <v>468</v>
      </c>
      <c r="F9" s="48" t="s">
        <v>470</v>
      </c>
      <c r="G9" s="50" t="s">
        <v>179</v>
      </c>
      <c r="H9" s="51" t="s">
        <v>619</v>
      </c>
      <c r="I9" s="50" t="s">
        <v>483</v>
      </c>
      <c r="J9" s="50" t="s">
        <v>615</v>
      </c>
      <c r="K9" s="135" t="s">
        <v>677</v>
      </c>
      <c r="L9" s="51" t="s">
        <v>620</v>
      </c>
      <c r="M9" s="50" t="s">
        <v>484</v>
      </c>
      <c r="N9" s="50" t="s">
        <v>616</v>
      </c>
      <c r="O9" s="135" t="s">
        <v>678</v>
      </c>
    </row>
    <row r="10" spans="1:15" ht="12.75" x14ac:dyDescent="0.2">
      <c r="A10" s="201" t="s">
        <v>731</v>
      </c>
      <c r="B10" s="161">
        <v>585</v>
      </c>
      <c r="C10" s="161">
        <v>1014569699836</v>
      </c>
      <c r="D10" s="201"/>
      <c r="E10" s="161"/>
      <c r="F10" s="161"/>
      <c r="G10" s="201" t="s">
        <v>731</v>
      </c>
      <c r="H10" s="169"/>
      <c r="I10" s="179">
        <v>2914.69</v>
      </c>
      <c r="J10" s="170">
        <v>5.3</v>
      </c>
      <c r="K10" s="170">
        <v>5.3</v>
      </c>
      <c r="L10" s="171"/>
      <c r="M10" s="180"/>
      <c r="N10" s="172"/>
      <c r="O10" s="172"/>
    </row>
    <row r="11" spans="1:15" ht="12.75" x14ac:dyDescent="0.2">
      <c r="A11" s="201" t="s">
        <v>818</v>
      </c>
      <c r="B11" s="161">
        <v>869</v>
      </c>
      <c r="C11" s="161">
        <v>1050000574685</v>
      </c>
      <c r="D11" s="201" t="s">
        <v>818</v>
      </c>
      <c r="E11" s="161">
        <v>744</v>
      </c>
      <c r="F11" s="161">
        <v>1050000574694</v>
      </c>
      <c r="G11" s="201" t="s">
        <v>818</v>
      </c>
      <c r="H11" s="169">
        <v>0.17299999999999999</v>
      </c>
      <c r="I11" s="179">
        <v>18.399999999999999</v>
      </c>
      <c r="J11" s="170">
        <v>1.73</v>
      </c>
      <c r="K11" s="170">
        <v>1.73</v>
      </c>
      <c r="L11" s="171"/>
      <c r="M11" s="180">
        <v>3679.33</v>
      </c>
      <c r="N11" s="172">
        <v>0.05</v>
      </c>
      <c r="O11" s="172">
        <v>0.05</v>
      </c>
    </row>
    <row r="12" spans="1:15" ht="12.75" x14ac:dyDescent="0.2">
      <c r="A12" s="201" t="s">
        <v>732</v>
      </c>
      <c r="B12" s="161">
        <v>586</v>
      </c>
      <c r="C12" s="161">
        <v>1023529546480</v>
      </c>
      <c r="D12" s="201"/>
      <c r="E12" s="161"/>
      <c r="F12" s="161"/>
      <c r="G12" s="201" t="s">
        <v>732</v>
      </c>
      <c r="H12" s="169">
        <v>0.16200000000000001</v>
      </c>
      <c r="I12" s="179">
        <v>3094.55</v>
      </c>
      <c r="J12" s="170">
        <v>3.51</v>
      </c>
      <c r="K12" s="170">
        <v>3.51</v>
      </c>
      <c r="L12" s="171"/>
      <c r="M12" s="180"/>
      <c r="N12" s="172"/>
      <c r="O12" s="172"/>
    </row>
    <row r="13" spans="1:15" ht="12.75" x14ac:dyDescent="0.2">
      <c r="A13" s="201" t="s">
        <v>819</v>
      </c>
      <c r="B13" s="161">
        <v>499</v>
      </c>
      <c r="C13" s="161">
        <v>1014569292506</v>
      </c>
      <c r="D13" s="201" t="s">
        <v>819</v>
      </c>
      <c r="E13" s="161">
        <v>435</v>
      </c>
      <c r="F13" s="161">
        <v>1030054607984</v>
      </c>
      <c r="G13" s="201" t="s">
        <v>819</v>
      </c>
      <c r="H13" s="169">
        <v>0.65200000000000002</v>
      </c>
      <c r="I13" s="179">
        <v>8.56</v>
      </c>
      <c r="J13" s="170">
        <v>8.9</v>
      </c>
      <c r="K13" s="170">
        <v>8.9</v>
      </c>
      <c r="L13" s="171">
        <v>-0.626</v>
      </c>
      <c r="M13" s="180">
        <v>171.29</v>
      </c>
      <c r="N13" s="172">
        <v>0.05</v>
      </c>
      <c r="O13" s="172">
        <v>0.05</v>
      </c>
    </row>
    <row r="14" spans="1:15" ht="12.75" x14ac:dyDescent="0.2">
      <c r="A14" s="201" t="s">
        <v>820</v>
      </c>
      <c r="B14" s="161">
        <v>300</v>
      </c>
      <c r="C14" s="161">
        <v>1050001015545</v>
      </c>
      <c r="D14" s="201" t="s">
        <v>820</v>
      </c>
      <c r="E14" s="161">
        <v>651</v>
      </c>
      <c r="F14" s="161">
        <v>1050000998050</v>
      </c>
      <c r="G14" s="201" t="s">
        <v>820</v>
      </c>
      <c r="H14" s="169"/>
      <c r="I14" s="179">
        <v>5.1100000000000003</v>
      </c>
      <c r="J14" s="170">
        <v>2.2599999999999998</v>
      </c>
      <c r="K14" s="170">
        <v>2.2599999999999998</v>
      </c>
      <c r="L14" s="171"/>
      <c r="M14" s="180">
        <v>510.86</v>
      </c>
      <c r="N14" s="172">
        <v>0.05</v>
      </c>
      <c r="O14" s="172">
        <v>0.05</v>
      </c>
    </row>
    <row r="15" spans="1:15" ht="12.75" x14ac:dyDescent="0.2">
      <c r="A15" s="201" t="s">
        <v>733</v>
      </c>
      <c r="B15" s="161">
        <v>800</v>
      </c>
      <c r="C15" s="161">
        <v>1023483097981</v>
      </c>
      <c r="D15" s="201"/>
      <c r="E15" s="161"/>
      <c r="F15" s="161"/>
      <c r="G15" s="201" t="s">
        <v>733</v>
      </c>
      <c r="H15" s="169"/>
      <c r="I15" s="179">
        <v>6701.37</v>
      </c>
      <c r="J15" s="170">
        <v>1</v>
      </c>
      <c r="K15" s="170">
        <v>1</v>
      </c>
      <c r="L15" s="171"/>
      <c r="M15" s="180"/>
      <c r="N15" s="172"/>
      <c r="O15" s="172"/>
    </row>
    <row r="16" spans="1:15" ht="12.75" x14ac:dyDescent="0.2">
      <c r="A16" s="201" t="s">
        <v>821</v>
      </c>
      <c r="B16" s="161">
        <v>564</v>
      </c>
      <c r="C16" s="161">
        <v>1050001061597</v>
      </c>
      <c r="D16" s="201" t="s">
        <v>821</v>
      </c>
      <c r="E16" s="161">
        <v>666</v>
      </c>
      <c r="F16" s="161">
        <v>1050001061602</v>
      </c>
      <c r="G16" s="201" t="s">
        <v>821</v>
      </c>
      <c r="H16" s="169">
        <v>0.27500000000000002</v>
      </c>
      <c r="I16" s="179">
        <v>1.99</v>
      </c>
      <c r="J16" s="170">
        <v>4</v>
      </c>
      <c r="K16" s="170">
        <v>4</v>
      </c>
      <c r="L16" s="171"/>
      <c r="M16" s="180">
        <v>795.65</v>
      </c>
      <c r="N16" s="172">
        <v>0.05</v>
      </c>
      <c r="O16" s="172">
        <v>0.05</v>
      </c>
    </row>
    <row r="17" spans="1:15" ht="25.5" x14ac:dyDescent="0.2">
      <c r="A17" s="201" t="s">
        <v>734</v>
      </c>
      <c r="B17" s="161">
        <v>587</v>
      </c>
      <c r="C17" s="161" t="s">
        <v>985</v>
      </c>
      <c r="D17" s="201" t="s">
        <v>734</v>
      </c>
      <c r="E17" s="161">
        <v>710</v>
      </c>
      <c r="F17" s="161" t="s">
        <v>1029</v>
      </c>
      <c r="G17" s="201" t="s">
        <v>734</v>
      </c>
      <c r="H17" s="169"/>
      <c r="I17" s="179">
        <v>3312.05</v>
      </c>
      <c r="J17" s="170">
        <v>1.7</v>
      </c>
      <c r="K17" s="170">
        <v>1.7</v>
      </c>
      <c r="L17" s="171"/>
      <c r="M17" s="180">
        <v>1104.02</v>
      </c>
      <c r="N17" s="172">
        <v>0.05</v>
      </c>
      <c r="O17" s="172">
        <v>0.05</v>
      </c>
    </row>
    <row r="18" spans="1:15" ht="12.75" x14ac:dyDescent="0.2">
      <c r="A18" s="201" t="s">
        <v>822</v>
      </c>
      <c r="B18" s="161">
        <v>503</v>
      </c>
      <c r="C18" s="161">
        <v>1050000834246</v>
      </c>
      <c r="D18" s="201" t="s">
        <v>822</v>
      </c>
      <c r="E18" s="161">
        <v>780</v>
      </c>
      <c r="F18" s="161">
        <v>1050000834255</v>
      </c>
      <c r="G18" s="201" t="s">
        <v>822</v>
      </c>
      <c r="H18" s="169">
        <v>1.7969999999999999</v>
      </c>
      <c r="I18" s="179">
        <v>2.6</v>
      </c>
      <c r="J18" s="170">
        <v>3.6</v>
      </c>
      <c r="K18" s="170">
        <v>3.6</v>
      </c>
      <c r="L18" s="171"/>
      <c r="M18" s="180">
        <v>520.15</v>
      </c>
      <c r="N18" s="172">
        <v>0.05</v>
      </c>
      <c r="O18" s="172">
        <v>0.05</v>
      </c>
    </row>
    <row r="19" spans="1:15" ht="12.75" x14ac:dyDescent="0.2">
      <c r="A19" s="201" t="s">
        <v>823</v>
      </c>
      <c r="B19" s="161">
        <v>504</v>
      </c>
      <c r="C19" s="161">
        <v>1050000774970</v>
      </c>
      <c r="D19" s="201" t="s">
        <v>823</v>
      </c>
      <c r="E19" s="161">
        <v>781</v>
      </c>
      <c r="F19" s="161">
        <v>1050000774980</v>
      </c>
      <c r="G19" s="201" t="s">
        <v>823</v>
      </c>
      <c r="H19" s="169">
        <v>7.0999999999999994E-2</v>
      </c>
      <c r="I19" s="179">
        <v>17.3</v>
      </c>
      <c r="J19" s="170">
        <v>3.24</v>
      </c>
      <c r="K19" s="170">
        <v>3.24</v>
      </c>
      <c r="L19" s="171"/>
      <c r="M19" s="180">
        <v>1124.5899999999999</v>
      </c>
      <c r="N19" s="172">
        <v>0.05</v>
      </c>
      <c r="O19" s="172">
        <v>0.05</v>
      </c>
    </row>
    <row r="20" spans="1:15" ht="25.5" x14ac:dyDescent="0.2">
      <c r="A20" s="201" t="s">
        <v>736</v>
      </c>
      <c r="B20" s="161">
        <v>589</v>
      </c>
      <c r="C20" s="161" t="s">
        <v>987</v>
      </c>
      <c r="D20" s="201"/>
      <c r="E20" s="161"/>
      <c r="F20" s="161"/>
      <c r="G20" s="201" t="s">
        <v>736</v>
      </c>
      <c r="H20" s="169">
        <v>3.024</v>
      </c>
      <c r="I20" s="179">
        <v>179.86</v>
      </c>
      <c r="J20" s="170">
        <v>2.19</v>
      </c>
      <c r="K20" s="170">
        <v>2.19</v>
      </c>
      <c r="L20" s="171"/>
      <c r="M20" s="180"/>
      <c r="N20" s="172"/>
      <c r="O20" s="172"/>
    </row>
    <row r="21" spans="1:15" ht="12.75" x14ac:dyDescent="0.2">
      <c r="A21" s="201" t="s">
        <v>824</v>
      </c>
      <c r="B21" s="161">
        <v>301</v>
      </c>
      <c r="C21" s="161">
        <v>1050000774999</v>
      </c>
      <c r="D21" s="201" t="s">
        <v>824</v>
      </c>
      <c r="E21" s="161">
        <v>652</v>
      </c>
      <c r="F21" s="161">
        <v>1050000775005</v>
      </c>
      <c r="G21" s="201" t="s">
        <v>824</v>
      </c>
      <c r="H21" s="169">
        <v>0.33400000000000002</v>
      </c>
      <c r="I21" s="179">
        <v>51.03</v>
      </c>
      <c r="J21" s="170">
        <v>4.18</v>
      </c>
      <c r="K21" s="170">
        <v>4.18</v>
      </c>
      <c r="L21" s="171"/>
      <c r="M21" s="180">
        <v>2143.4499999999998</v>
      </c>
      <c r="N21" s="172">
        <v>0.05</v>
      </c>
      <c r="O21" s="172">
        <v>0.05</v>
      </c>
    </row>
    <row r="22" spans="1:15" ht="12.75" x14ac:dyDescent="0.2">
      <c r="A22" s="201" t="s">
        <v>825</v>
      </c>
      <c r="B22" s="161">
        <v>870</v>
      </c>
      <c r="C22" s="161">
        <v>1050000579318</v>
      </c>
      <c r="D22" s="201" t="s">
        <v>825</v>
      </c>
      <c r="E22" s="161">
        <v>745</v>
      </c>
      <c r="F22" s="161">
        <v>1050000579327</v>
      </c>
      <c r="G22" s="201" t="s">
        <v>825</v>
      </c>
      <c r="H22" s="169">
        <v>0.107</v>
      </c>
      <c r="I22" s="179">
        <v>35.35</v>
      </c>
      <c r="J22" s="170">
        <v>1.55</v>
      </c>
      <c r="K22" s="170">
        <v>1.55</v>
      </c>
      <c r="L22" s="171"/>
      <c r="M22" s="180">
        <v>2827.82</v>
      </c>
      <c r="N22" s="172">
        <v>0.05</v>
      </c>
      <c r="O22" s="172">
        <v>0.05</v>
      </c>
    </row>
    <row r="23" spans="1:15" ht="12.75" x14ac:dyDescent="0.2">
      <c r="A23" s="201" t="s">
        <v>826</v>
      </c>
      <c r="B23" s="161">
        <v>505</v>
      </c>
      <c r="C23" s="161">
        <v>1050000669548</v>
      </c>
      <c r="D23" s="201" t="s">
        <v>826</v>
      </c>
      <c r="E23" s="161">
        <v>782</v>
      </c>
      <c r="F23" s="161">
        <v>1050000669539</v>
      </c>
      <c r="G23" s="201" t="s">
        <v>826</v>
      </c>
      <c r="H23" s="169"/>
      <c r="I23" s="179">
        <v>28.47</v>
      </c>
      <c r="J23" s="170">
        <v>1.48</v>
      </c>
      <c r="K23" s="170">
        <v>1.48</v>
      </c>
      <c r="L23" s="171"/>
      <c r="M23" s="180">
        <v>1061.26</v>
      </c>
      <c r="N23" s="172">
        <v>0.05</v>
      </c>
      <c r="O23" s="172">
        <v>0.05</v>
      </c>
    </row>
    <row r="24" spans="1:15" ht="12.75" x14ac:dyDescent="0.2">
      <c r="A24" s="201" t="s">
        <v>827</v>
      </c>
      <c r="B24" s="161">
        <v>827</v>
      </c>
      <c r="C24" s="161">
        <v>1030082700415</v>
      </c>
      <c r="D24" s="201" t="s">
        <v>827</v>
      </c>
      <c r="E24" s="161">
        <v>734</v>
      </c>
      <c r="F24" s="161">
        <v>1030082700647</v>
      </c>
      <c r="G24" s="201" t="s">
        <v>827</v>
      </c>
      <c r="H24" s="169">
        <v>1.2999999999999999E-2</v>
      </c>
      <c r="I24" s="179">
        <v>33.479999999999997</v>
      </c>
      <c r="J24" s="170">
        <v>1.97</v>
      </c>
      <c r="K24" s="170">
        <v>1.97</v>
      </c>
      <c r="L24" s="171"/>
      <c r="M24" s="180">
        <v>4235.2</v>
      </c>
      <c r="N24" s="172">
        <v>0.05</v>
      </c>
      <c r="O24" s="172">
        <v>0.05</v>
      </c>
    </row>
    <row r="25" spans="1:15" ht="12.75" x14ac:dyDescent="0.2">
      <c r="A25" s="201" t="s">
        <v>828</v>
      </c>
      <c r="B25" s="161">
        <v>302</v>
      </c>
      <c r="C25" s="161">
        <v>1050001382522</v>
      </c>
      <c r="D25" s="201" t="s">
        <v>828</v>
      </c>
      <c r="E25" s="161">
        <v>436</v>
      </c>
      <c r="F25" s="161">
        <v>1050001382531</v>
      </c>
      <c r="G25" s="201" t="s">
        <v>828</v>
      </c>
      <c r="H25" s="169"/>
      <c r="I25" s="179">
        <v>1326</v>
      </c>
      <c r="J25" s="170">
        <v>1.1399999999999999</v>
      </c>
      <c r="K25" s="170">
        <v>1.1399999999999999</v>
      </c>
      <c r="L25" s="171"/>
      <c r="M25" s="180">
        <v>1325.75</v>
      </c>
      <c r="N25" s="172">
        <v>0.05</v>
      </c>
      <c r="O25" s="172">
        <v>0.05</v>
      </c>
    </row>
    <row r="26" spans="1:15" ht="12.75" x14ac:dyDescent="0.2">
      <c r="A26" s="201" t="s">
        <v>737</v>
      </c>
      <c r="B26" s="161">
        <v>590</v>
      </c>
      <c r="C26" s="161">
        <v>1014571751895</v>
      </c>
      <c r="D26" s="201"/>
      <c r="E26" s="161"/>
      <c r="F26" s="161"/>
      <c r="G26" s="201" t="s">
        <v>737</v>
      </c>
      <c r="H26" s="169"/>
      <c r="I26" s="179">
        <v>89.93</v>
      </c>
      <c r="J26" s="170">
        <v>5.38</v>
      </c>
      <c r="K26" s="170">
        <v>5.38</v>
      </c>
      <c r="L26" s="171"/>
      <c r="M26" s="180"/>
      <c r="N26" s="172"/>
      <c r="O26" s="172"/>
    </row>
    <row r="27" spans="1:15" ht="12.75" x14ac:dyDescent="0.2">
      <c r="A27" s="201" t="s">
        <v>829</v>
      </c>
      <c r="B27" s="161">
        <v>871</v>
      </c>
      <c r="C27" s="161">
        <v>1030083931374</v>
      </c>
      <c r="D27" s="201" t="s">
        <v>829</v>
      </c>
      <c r="E27" s="161">
        <v>746</v>
      </c>
      <c r="F27" s="161">
        <v>1030083931142</v>
      </c>
      <c r="G27" s="201" t="s">
        <v>829</v>
      </c>
      <c r="H27" s="169"/>
      <c r="I27" s="179">
        <v>3.42</v>
      </c>
      <c r="J27" s="170">
        <v>2.33</v>
      </c>
      <c r="K27" s="170">
        <v>2.33</v>
      </c>
      <c r="L27" s="171"/>
      <c r="M27" s="180">
        <v>280.64</v>
      </c>
      <c r="N27" s="172">
        <v>0.05</v>
      </c>
      <c r="O27" s="172">
        <v>0.05</v>
      </c>
    </row>
    <row r="28" spans="1:15" ht="12.75" x14ac:dyDescent="0.2">
      <c r="A28" s="201" t="s">
        <v>830</v>
      </c>
      <c r="B28" s="161">
        <v>539</v>
      </c>
      <c r="C28" s="161">
        <v>1050001036615</v>
      </c>
      <c r="D28" s="201" t="s">
        <v>830</v>
      </c>
      <c r="E28" s="161">
        <v>653</v>
      </c>
      <c r="F28" s="161">
        <v>1050001036624</v>
      </c>
      <c r="G28" s="201" t="s">
        <v>830</v>
      </c>
      <c r="H28" s="169"/>
      <c r="I28" s="179">
        <v>5.0599999999999996</v>
      </c>
      <c r="J28" s="170">
        <v>1.68</v>
      </c>
      <c r="K28" s="170">
        <v>1.68</v>
      </c>
      <c r="L28" s="171"/>
      <c r="M28" s="180">
        <v>252.93</v>
      </c>
      <c r="N28" s="172">
        <v>0.05</v>
      </c>
      <c r="O28" s="172">
        <v>0.05</v>
      </c>
    </row>
    <row r="29" spans="1:15" ht="12.75" x14ac:dyDescent="0.2">
      <c r="A29" s="201" t="s">
        <v>831</v>
      </c>
      <c r="B29" s="161"/>
      <c r="C29" s="161" t="s">
        <v>978</v>
      </c>
      <c r="D29" s="201" t="s">
        <v>831</v>
      </c>
      <c r="E29" s="161"/>
      <c r="F29" s="161" t="s">
        <v>978</v>
      </c>
      <c r="G29" s="201" t="s">
        <v>831</v>
      </c>
      <c r="H29" s="169">
        <v>1.2110000000000001</v>
      </c>
      <c r="I29" s="179">
        <v>37.6</v>
      </c>
      <c r="J29" s="170">
        <v>1.34</v>
      </c>
      <c r="K29" s="170">
        <v>1.34</v>
      </c>
      <c r="L29" s="171">
        <v>-1.4279999999999999</v>
      </c>
      <c r="M29" s="180">
        <v>752.01</v>
      </c>
      <c r="N29" s="172">
        <v>0.05</v>
      </c>
      <c r="O29" s="172">
        <v>0.05</v>
      </c>
    </row>
    <row r="30" spans="1:15" ht="12.75" x14ac:dyDescent="0.2">
      <c r="A30" s="201" t="s">
        <v>832</v>
      </c>
      <c r="B30" s="161">
        <v>534</v>
      </c>
      <c r="C30" s="161">
        <v>1050000769039</v>
      </c>
      <c r="D30" s="201" t="s">
        <v>832</v>
      </c>
      <c r="E30" s="161">
        <v>466</v>
      </c>
      <c r="F30" s="161">
        <v>1050000769048</v>
      </c>
      <c r="G30" s="201" t="s">
        <v>832</v>
      </c>
      <c r="H30" s="169"/>
      <c r="I30" s="179">
        <v>11.87</v>
      </c>
      <c r="J30" s="170">
        <v>2.52</v>
      </c>
      <c r="K30" s="170">
        <v>2.52</v>
      </c>
      <c r="L30" s="171"/>
      <c r="M30" s="180">
        <v>1127.21</v>
      </c>
      <c r="N30" s="172">
        <v>0.05</v>
      </c>
      <c r="O30" s="172">
        <v>0.05</v>
      </c>
    </row>
    <row r="31" spans="1:15" ht="12.75" x14ac:dyDescent="0.2">
      <c r="A31" s="201" t="s">
        <v>833</v>
      </c>
      <c r="B31" s="161">
        <v>540</v>
      </c>
      <c r="C31" s="161">
        <v>1050001021414</v>
      </c>
      <c r="D31" s="201" t="s">
        <v>833</v>
      </c>
      <c r="E31" s="161">
        <v>654</v>
      </c>
      <c r="F31" s="161">
        <v>1050001021423</v>
      </c>
      <c r="G31" s="201" t="s">
        <v>833</v>
      </c>
      <c r="H31" s="169">
        <v>9.4130000000000003</v>
      </c>
      <c r="I31" s="179">
        <v>35.549999999999997</v>
      </c>
      <c r="J31" s="170">
        <v>1.74</v>
      </c>
      <c r="K31" s="170">
        <v>1.74</v>
      </c>
      <c r="L31" s="171"/>
      <c r="M31" s="180">
        <v>1520.81</v>
      </c>
      <c r="N31" s="172">
        <v>0.05</v>
      </c>
      <c r="O31" s="172">
        <v>0.05</v>
      </c>
    </row>
    <row r="32" spans="1:15" ht="12.75" x14ac:dyDescent="0.2">
      <c r="A32" s="201" t="s">
        <v>738</v>
      </c>
      <c r="B32" s="161">
        <v>803</v>
      </c>
      <c r="C32" s="161">
        <v>1014572608412</v>
      </c>
      <c r="D32" s="201"/>
      <c r="E32" s="161"/>
      <c r="F32" s="161"/>
      <c r="G32" s="201" t="s">
        <v>738</v>
      </c>
      <c r="H32" s="169">
        <v>0.65400000000000003</v>
      </c>
      <c r="I32" s="179">
        <v>973.99</v>
      </c>
      <c r="J32" s="170">
        <v>5.37</v>
      </c>
      <c r="K32" s="170">
        <v>5.37</v>
      </c>
      <c r="L32" s="171"/>
      <c r="M32" s="180"/>
      <c r="N32" s="172"/>
      <c r="O32" s="172"/>
    </row>
    <row r="33" spans="1:15" ht="12.75" x14ac:dyDescent="0.2">
      <c r="A33" s="201" t="s">
        <v>834</v>
      </c>
      <c r="B33" s="161">
        <v>506</v>
      </c>
      <c r="C33" s="161">
        <v>1050000774270</v>
      </c>
      <c r="D33" s="201" t="s">
        <v>834</v>
      </c>
      <c r="E33" s="161">
        <v>783</v>
      </c>
      <c r="F33" s="161">
        <v>1050000774289</v>
      </c>
      <c r="G33" s="201" t="s">
        <v>834</v>
      </c>
      <c r="H33" s="169">
        <v>2.5000000000000001E-2</v>
      </c>
      <c r="I33" s="179">
        <v>1.58</v>
      </c>
      <c r="J33" s="170">
        <v>2.27</v>
      </c>
      <c r="K33" s="170">
        <v>2.27</v>
      </c>
      <c r="L33" s="171"/>
      <c r="M33" s="180">
        <v>256.39999999999998</v>
      </c>
      <c r="N33" s="172">
        <v>0.05</v>
      </c>
      <c r="O33" s="172">
        <v>0.05</v>
      </c>
    </row>
    <row r="34" spans="1:15" ht="12.75" x14ac:dyDescent="0.2">
      <c r="A34" s="201" t="s">
        <v>739</v>
      </c>
      <c r="B34" s="161">
        <v>804</v>
      </c>
      <c r="C34" s="161">
        <v>1014572578282</v>
      </c>
      <c r="D34" s="201"/>
      <c r="E34" s="161"/>
      <c r="F34" s="161"/>
      <c r="G34" s="201" t="s">
        <v>739</v>
      </c>
      <c r="H34" s="169">
        <v>0.16800000000000001</v>
      </c>
      <c r="I34" s="179">
        <v>515.97</v>
      </c>
      <c r="J34" s="170">
        <v>2.64</v>
      </c>
      <c r="K34" s="170">
        <v>2.64</v>
      </c>
      <c r="L34" s="171"/>
      <c r="M34" s="180"/>
      <c r="N34" s="172"/>
      <c r="O34" s="172"/>
    </row>
    <row r="35" spans="1:15" ht="25.5" x14ac:dyDescent="0.2">
      <c r="A35" s="201" t="s">
        <v>740</v>
      </c>
      <c r="B35" s="161">
        <v>591</v>
      </c>
      <c r="C35" s="161" t="s">
        <v>988</v>
      </c>
      <c r="D35" s="201"/>
      <c r="E35" s="161"/>
      <c r="F35" s="161"/>
      <c r="G35" s="201" t="s">
        <v>740</v>
      </c>
      <c r="H35" s="169">
        <v>1.03</v>
      </c>
      <c r="I35" s="179">
        <v>269.79000000000002</v>
      </c>
      <c r="J35" s="170">
        <v>1.99</v>
      </c>
      <c r="K35" s="170">
        <v>1.99</v>
      </c>
      <c r="L35" s="171"/>
      <c r="M35" s="180"/>
      <c r="N35" s="172"/>
      <c r="O35" s="172"/>
    </row>
    <row r="36" spans="1:15" ht="12.75" x14ac:dyDescent="0.2">
      <c r="A36" s="201" t="s">
        <v>835</v>
      </c>
      <c r="B36" s="161">
        <v>525</v>
      </c>
      <c r="C36" s="161">
        <v>1050000961956</v>
      </c>
      <c r="D36" s="201" t="s">
        <v>835</v>
      </c>
      <c r="E36" s="161">
        <v>457</v>
      </c>
      <c r="F36" s="161">
        <v>1050000961965</v>
      </c>
      <c r="G36" s="201" t="s">
        <v>835</v>
      </c>
      <c r="H36" s="169">
        <v>0.40500000000000003</v>
      </c>
      <c r="I36" s="179">
        <v>35.840000000000003</v>
      </c>
      <c r="J36" s="170">
        <v>1.67</v>
      </c>
      <c r="K36" s="170">
        <v>1.67</v>
      </c>
      <c r="L36" s="171"/>
      <c r="M36" s="180">
        <v>2204.2199999999998</v>
      </c>
      <c r="N36" s="172">
        <v>0.05</v>
      </c>
      <c r="O36" s="172">
        <v>0.05</v>
      </c>
    </row>
    <row r="37" spans="1:15" ht="51" x14ac:dyDescent="0.2">
      <c r="A37" s="201" t="s">
        <v>836</v>
      </c>
      <c r="B37" s="161">
        <v>821</v>
      </c>
      <c r="C37" s="161" t="s">
        <v>1024</v>
      </c>
      <c r="D37" s="201"/>
      <c r="E37" s="161"/>
      <c r="F37" s="161"/>
      <c r="G37" s="201" t="s">
        <v>836</v>
      </c>
      <c r="H37" s="169">
        <v>2E-3</v>
      </c>
      <c r="I37" s="179">
        <v>246.8</v>
      </c>
      <c r="J37" s="170">
        <v>1.54</v>
      </c>
      <c r="K37" s="170">
        <v>1.54</v>
      </c>
      <c r="L37" s="171"/>
      <c r="M37" s="180"/>
      <c r="N37" s="172"/>
      <c r="O37" s="172"/>
    </row>
    <row r="38" spans="1:15" ht="12.75" x14ac:dyDescent="0.2">
      <c r="A38" s="201" t="s">
        <v>837</v>
      </c>
      <c r="B38" s="161">
        <v>872</v>
      </c>
      <c r="C38" s="161">
        <v>1050000521610</v>
      </c>
      <c r="D38" s="201" t="s">
        <v>837</v>
      </c>
      <c r="E38" s="161">
        <v>747</v>
      </c>
      <c r="F38" s="161">
        <v>1030085039971</v>
      </c>
      <c r="G38" s="201" t="s">
        <v>837</v>
      </c>
      <c r="H38" s="169">
        <v>1.395</v>
      </c>
      <c r="I38" s="179">
        <v>11.29</v>
      </c>
      <c r="J38" s="170">
        <v>6.4</v>
      </c>
      <c r="K38" s="170">
        <v>6.4</v>
      </c>
      <c r="L38" s="171"/>
      <c r="M38" s="180">
        <v>2596.8200000000002</v>
      </c>
      <c r="N38" s="172">
        <v>0.05</v>
      </c>
      <c r="O38" s="172">
        <v>0.05</v>
      </c>
    </row>
    <row r="39" spans="1:15" ht="12.75" x14ac:dyDescent="0.2">
      <c r="A39" s="201" t="s">
        <v>838</v>
      </c>
      <c r="B39" s="161">
        <v>508</v>
      </c>
      <c r="C39" s="161">
        <v>1050000782944</v>
      </c>
      <c r="D39" s="201" t="s">
        <v>838</v>
      </c>
      <c r="E39" s="161">
        <v>785</v>
      </c>
      <c r="F39" s="161">
        <v>1050000773842</v>
      </c>
      <c r="G39" s="201" t="s">
        <v>838</v>
      </c>
      <c r="H39" s="169">
        <v>0.02</v>
      </c>
      <c r="I39" s="179">
        <v>1.28</v>
      </c>
      <c r="J39" s="170">
        <v>2.73</v>
      </c>
      <c r="K39" s="170">
        <v>2.73</v>
      </c>
      <c r="L39" s="171"/>
      <c r="M39" s="180">
        <v>256.7</v>
      </c>
      <c r="N39" s="172">
        <v>0.05</v>
      </c>
      <c r="O39" s="172">
        <v>0.05</v>
      </c>
    </row>
    <row r="40" spans="1:15" ht="12.75" x14ac:dyDescent="0.2">
      <c r="A40" s="201" t="s">
        <v>839</v>
      </c>
      <c r="B40" s="161">
        <v>873</v>
      </c>
      <c r="C40" s="161">
        <v>1030083941266</v>
      </c>
      <c r="D40" s="201" t="s">
        <v>839</v>
      </c>
      <c r="E40" s="161">
        <v>735</v>
      </c>
      <c r="F40" s="161">
        <v>1030083941034</v>
      </c>
      <c r="G40" s="201" t="s">
        <v>839</v>
      </c>
      <c r="H40" s="169">
        <v>7.0000000000000001E-3</v>
      </c>
      <c r="I40" s="179">
        <v>2.85</v>
      </c>
      <c r="J40" s="170">
        <v>2.09</v>
      </c>
      <c r="K40" s="170">
        <v>2.09</v>
      </c>
      <c r="L40" s="171"/>
      <c r="M40" s="180">
        <v>255.14</v>
      </c>
      <c r="N40" s="172">
        <v>0.05</v>
      </c>
      <c r="O40" s="172">
        <v>0.05</v>
      </c>
    </row>
    <row r="41" spans="1:15" ht="12.75" x14ac:dyDescent="0.2">
      <c r="A41" s="201" t="s">
        <v>840</v>
      </c>
      <c r="B41" s="161">
        <v>874</v>
      </c>
      <c r="C41" s="161">
        <v>1030083918035</v>
      </c>
      <c r="D41" s="201" t="s">
        <v>840</v>
      </c>
      <c r="E41" s="161">
        <v>748</v>
      </c>
      <c r="F41" s="161">
        <v>1030083917802</v>
      </c>
      <c r="G41" s="201" t="s">
        <v>840</v>
      </c>
      <c r="H41" s="169">
        <v>0.02</v>
      </c>
      <c r="I41" s="179">
        <v>7.3</v>
      </c>
      <c r="J41" s="170">
        <v>1.5</v>
      </c>
      <c r="K41" s="170">
        <v>1.5</v>
      </c>
      <c r="L41" s="171"/>
      <c r="M41" s="180">
        <v>250.68</v>
      </c>
      <c r="N41" s="172">
        <v>0.05</v>
      </c>
      <c r="O41" s="172">
        <v>0.05</v>
      </c>
    </row>
    <row r="42" spans="1:15" ht="25.5" x14ac:dyDescent="0.2">
      <c r="A42" s="201" t="s">
        <v>841</v>
      </c>
      <c r="B42" s="161">
        <v>805</v>
      </c>
      <c r="C42" s="161" t="s">
        <v>1025</v>
      </c>
      <c r="D42" s="201" t="s">
        <v>841</v>
      </c>
      <c r="E42" s="161">
        <v>700</v>
      </c>
      <c r="F42" s="161" t="s">
        <v>2509</v>
      </c>
      <c r="G42" s="201" t="s">
        <v>841</v>
      </c>
      <c r="H42" s="169">
        <v>1.2490000000000001</v>
      </c>
      <c r="I42" s="179">
        <v>94.86</v>
      </c>
      <c r="J42" s="170">
        <v>1.41</v>
      </c>
      <c r="K42" s="170">
        <v>1.41</v>
      </c>
      <c r="L42" s="171">
        <v>-1.2490000000000001</v>
      </c>
      <c r="M42" s="180">
        <v>679.1</v>
      </c>
      <c r="N42" s="172">
        <v>0.05</v>
      </c>
      <c r="O42" s="172">
        <v>0.05</v>
      </c>
    </row>
    <row r="43" spans="1:15" ht="12.75" x14ac:dyDescent="0.2">
      <c r="A43" s="201" t="s">
        <v>842</v>
      </c>
      <c r="B43" s="161">
        <v>806</v>
      </c>
      <c r="C43" s="161">
        <v>1014568635628</v>
      </c>
      <c r="D43" s="201" t="s">
        <v>842</v>
      </c>
      <c r="E43" s="161">
        <v>719</v>
      </c>
      <c r="F43" s="161">
        <v>1023470427970</v>
      </c>
      <c r="G43" s="201" t="s">
        <v>842</v>
      </c>
      <c r="H43" s="169">
        <v>4.0000000000000001E-3</v>
      </c>
      <c r="I43" s="179">
        <v>25.8</v>
      </c>
      <c r="J43" s="170">
        <v>1.7</v>
      </c>
      <c r="K43" s="170">
        <v>1.7</v>
      </c>
      <c r="L43" s="171">
        <v>-0.41899999999999998</v>
      </c>
      <c r="M43" s="180">
        <v>232.19</v>
      </c>
      <c r="N43" s="172">
        <v>0.05</v>
      </c>
      <c r="O43" s="172">
        <v>0.05</v>
      </c>
    </row>
    <row r="44" spans="1:15" ht="12.75" x14ac:dyDescent="0.2">
      <c r="A44" s="201" t="s">
        <v>843</v>
      </c>
      <c r="B44" s="161">
        <v>507</v>
      </c>
      <c r="C44" s="161">
        <v>1050000773851</v>
      </c>
      <c r="D44" s="201" t="s">
        <v>843</v>
      </c>
      <c r="E44" s="161">
        <v>784</v>
      </c>
      <c r="F44" s="161">
        <v>1050000773860</v>
      </c>
      <c r="G44" s="201" t="s">
        <v>843</v>
      </c>
      <c r="H44" s="169">
        <v>1E-3</v>
      </c>
      <c r="I44" s="179">
        <v>12.89</v>
      </c>
      <c r="J44" s="170">
        <v>2.0699999999999998</v>
      </c>
      <c r="K44" s="170">
        <v>2.0699999999999998</v>
      </c>
      <c r="L44" s="171"/>
      <c r="M44" s="180">
        <v>1546.29</v>
      </c>
      <c r="N44" s="172">
        <v>0.05</v>
      </c>
      <c r="O44" s="172">
        <v>0.05</v>
      </c>
    </row>
    <row r="45" spans="1:15" ht="25.5" x14ac:dyDescent="0.2">
      <c r="A45" s="201" t="s">
        <v>741</v>
      </c>
      <c r="B45" s="161">
        <v>592</v>
      </c>
      <c r="C45" s="161" t="s">
        <v>989</v>
      </c>
      <c r="D45" s="201"/>
      <c r="E45" s="161"/>
      <c r="F45" s="161"/>
      <c r="G45" s="201" t="s">
        <v>741</v>
      </c>
      <c r="H45" s="169">
        <v>4.4610000000000003</v>
      </c>
      <c r="I45" s="179">
        <v>359.71</v>
      </c>
      <c r="J45" s="170">
        <v>5.26</v>
      </c>
      <c r="K45" s="170">
        <v>5.26</v>
      </c>
      <c r="L45" s="171"/>
      <c r="M45" s="180"/>
      <c r="N45" s="172"/>
      <c r="O45" s="172"/>
    </row>
    <row r="46" spans="1:15" ht="12.75" x14ac:dyDescent="0.2">
      <c r="A46" s="201" t="s">
        <v>844</v>
      </c>
      <c r="B46" s="161">
        <v>541</v>
      </c>
      <c r="C46" s="161">
        <v>1050000729676</v>
      </c>
      <c r="D46" s="201" t="s">
        <v>844</v>
      </c>
      <c r="E46" s="161">
        <v>786</v>
      </c>
      <c r="F46" s="161">
        <v>1050000729667</v>
      </c>
      <c r="G46" s="201" t="s">
        <v>844</v>
      </c>
      <c r="H46" s="169">
        <v>2E-3</v>
      </c>
      <c r="I46" s="179">
        <v>3.13</v>
      </c>
      <c r="J46" s="170">
        <v>3</v>
      </c>
      <c r="K46" s="170">
        <v>3</v>
      </c>
      <c r="L46" s="171"/>
      <c r="M46" s="180">
        <v>781.27</v>
      </c>
      <c r="N46" s="172">
        <v>0.05</v>
      </c>
      <c r="O46" s="172">
        <v>0.05</v>
      </c>
    </row>
    <row r="47" spans="1:15" ht="12.75" x14ac:dyDescent="0.2">
      <c r="A47" s="201" t="s">
        <v>845</v>
      </c>
      <c r="B47" s="161">
        <v>875</v>
      </c>
      <c r="C47" s="161">
        <v>1030082355419</v>
      </c>
      <c r="D47" s="201" t="s">
        <v>845</v>
      </c>
      <c r="E47" s="161">
        <v>749</v>
      </c>
      <c r="F47" s="161">
        <v>1030081926920</v>
      </c>
      <c r="G47" s="201" t="s">
        <v>845</v>
      </c>
      <c r="H47" s="169">
        <v>6.0000000000000001E-3</v>
      </c>
      <c r="I47" s="179">
        <v>23.41</v>
      </c>
      <c r="J47" s="170">
        <v>1.81</v>
      </c>
      <c r="K47" s="170">
        <v>1.81</v>
      </c>
      <c r="L47" s="171"/>
      <c r="M47" s="180">
        <v>1170.6400000000001</v>
      </c>
      <c r="N47" s="172">
        <v>0.05</v>
      </c>
      <c r="O47" s="172">
        <v>0.05</v>
      </c>
    </row>
    <row r="48" spans="1:15" ht="25.5" x14ac:dyDescent="0.2">
      <c r="A48" s="201" t="s">
        <v>742</v>
      </c>
      <c r="B48" s="161">
        <v>593</v>
      </c>
      <c r="C48" s="161" t="s">
        <v>990</v>
      </c>
      <c r="D48" s="201"/>
      <c r="E48" s="161"/>
      <c r="F48" s="161"/>
      <c r="G48" s="201" t="s">
        <v>742</v>
      </c>
      <c r="H48" s="169">
        <v>5.242</v>
      </c>
      <c r="I48" s="179">
        <v>89.93</v>
      </c>
      <c r="J48" s="170">
        <v>2.63</v>
      </c>
      <c r="K48" s="170">
        <v>2.63</v>
      </c>
      <c r="L48" s="171"/>
      <c r="M48" s="180"/>
      <c r="N48" s="172"/>
      <c r="O48" s="172"/>
    </row>
    <row r="49" spans="1:15" ht="12.75" x14ac:dyDescent="0.2">
      <c r="A49" s="201" t="s">
        <v>846</v>
      </c>
      <c r="B49" s="161">
        <v>876</v>
      </c>
      <c r="C49" s="161">
        <v>1030083806488</v>
      </c>
      <c r="D49" s="201" t="s">
        <v>846</v>
      </c>
      <c r="E49" s="161">
        <v>750</v>
      </c>
      <c r="F49" s="161">
        <v>1030083806256</v>
      </c>
      <c r="G49" s="201" t="s">
        <v>846</v>
      </c>
      <c r="H49" s="169">
        <v>7.5999999999999998E-2</v>
      </c>
      <c r="I49" s="179">
        <v>8.25</v>
      </c>
      <c r="J49" s="170">
        <v>3.99</v>
      </c>
      <c r="K49" s="170">
        <v>3.99</v>
      </c>
      <c r="L49" s="171"/>
      <c r="M49" s="180">
        <v>1029.32</v>
      </c>
      <c r="N49" s="172">
        <v>0.05</v>
      </c>
      <c r="O49" s="172">
        <v>0.05</v>
      </c>
    </row>
    <row r="50" spans="1:15" ht="12.75" x14ac:dyDescent="0.2">
      <c r="A50" s="201" t="s">
        <v>847</v>
      </c>
      <c r="B50" s="161">
        <v>542</v>
      </c>
      <c r="C50" s="161">
        <v>1050000961983</v>
      </c>
      <c r="D50" s="201" t="s">
        <v>847</v>
      </c>
      <c r="E50" s="161">
        <v>683</v>
      </c>
      <c r="F50" s="161">
        <v>1050000961992</v>
      </c>
      <c r="G50" s="201" t="s">
        <v>847</v>
      </c>
      <c r="H50" s="169">
        <v>1.4139999999999999</v>
      </c>
      <c r="I50" s="179">
        <v>49.1</v>
      </c>
      <c r="J50" s="170">
        <v>2.11</v>
      </c>
      <c r="K50" s="170">
        <v>2.11</v>
      </c>
      <c r="L50" s="171"/>
      <c r="M50" s="180">
        <v>2553.27</v>
      </c>
      <c r="N50" s="172">
        <v>0.05</v>
      </c>
      <c r="O50" s="172">
        <v>0.05</v>
      </c>
    </row>
    <row r="51" spans="1:15" ht="12.75" x14ac:dyDescent="0.2">
      <c r="A51" s="201" t="s">
        <v>848</v>
      </c>
      <c r="B51" s="161">
        <v>543</v>
      </c>
      <c r="C51" s="161">
        <v>1050000948022</v>
      </c>
      <c r="D51" s="201" t="s">
        <v>848</v>
      </c>
      <c r="E51" s="161">
        <v>655</v>
      </c>
      <c r="F51" s="161">
        <v>1050000948031</v>
      </c>
      <c r="G51" s="201" t="s">
        <v>848</v>
      </c>
      <c r="H51" s="169">
        <v>1.6E-2</v>
      </c>
      <c r="I51" s="179">
        <v>49.38</v>
      </c>
      <c r="J51" s="170">
        <v>1.8</v>
      </c>
      <c r="K51" s="170">
        <v>1.8</v>
      </c>
      <c r="L51" s="171"/>
      <c r="M51" s="180">
        <v>4114.9799999999996</v>
      </c>
      <c r="N51" s="172">
        <v>0.05</v>
      </c>
      <c r="O51" s="172">
        <v>0.05</v>
      </c>
    </row>
    <row r="52" spans="1:15" ht="12.75" x14ac:dyDescent="0.2">
      <c r="A52" s="201" t="s">
        <v>849</v>
      </c>
      <c r="B52" s="161">
        <v>303</v>
      </c>
      <c r="C52" s="161">
        <v>1050001382337</v>
      </c>
      <c r="D52" s="201" t="s">
        <v>849</v>
      </c>
      <c r="E52" s="161">
        <v>437</v>
      </c>
      <c r="F52" s="161">
        <v>1050001382355</v>
      </c>
      <c r="G52" s="201" t="s">
        <v>849</v>
      </c>
      <c r="H52" s="169"/>
      <c r="I52" s="179"/>
      <c r="J52" s="170">
        <v>1.49</v>
      </c>
      <c r="K52" s="170">
        <v>1.49</v>
      </c>
      <c r="L52" s="171"/>
      <c r="M52" s="180"/>
      <c r="N52" s="172">
        <v>0.05</v>
      </c>
      <c r="O52" s="172">
        <v>0.05</v>
      </c>
    </row>
    <row r="53" spans="1:15" ht="12.75" x14ac:dyDescent="0.2">
      <c r="A53" s="201" t="s">
        <v>850</v>
      </c>
      <c r="B53" s="161">
        <v>544</v>
      </c>
      <c r="C53" s="161">
        <v>1050000714173</v>
      </c>
      <c r="D53" s="201" t="s">
        <v>850</v>
      </c>
      <c r="E53" s="161">
        <v>656</v>
      </c>
      <c r="F53" s="161">
        <v>1050000714182</v>
      </c>
      <c r="G53" s="201" t="s">
        <v>850</v>
      </c>
      <c r="H53" s="169">
        <v>2.5000000000000001E-2</v>
      </c>
      <c r="I53" s="179">
        <v>11.76</v>
      </c>
      <c r="J53" s="170">
        <v>1.51</v>
      </c>
      <c r="K53" s="170">
        <v>1.51</v>
      </c>
      <c r="L53" s="171"/>
      <c r="M53" s="180">
        <v>2587.79</v>
      </c>
      <c r="N53" s="172">
        <v>0.05</v>
      </c>
      <c r="O53" s="172">
        <v>0.05</v>
      </c>
    </row>
    <row r="54" spans="1:15" ht="12.75" x14ac:dyDescent="0.2">
      <c r="A54" s="201" t="s">
        <v>2435</v>
      </c>
      <c r="B54" s="161">
        <v>304</v>
      </c>
      <c r="C54" s="161">
        <v>1050001439408</v>
      </c>
      <c r="D54" s="201" t="s">
        <v>2435</v>
      </c>
      <c r="E54" s="161">
        <v>438</v>
      </c>
      <c r="F54" s="161">
        <v>1050001439417</v>
      </c>
      <c r="G54" s="201" t="s">
        <v>2435</v>
      </c>
      <c r="H54" s="169"/>
      <c r="I54" s="179">
        <v>32.450000000000003</v>
      </c>
      <c r="J54" s="170">
        <v>2.36</v>
      </c>
      <c r="K54" s="170">
        <v>2.36</v>
      </c>
      <c r="L54" s="171">
        <v>-0.73299999999999998</v>
      </c>
      <c r="M54" s="180">
        <v>2496.19</v>
      </c>
      <c r="N54" s="172">
        <v>0.05</v>
      </c>
      <c r="O54" s="172">
        <v>0.05</v>
      </c>
    </row>
    <row r="55" spans="1:15" ht="12.75" x14ac:dyDescent="0.2">
      <c r="A55" s="201" t="s">
        <v>2436</v>
      </c>
      <c r="B55" s="161">
        <v>305</v>
      </c>
      <c r="C55" s="161">
        <v>1050001495174</v>
      </c>
      <c r="D55" s="201" t="s">
        <v>2436</v>
      </c>
      <c r="E55" s="161">
        <v>439</v>
      </c>
      <c r="F55" s="161">
        <v>1050001495183</v>
      </c>
      <c r="G55" s="201" t="s">
        <v>2436</v>
      </c>
      <c r="H55" s="169">
        <v>2.98</v>
      </c>
      <c r="I55" s="179">
        <v>491.3</v>
      </c>
      <c r="J55" s="170">
        <v>1.31</v>
      </c>
      <c r="K55" s="170">
        <v>1.31</v>
      </c>
      <c r="L55" s="171">
        <v>-3.2160000000000002</v>
      </c>
      <c r="M55" s="180">
        <v>491.3</v>
      </c>
      <c r="N55" s="172">
        <v>0.05</v>
      </c>
      <c r="O55" s="172">
        <v>0.05</v>
      </c>
    </row>
    <row r="56" spans="1:15" ht="12.75" x14ac:dyDescent="0.2">
      <c r="A56" s="201" t="s">
        <v>851</v>
      </c>
      <c r="B56" s="161">
        <v>535</v>
      </c>
      <c r="C56" s="161">
        <v>1050000841917</v>
      </c>
      <c r="D56" s="201" t="s">
        <v>851</v>
      </c>
      <c r="E56" s="161">
        <v>467</v>
      </c>
      <c r="F56" s="161">
        <v>1050000841926</v>
      </c>
      <c r="G56" s="201" t="s">
        <v>851</v>
      </c>
      <c r="H56" s="169">
        <v>0.19400000000000001</v>
      </c>
      <c r="I56" s="179">
        <v>3.02</v>
      </c>
      <c r="J56" s="170">
        <v>15.04</v>
      </c>
      <c r="K56" s="170">
        <v>15.04</v>
      </c>
      <c r="L56" s="171"/>
      <c r="M56" s="180">
        <v>604.23</v>
      </c>
      <c r="N56" s="172">
        <v>0.05</v>
      </c>
      <c r="O56" s="172">
        <v>0.05</v>
      </c>
    </row>
    <row r="57" spans="1:15" ht="25.5" x14ac:dyDescent="0.2">
      <c r="A57" s="201" t="s">
        <v>743</v>
      </c>
      <c r="B57" s="161">
        <v>594</v>
      </c>
      <c r="C57" s="161" t="s">
        <v>991</v>
      </c>
      <c r="D57" s="201"/>
      <c r="E57" s="161"/>
      <c r="F57" s="161"/>
      <c r="G57" s="201" t="s">
        <v>743</v>
      </c>
      <c r="H57" s="169">
        <v>2E-3</v>
      </c>
      <c r="I57" s="179">
        <v>257.99</v>
      </c>
      <c r="J57" s="170">
        <v>3.73</v>
      </c>
      <c r="K57" s="170">
        <v>3.73</v>
      </c>
      <c r="L57" s="171"/>
      <c r="M57" s="180"/>
      <c r="N57" s="172"/>
      <c r="O57" s="172"/>
    </row>
    <row r="58" spans="1:15" ht="12.75" x14ac:dyDescent="0.2">
      <c r="A58" s="201" t="s">
        <v>852</v>
      </c>
      <c r="B58" s="161">
        <v>808</v>
      </c>
      <c r="C58" s="161">
        <v>1030017556367</v>
      </c>
      <c r="D58" s="201"/>
      <c r="E58" s="161"/>
      <c r="F58" s="161"/>
      <c r="G58" s="201" t="s">
        <v>852</v>
      </c>
      <c r="H58" s="169">
        <v>8.9999999999999993E-3</v>
      </c>
      <c r="I58" s="179">
        <v>25.23</v>
      </c>
      <c r="J58" s="170">
        <v>1.67</v>
      </c>
      <c r="K58" s="170">
        <v>1.67</v>
      </c>
      <c r="L58" s="171"/>
      <c r="M58" s="180"/>
      <c r="N58" s="172"/>
      <c r="O58" s="172"/>
    </row>
    <row r="59" spans="1:15" ht="12.75" x14ac:dyDescent="0.2">
      <c r="A59" s="201" t="s">
        <v>853</v>
      </c>
      <c r="B59" s="161">
        <v>566</v>
      </c>
      <c r="C59" s="161">
        <v>1050001191792</v>
      </c>
      <c r="D59" s="201" t="s">
        <v>853</v>
      </c>
      <c r="E59" s="161">
        <v>684</v>
      </c>
      <c r="F59" s="161">
        <v>1050001191808</v>
      </c>
      <c r="G59" s="201" t="s">
        <v>853</v>
      </c>
      <c r="H59" s="169">
        <v>0.128</v>
      </c>
      <c r="I59" s="179">
        <v>10.18</v>
      </c>
      <c r="J59" s="170">
        <v>1.6</v>
      </c>
      <c r="K59" s="170">
        <v>1.6</v>
      </c>
      <c r="L59" s="171"/>
      <c r="M59" s="180">
        <v>557.95000000000005</v>
      </c>
      <c r="N59" s="172">
        <v>0.05</v>
      </c>
      <c r="O59" s="172">
        <v>0.05</v>
      </c>
    </row>
    <row r="60" spans="1:15" ht="12.75" x14ac:dyDescent="0.2">
      <c r="A60" s="201" t="s">
        <v>854</v>
      </c>
      <c r="B60" s="161">
        <v>509</v>
      </c>
      <c r="C60" s="161">
        <v>1050000808859</v>
      </c>
      <c r="D60" s="201" t="s">
        <v>854</v>
      </c>
      <c r="E60" s="161">
        <v>787</v>
      </c>
      <c r="F60" s="161">
        <v>1050000808868</v>
      </c>
      <c r="G60" s="201" t="s">
        <v>854</v>
      </c>
      <c r="H60" s="169">
        <v>5.0000000000000001E-3</v>
      </c>
      <c r="I60" s="179">
        <v>2.1800000000000002</v>
      </c>
      <c r="J60" s="170">
        <v>3.83</v>
      </c>
      <c r="K60" s="170">
        <v>3.83</v>
      </c>
      <c r="L60" s="171"/>
      <c r="M60" s="180">
        <v>1162.98</v>
      </c>
      <c r="N60" s="172">
        <v>0.05</v>
      </c>
      <c r="O60" s="172">
        <v>0.05</v>
      </c>
    </row>
    <row r="61" spans="1:15" ht="12.75" x14ac:dyDescent="0.2">
      <c r="A61" s="201" t="s">
        <v>855</v>
      </c>
      <c r="B61" s="161">
        <v>307</v>
      </c>
      <c r="C61" s="161">
        <v>1050001047087</v>
      </c>
      <c r="D61" s="201" t="s">
        <v>855</v>
      </c>
      <c r="E61" s="161">
        <v>657</v>
      </c>
      <c r="F61" s="161">
        <v>1050001047078</v>
      </c>
      <c r="G61" s="201" t="s">
        <v>855</v>
      </c>
      <c r="H61" s="169"/>
      <c r="I61" s="179">
        <v>1.5</v>
      </c>
      <c r="J61" s="170">
        <v>7.44</v>
      </c>
      <c r="K61" s="170">
        <v>7.44</v>
      </c>
      <c r="L61" s="171"/>
      <c r="M61" s="180">
        <v>749.19</v>
      </c>
      <c r="N61" s="172">
        <v>0.05</v>
      </c>
      <c r="O61" s="172">
        <v>0.05</v>
      </c>
    </row>
    <row r="62" spans="1:15" ht="12.75" x14ac:dyDescent="0.2">
      <c r="A62" s="201" t="s">
        <v>856</v>
      </c>
      <c r="B62" s="161">
        <v>835</v>
      </c>
      <c r="C62" s="161">
        <v>1030079565056</v>
      </c>
      <c r="D62" s="201" t="s">
        <v>856</v>
      </c>
      <c r="E62" s="161">
        <v>736</v>
      </c>
      <c r="F62" s="161">
        <v>1030079564823</v>
      </c>
      <c r="G62" s="201" t="s">
        <v>856</v>
      </c>
      <c r="H62" s="169"/>
      <c r="I62" s="179">
        <v>11.59</v>
      </c>
      <c r="J62" s="170">
        <v>1.93</v>
      </c>
      <c r="K62" s="170">
        <v>1.93</v>
      </c>
      <c r="L62" s="171"/>
      <c r="M62" s="180">
        <v>950.55</v>
      </c>
      <c r="N62" s="172">
        <v>0.05</v>
      </c>
      <c r="O62" s="172">
        <v>0.05</v>
      </c>
    </row>
    <row r="63" spans="1:15" ht="12.75" x14ac:dyDescent="0.2">
      <c r="A63" s="201" t="s">
        <v>857</v>
      </c>
      <c r="B63" s="161">
        <v>878</v>
      </c>
      <c r="C63" s="161">
        <v>1050000612950</v>
      </c>
      <c r="D63" s="201" t="s">
        <v>857</v>
      </c>
      <c r="E63" s="161">
        <v>752</v>
      </c>
      <c r="F63" s="161">
        <v>1050000612940</v>
      </c>
      <c r="G63" s="201" t="s">
        <v>857</v>
      </c>
      <c r="H63" s="169">
        <v>0.17100000000000001</v>
      </c>
      <c r="I63" s="179">
        <v>7.75</v>
      </c>
      <c r="J63" s="170">
        <v>3.51</v>
      </c>
      <c r="K63" s="170">
        <v>3.51</v>
      </c>
      <c r="L63" s="171"/>
      <c r="M63" s="180">
        <v>1394.94</v>
      </c>
      <c r="N63" s="172">
        <v>0.05</v>
      </c>
      <c r="O63" s="172">
        <v>0.05</v>
      </c>
    </row>
    <row r="64" spans="1:15" ht="25.5" x14ac:dyDescent="0.2">
      <c r="A64" s="201" t="s">
        <v>744</v>
      </c>
      <c r="B64" s="161">
        <v>595</v>
      </c>
      <c r="C64" s="161" t="s">
        <v>992</v>
      </c>
      <c r="D64" s="201"/>
      <c r="E64" s="161"/>
      <c r="F64" s="161"/>
      <c r="G64" s="201" t="s">
        <v>744</v>
      </c>
      <c r="H64" s="169">
        <v>2.1339999999999999</v>
      </c>
      <c r="I64" s="179">
        <v>6565.89</v>
      </c>
      <c r="J64" s="170">
        <v>2.1</v>
      </c>
      <c r="K64" s="170">
        <v>2.1</v>
      </c>
      <c r="L64" s="171"/>
      <c r="M64" s="180"/>
      <c r="N64" s="172"/>
      <c r="O64" s="172"/>
    </row>
    <row r="65" spans="1:15" ht="12.75" x14ac:dyDescent="0.2">
      <c r="A65" s="201" t="s">
        <v>745</v>
      </c>
      <c r="B65" s="161">
        <v>809</v>
      </c>
      <c r="C65" s="161">
        <v>1014572509517</v>
      </c>
      <c r="D65" s="201"/>
      <c r="E65" s="161"/>
      <c r="F65" s="161"/>
      <c r="G65" s="201" t="s">
        <v>745</v>
      </c>
      <c r="H65" s="169"/>
      <c r="I65" s="179">
        <v>7771.42</v>
      </c>
      <c r="J65" s="170">
        <v>1.52</v>
      </c>
      <c r="K65" s="170">
        <v>1.52</v>
      </c>
      <c r="L65" s="171"/>
      <c r="M65" s="180"/>
      <c r="N65" s="172"/>
      <c r="O65" s="172"/>
    </row>
    <row r="66" spans="1:15" ht="12.75" x14ac:dyDescent="0.2">
      <c r="A66" s="201" t="s">
        <v>858</v>
      </c>
      <c r="B66" s="161">
        <v>879</v>
      </c>
      <c r="C66" s="161">
        <v>1050000581432</v>
      </c>
      <c r="D66" s="201" t="s">
        <v>858</v>
      </c>
      <c r="E66" s="161">
        <v>753</v>
      </c>
      <c r="F66" s="161">
        <v>1050000581441</v>
      </c>
      <c r="G66" s="201" t="s">
        <v>858</v>
      </c>
      <c r="H66" s="169"/>
      <c r="I66" s="179">
        <v>5.34</v>
      </c>
      <c r="J66" s="170">
        <v>6.89</v>
      </c>
      <c r="K66" s="170">
        <v>6.89</v>
      </c>
      <c r="L66" s="171"/>
      <c r="M66" s="180">
        <v>534.1</v>
      </c>
      <c r="N66" s="172">
        <v>0.05</v>
      </c>
      <c r="O66" s="172">
        <v>0.05</v>
      </c>
    </row>
    <row r="67" spans="1:15" ht="12.75" x14ac:dyDescent="0.2">
      <c r="A67" s="201" t="s">
        <v>859</v>
      </c>
      <c r="B67" s="161">
        <v>545</v>
      </c>
      <c r="C67" s="161">
        <v>1050001047272</v>
      </c>
      <c r="D67" s="201" t="s">
        <v>859</v>
      </c>
      <c r="E67" s="161">
        <v>658</v>
      </c>
      <c r="F67" s="161">
        <v>1050001047263</v>
      </c>
      <c r="G67" s="201" t="s">
        <v>859</v>
      </c>
      <c r="H67" s="169">
        <v>2.6720000000000002</v>
      </c>
      <c r="I67" s="179">
        <v>11.78</v>
      </c>
      <c r="J67" s="170">
        <v>1.81</v>
      </c>
      <c r="K67" s="170">
        <v>1.81</v>
      </c>
      <c r="L67" s="171"/>
      <c r="M67" s="180">
        <v>530.27</v>
      </c>
      <c r="N67" s="172">
        <v>0.05</v>
      </c>
      <c r="O67" s="172">
        <v>0.05</v>
      </c>
    </row>
    <row r="68" spans="1:15" ht="12.75" x14ac:dyDescent="0.2">
      <c r="A68" s="201" t="s">
        <v>860</v>
      </c>
      <c r="B68" s="161">
        <v>877</v>
      </c>
      <c r="C68" s="161">
        <v>1050000609423</v>
      </c>
      <c r="D68" s="201" t="s">
        <v>860</v>
      </c>
      <c r="E68" s="161">
        <v>751</v>
      </c>
      <c r="F68" s="161">
        <v>1050000609380</v>
      </c>
      <c r="G68" s="201" t="s">
        <v>860</v>
      </c>
      <c r="H68" s="169">
        <v>0.27500000000000002</v>
      </c>
      <c r="I68" s="179">
        <v>1.89</v>
      </c>
      <c r="J68" s="170">
        <v>6.01</v>
      </c>
      <c r="K68" s="170">
        <v>6.01</v>
      </c>
      <c r="L68" s="171"/>
      <c r="M68" s="180">
        <v>566.25</v>
      </c>
      <c r="N68" s="172">
        <v>0.05</v>
      </c>
      <c r="O68" s="172">
        <v>0.05</v>
      </c>
    </row>
    <row r="69" spans="1:15" ht="12.75" x14ac:dyDescent="0.2">
      <c r="A69" s="201" t="s">
        <v>861</v>
      </c>
      <c r="B69" s="161">
        <v>841</v>
      </c>
      <c r="C69" s="161">
        <v>1030081316739</v>
      </c>
      <c r="D69" s="201" t="s">
        <v>861</v>
      </c>
      <c r="E69" s="161">
        <v>737</v>
      </c>
      <c r="F69" s="161">
        <v>1030081316960</v>
      </c>
      <c r="G69" s="201" t="s">
        <v>861</v>
      </c>
      <c r="H69" s="169">
        <v>5.0000000000000001E-3</v>
      </c>
      <c r="I69" s="179">
        <v>3.59</v>
      </c>
      <c r="J69" s="170">
        <v>1.63</v>
      </c>
      <c r="K69" s="170">
        <v>1.63</v>
      </c>
      <c r="L69" s="171"/>
      <c r="M69" s="180">
        <v>358.72</v>
      </c>
      <c r="N69" s="172">
        <v>0.05</v>
      </c>
      <c r="O69" s="172">
        <v>0.05</v>
      </c>
    </row>
    <row r="70" spans="1:15" ht="12.75" x14ac:dyDescent="0.2">
      <c r="A70" s="201" t="s">
        <v>862</v>
      </c>
      <c r="B70" s="161">
        <v>887</v>
      </c>
      <c r="C70" s="161">
        <v>1050000609441</v>
      </c>
      <c r="D70" s="201" t="s">
        <v>862</v>
      </c>
      <c r="E70" s="161">
        <v>761</v>
      </c>
      <c r="F70" s="161">
        <v>1050000563595</v>
      </c>
      <c r="G70" s="201" t="s">
        <v>862</v>
      </c>
      <c r="H70" s="169">
        <v>2.3E-2</v>
      </c>
      <c r="I70" s="179">
        <v>2.8</v>
      </c>
      <c r="J70" s="170">
        <v>15.43</v>
      </c>
      <c r="K70" s="170">
        <v>15.43</v>
      </c>
      <c r="L70" s="171"/>
      <c r="M70" s="180">
        <v>534.04</v>
      </c>
      <c r="N70" s="172">
        <v>0.05</v>
      </c>
      <c r="O70" s="172">
        <v>0.05</v>
      </c>
    </row>
    <row r="71" spans="1:15" ht="51" x14ac:dyDescent="0.2">
      <c r="A71" s="201" t="s">
        <v>863</v>
      </c>
      <c r="B71" s="161">
        <v>810</v>
      </c>
      <c r="C71" s="161" t="s">
        <v>1026</v>
      </c>
      <c r="D71" s="201"/>
      <c r="E71" s="161"/>
      <c r="F71" s="161"/>
      <c r="G71" s="201" t="s">
        <v>863</v>
      </c>
      <c r="H71" s="169">
        <v>6.7000000000000004E-2</v>
      </c>
      <c r="I71" s="179">
        <v>11.06</v>
      </c>
      <c r="J71" s="170">
        <v>2.84</v>
      </c>
      <c r="K71" s="170">
        <v>2.84</v>
      </c>
      <c r="L71" s="171"/>
      <c r="M71" s="180"/>
      <c r="N71" s="172"/>
      <c r="O71" s="172"/>
    </row>
    <row r="72" spans="1:15" ht="12.75" x14ac:dyDescent="0.2">
      <c r="A72" s="201" t="s">
        <v>864</v>
      </c>
      <c r="B72" s="161">
        <v>811</v>
      </c>
      <c r="C72" s="161">
        <v>1030020271288</v>
      </c>
      <c r="D72" s="201"/>
      <c r="E72" s="161"/>
      <c r="F72" s="161"/>
      <c r="G72" s="201" t="s">
        <v>864</v>
      </c>
      <c r="H72" s="169">
        <v>0.106</v>
      </c>
      <c r="I72" s="179">
        <v>23.08</v>
      </c>
      <c r="J72" s="170">
        <v>1.41</v>
      </c>
      <c r="K72" s="170">
        <v>1.41</v>
      </c>
      <c r="L72" s="171"/>
      <c r="M72" s="180"/>
      <c r="N72" s="172"/>
      <c r="O72" s="172"/>
    </row>
    <row r="73" spans="1:15" ht="12.75" x14ac:dyDescent="0.2">
      <c r="A73" s="201" t="s">
        <v>865</v>
      </c>
      <c r="B73" s="161">
        <v>880</v>
      </c>
      <c r="C73" s="161">
        <v>1050000567483</v>
      </c>
      <c r="D73" s="201" t="s">
        <v>865</v>
      </c>
      <c r="E73" s="161">
        <v>754</v>
      </c>
      <c r="F73" s="161">
        <v>1050000567492</v>
      </c>
      <c r="G73" s="201" t="s">
        <v>865</v>
      </c>
      <c r="H73" s="169">
        <v>1.6E-2</v>
      </c>
      <c r="I73" s="179">
        <v>5.1100000000000003</v>
      </c>
      <c r="J73" s="170">
        <v>3.54</v>
      </c>
      <c r="K73" s="170">
        <v>3.54</v>
      </c>
      <c r="L73" s="171"/>
      <c r="M73" s="180">
        <v>542.15</v>
      </c>
      <c r="N73" s="172">
        <v>0.05</v>
      </c>
      <c r="O73" s="172">
        <v>0.05</v>
      </c>
    </row>
    <row r="74" spans="1:15" ht="38.25" x14ac:dyDescent="0.2">
      <c r="A74" s="201" t="s">
        <v>866</v>
      </c>
      <c r="B74" s="161">
        <v>881</v>
      </c>
      <c r="C74" s="161" t="s">
        <v>2422</v>
      </c>
      <c r="D74" s="201" t="s">
        <v>866</v>
      </c>
      <c r="E74" s="161">
        <v>755</v>
      </c>
      <c r="F74" s="161" t="s">
        <v>2421</v>
      </c>
      <c r="G74" s="201" t="s">
        <v>866</v>
      </c>
      <c r="H74" s="169">
        <v>7.0000000000000007E-2</v>
      </c>
      <c r="I74" s="179">
        <v>4.72</v>
      </c>
      <c r="J74" s="170">
        <v>4.13</v>
      </c>
      <c r="K74" s="170">
        <v>4.13</v>
      </c>
      <c r="L74" s="171"/>
      <c r="M74" s="180">
        <v>1085.01</v>
      </c>
      <c r="N74" s="172">
        <v>0.05</v>
      </c>
      <c r="O74" s="172">
        <v>0.05</v>
      </c>
    </row>
    <row r="75" spans="1:15" ht="12.75" x14ac:dyDescent="0.2">
      <c r="A75" s="201" t="s">
        <v>867</v>
      </c>
      <c r="B75" s="161">
        <v>546</v>
      </c>
      <c r="C75" s="161">
        <v>1050000923668</v>
      </c>
      <c r="D75" s="201" t="s">
        <v>867</v>
      </c>
      <c r="E75" s="161">
        <v>659</v>
      </c>
      <c r="F75" s="161">
        <v>1050000923677</v>
      </c>
      <c r="G75" s="201" t="s">
        <v>867</v>
      </c>
      <c r="H75" s="169">
        <v>0.37</v>
      </c>
      <c r="I75" s="179">
        <v>15.98</v>
      </c>
      <c r="J75" s="170">
        <v>19.86</v>
      </c>
      <c r="K75" s="170">
        <v>19.86</v>
      </c>
      <c r="L75" s="171"/>
      <c r="M75" s="180">
        <v>959</v>
      </c>
      <c r="N75" s="172">
        <v>0.05</v>
      </c>
      <c r="O75" s="172">
        <v>0.05</v>
      </c>
    </row>
    <row r="76" spans="1:15" ht="25.5" x14ac:dyDescent="0.2">
      <c r="A76" s="201" t="s">
        <v>746</v>
      </c>
      <c r="B76" s="161">
        <v>813</v>
      </c>
      <c r="C76" s="161" t="s">
        <v>993</v>
      </c>
      <c r="D76" s="201"/>
      <c r="E76" s="161"/>
      <c r="F76" s="161"/>
      <c r="G76" s="201" t="s">
        <v>746</v>
      </c>
      <c r="H76" s="169">
        <v>0.29199999999999998</v>
      </c>
      <c r="I76" s="179">
        <v>515.97</v>
      </c>
      <c r="J76" s="170">
        <v>2.34</v>
      </c>
      <c r="K76" s="170">
        <v>2.34</v>
      </c>
      <c r="L76" s="171"/>
      <c r="M76" s="180"/>
      <c r="N76" s="172"/>
      <c r="O76" s="172"/>
    </row>
    <row r="77" spans="1:15" ht="12.75" x14ac:dyDescent="0.2">
      <c r="A77" s="201" t="s">
        <v>868</v>
      </c>
      <c r="B77" s="161">
        <v>812</v>
      </c>
      <c r="C77" s="161">
        <v>1023494988750</v>
      </c>
      <c r="D77" s="201" t="s">
        <v>868</v>
      </c>
      <c r="E77" s="161">
        <v>705</v>
      </c>
      <c r="F77" s="161">
        <v>1023503165023</v>
      </c>
      <c r="G77" s="201" t="s">
        <v>868</v>
      </c>
      <c r="H77" s="169">
        <v>1.258</v>
      </c>
      <c r="I77" s="179">
        <v>255.86</v>
      </c>
      <c r="J77" s="170">
        <v>1.52</v>
      </c>
      <c r="K77" s="170">
        <v>1.52</v>
      </c>
      <c r="L77" s="171">
        <v>-1.3340000000000001</v>
      </c>
      <c r="M77" s="180">
        <v>1944.53</v>
      </c>
      <c r="N77" s="172">
        <v>0.05</v>
      </c>
      <c r="O77" s="172">
        <v>0.05</v>
      </c>
    </row>
    <row r="78" spans="1:15" ht="12.75" x14ac:dyDescent="0.2">
      <c r="A78" s="201" t="s">
        <v>869</v>
      </c>
      <c r="B78" s="161">
        <v>308</v>
      </c>
      <c r="C78" s="161">
        <v>1050001440510</v>
      </c>
      <c r="D78" s="201" t="s">
        <v>869</v>
      </c>
      <c r="E78" s="161">
        <v>441</v>
      </c>
      <c r="F78" s="161">
        <v>1050001440529</v>
      </c>
      <c r="G78" s="201" t="s">
        <v>869</v>
      </c>
      <c r="H78" s="169"/>
      <c r="I78" s="179">
        <v>18.98</v>
      </c>
      <c r="J78" s="170">
        <v>1.73</v>
      </c>
      <c r="K78" s="170">
        <v>1.73</v>
      </c>
      <c r="L78" s="171">
        <v>-9.6000000000000002E-2</v>
      </c>
      <c r="M78" s="180">
        <v>1459.68</v>
      </c>
      <c r="N78" s="172">
        <v>0.05</v>
      </c>
      <c r="O78" s="172">
        <v>0.05</v>
      </c>
    </row>
    <row r="79" spans="1:15" ht="25.5" x14ac:dyDescent="0.2">
      <c r="A79" s="201" t="s">
        <v>747</v>
      </c>
      <c r="B79" s="161">
        <v>596</v>
      </c>
      <c r="C79" s="161" t="s">
        <v>994</v>
      </c>
      <c r="D79" s="201" t="s">
        <v>747</v>
      </c>
      <c r="E79" s="161">
        <v>432</v>
      </c>
      <c r="F79" s="161" t="s">
        <v>2510</v>
      </c>
      <c r="G79" s="201" t="s">
        <v>747</v>
      </c>
      <c r="H79" s="169">
        <v>5.6710000000000003</v>
      </c>
      <c r="I79" s="179">
        <v>167.87</v>
      </c>
      <c r="J79" s="170">
        <v>2.64</v>
      </c>
      <c r="K79" s="170">
        <v>2.64</v>
      </c>
      <c r="L79" s="171">
        <v>-5.5990000000000002</v>
      </c>
      <c r="M79" s="180">
        <v>11.99</v>
      </c>
      <c r="N79" s="172">
        <v>0.05</v>
      </c>
      <c r="O79" s="172">
        <v>0.05</v>
      </c>
    </row>
    <row r="80" spans="1:15" ht="12.75" x14ac:dyDescent="0.2">
      <c r="A80" s="201" t="s">
        <v>748</v>
      </c>
      <c r="B80" s="161">
        <v>597</v>
      </c>
      <c r="C80" s="161">
        <v>1014572713989</v>
      </c>
      <c r="D80" s="201"/>
      <c r="E80" s="161"/>
      <c r="F80" s="161"/>
      <c r="G80" s="201" t="s">
        <v>748</v>
      </c>
      <c r="H80" s="169">
        <v>1.8069999999999999</v>
      </c>
      <c r="I80" s="179">
        <v>2398.7199999999998</v>
      </c>
      <c r="J80" s="170">
        <v>4.8499999999999996</v>
      </c>
      <c r="K80" s="170">
        <v>4.8499999999999996</v>
      </c>
      <c r="L80" s="171"/>
      <c r="M80" s="180"/>
      <c r="N80" s="172"/>
      <c r="O80" s="172"/>
    </row>
    <row r="81" spans="1:15" ht="12.75" x14ac:dyDescent="0.2">
      <c r="A81" s="201" t="s">
        <v>870</v>
      </c>
      <c r="B81" s="161">
        <v>882</v>
      </c>
      <c r="C81" s="161">
        <v>1050000628160</v>
      </c>
      <c r="D81" s="201" t="s">
        <v>870</v>
      </c>
      <c r="E81" s="161">
        <v>756</v>
      </c>
      <c r="F81" s="161">
        <v>1050000628170</v>
      </c>
      <c r="G81" s="201" t="s">
        <v>870</v>
      </c>
      <c r="H81" s="169">
        <v>0.29199999999999998</v>
      </c>
      <c r="I81" s="179">
        <v>50.89</v>
      </c>
      <c r="J81" s="170">
        <v>4.3099999999999996</v>
      </c>
      <c r="K81" s="170">
        <v>4.3099999999999996</v>
      </c>
      <c r="L81" s="171"/>
      <c r="M81" s="180">
        <v>1221.4000000000001</v>
      </c>
      <c r="N81" s="172">
        <v>0.05</v>
      </c>
      <c r="O81" s="172">
        <v>0.05</v>
      </c>
    </row>
    <row r="82" spans="1:15" ht="12.75" x14ac:dyDescent="0.2">
      <c r="A82" s="201" t="s">
        <v>871</v>
      </c>
      <c r="B82" s="161">
        <v>510</v>
      </c>
      <c r="C82" s="161">
        <v>1050000784384</v>
      </c>
      <c r="D82" s="201" t="s">
        <v>871</v>
      </c>
      <c r="E82" s="161">
        <v>788</v>
      </c>
      <c r="F82" s="161">
        <v>1050000784393</v>
      </c>
      <c r="G82" s="201" t="s">
        <v>871</v>
      </c>
      <c r="H82" s="169"/>
      <c r="I82" s="179">
        <v>11.87</v>
      </c>
      <c r="J82" s="170">
        <v>2.71</v>
      </c>
      <c r="K82" s="170">
        <v>2.71</v>
      </c>
      <c r="L82" s="171"/>
      <c r="M82" s="180">
        <v>2848.49</v>
      </c>
      <c r="N82" s="172">
        <v>0.05</v>
      </c>
      <c r="O82" s="172">
        <v>0.05</v>
      </c>
    </row>
    <row r="83" spans="1:15" ht="12.75" x14ac:dyDescent="0.2">
      <c r="A83" s="201" t="s">
        <v>872</v>
      </c>
      <c r="B83" s="161">
        <v>883</v>
      </c>
      <c r="C83" s="161">
        <v>1030085019966</v>
      </c>
      <c r="D83" s="201" t="s">
        <v>872</v>
      </c>
      <c r="E83" s="161">
        <v>757</v>
      </c>
      <c r="F83" s="161">
        <v>1030085020190</v>
      </c>
      <c r="G83" s="201" t="s">
        <v>872</v>
      </c>
      <c r="H83" s="169">
        <v>0.13300000000000001</v>
      </c>
      <c r="I83" s="179">
        <v>9.2200000000000006</v>
      </c>
      <c r="J83" s="170">
        <v>1.53</v>
      </c>
      <c r="K83" s="170">
        <v>1.53</v>
      </c>
      <c r="L83" s="171"/>
      <c r="M83" s="180">
        <v>626.92999999999995</v>
      </c>
      <c r="N83" s="172">
        <v>0.05</v>
      </c>
      <c r="O83" s="172">
        <v>0.05</v>
      </c>
    </row>
    <row r="84" spans="1:15" ht="12.75" x14ac:dyDescent="0.2">
      <c r="A84" s="201" t="s">
        <v>873</v>
      </c>
      <c r="B84" s="161">
        <v>817</v>
      </c>
      <c r="C84" s="161">
        <v>1023507304338</v>
      </c>
      <c r="D84" s="201" t="s">
        <v>873</v>
      </c>
      <c r="E84" s="161">
        <v>718</v>
      </c>
      <c r="F84" s="161">
        <v>1023507304560</v>
      </c>
      <c r="G84" s="201" t="s">
        <v>873</v>
      </c>
      <c r="H84" s="169">
        <v>2.8170000000000002</v>
      </c>
      <c r="I84" s="179">
        <v>24.29</v>
      </c>
      <c r="J84" s="170">
        <v>2.38</v>
      </c>
      <c r="K84" s="170">
        <v>2.38</v>
      </c>
      <c r="L84" s="171">
        <v>-4.109</v>
      </c>
      <c r="M84" s="180">
        <v>233.69</v>
      </c>
      <c r="N84" s="172">
        <v>0.05</v>
      </c>
      <c r="O84" s="172">
        <v>0.05</v>
      </c>
    </row>
    <row r="85" spans="1:15" ht="12.75" x14ac:dyDescent="0.2">
      <c r="A85" s="201" t="s">
        <v>874</v>
      </c>
      <c r="B85" s="161">
        <v>511</v>
      </c>
      <c r="C85" s="161">
        <v>1050000774163</v>
      </c>
      <c r="D85" s="201" t="s">
        <v>874</v>
      </c>
      <c r="E85" s="161">
        <v>789</v>
      </c>
      <c r="F85" s="161">
        <v>1050000774172</v>
      </c>
      <c r="G85" s="201" t="s">
        <v>874</v>
      </c>
      <c r="H85" s="169">
        <v>0.82299999999999995</v>
      </c>
      <c r="I85" s="179">
        <v>37.36</v>
      </c>
      <c r="J85" s="170">
        <v>1.95</v>
      </c>
      <c r="K85" s="170">
        <v>1.95</v>
      </c>
      <c r="L85" s="171"/>
      <c r="M85" s="180">
        <v>3735.8</v>
      </c>
      <c r="N85" s="172">
        <v>0.05</v>
      </c>
      <c r="O85" s="172">
        <v>0.05</v>
      </c>
    </row>
    <row r="86" spans="1:15" ht="12.75" x14ac:dyDescent="0.2">
      <c r="A86" s="201" t="s">
        <v>875</v>
      </c>
      <c r="B86" s="161">
        <v>816</v>
      </c>
      <c r="C86" s="161">
        <v>1023479132092</v>
      </c>
      <c r="D86" s="201" t="s">
        <v>875</v>
      </c>
      <c r="E86" s="161">
        <v>707</v>
      </c>
      <c r="F86" s="161">
        <v>1023479132320</v>
      </c>
      <c r="G86" s="201" t="s">
        <v>875</v>
      </c>
      <c r="H86" s="169">
        <v>1.524</v>
      </c>
      <c r="I86" s="179">
        <v>17.82</v>
      </c>
      <c r="J86" s="170">
        <v>1.76</v>
      </c>
      <c r="K86" s="170">
        <v>1.76</v>
      </c>
      <c r="L86" s="171">
        <v>-1.978</v>
      </c>
      <c r="M86" s="180">
        <v>302.97000000000003</v>
      </c>
      <c r="N86" s="172">
        <v>0.05</v>
      </c>
      <c r="O86" s="172">
        <v>0.05</v>
      </c>
    </row>
    <row r="87" spans="1:15" ht="12.75" x14ac:dyDescent="0.2">
      <c r="A87" s="201" t="s">
        <v>876</v>
      </c>
      <c r="B87" s="161">
        <v>512</v>
      </c>
      <c r="C87" s="161">
        <v>1050000822463</v>
      </c>
      <c r="D87" s="201" t="s">
        <v>876</v>
      </c>
      <c r="E87" s="161">
        <v>790</v>
      </c>
      <c r="F87" s="161">
        <v>1050000822472</v>
      </c>
      <c r="G87" s="201" t="s">
        <v>876</v>
      </c>
      <c r="H87" s="169">
        <v>1.4330000000000001</v>
      </c>
      <c r="I87" s="179">
        <v>7.56</v>
      </c>
      <c r="J87" s="170">
        <v>3.2</v>
      </c>
      <c r="K87" s="170">
        <v>3.2</v>
      </c>
      <c r="L87" s="171"/>
      <c r="M87" s="180">
        <v>1134.33</v>
      </c>
      <c r="N87" s="172">
        <v>0.05</v>
      </c>
      <c r="O87" s="172">
        <v>0.05</v>
      </c>
    </row>
    <row r="88" spans="1:15" ht="12.75" x14ac:dyDescent="0.2">
      <c r="A88" s="201" t="s">
        <v>749</v>
      </c>
      <c r="B88" s="161">
        <v>818</v>
      </c>
      <c r="C88" s="161">
        <v>1015684515819</v>
      </c>
      <c r="D88" s="201"/>
      <c r="E88" s="161"/>
      <c r="F88" s="161"/>
      <c r="G88" s="201" t="s">
        <v>749</v>
      </c>
      <c r="H88" s="169"/>
      <c r="I88" s="179">
        <v>23890.42</v>
      </c>
      <c r="J88" s="170">
        <v>3.14</v>
      </c>
      <c r="K88" s="170">
        <v>3.14</v>
      </c>
      <c r="L88" s="171"/>
      <c r="M88" s="180"/>
      <c r="N88" s="172"/>
      <c r="O88" s="172"/>
    </row>
    <row r="89" spans="1:15" ht="12.75" x14ac:dyDescent="0.2">
      <c r="A89" s="201" t="s">
        <v>750</v>
      </c>
      <c r="B89" s="161">
        <v>598</v>
      </c>
      <c r="C89" s="161">
        <v>1014572810813</v>
      </c>
      <c r="D89" s="201"/>
      <c r="E89" s="161"/>
      <c r="F89" s="161"/>
      <c r="G89" s="201" t="s">
        <v>750</v>
      </c>
      <c r="H89" s="169">
        <v>0.748</v>
      </c>
      <c r="I89" s="179">
        <v>449.64</v>
      </c>
      <c r="J89" s="170">
        <v>3.52</v>
      </c>
      <c r="K89" s="170">
        <v>3.52</v>
      </c>
      <c r="L89" s="171"/>
      <c r="M89" s="180"/>
      <c r="N89" s="172"/>
      <c r="O89" s="172"/>
    </row>
    <row r="90" spans="1:15" ht="38.25" x14ac:dyDescent="0.2">
      <c r="A90" s="201" t="s">
        <v>751</v>
      </c>
      <c r="B90" s="161">
        <v>599</v>
      </c>
      <c r="C90" s="161" t="s">
        <v>995</v>
      </c>
      <c r="D90" s="201"/>
      <c r="E90" s="161"/>
      <c r="F90" s="161"/>
      <c r="G90" s="201" t="s">
        <v>751</v>
      </c>
      <c r="H90" s="169">
        <v>1.2649999999999999</v>
      </c>
      <c r="I90" s="179">
        <v>269.79000000000002</v>
      </c>
      <c r="J90" s="170">
        <v>3.32</v>
      </c>
      <c r="K90" s="170">
        <v>3.32</v>
      </c>
      <c r="L90" s="171"/>
      <c r="M90" s="180"/>
      <c r="N90" s="172"/>
      <c r="O90" s="172"/>
    </row>
    <row r="91" spans="1:15" ht="12.75" x14ac:dyDescent="0.2">
      <c r="A91" s="201" t="s">
        <v>877</v>
      </c>
      <c r="B91" s="161">
        <v>513</v>
      </c>
      <c r="C91" s="161">
        <v>1050000709721</v>
      </c>
      <c r="D91" s="201" t="s">
        <v>877</v>
      </c>
      <c r="E91" s="161">
        <v>766</v>
      </c>
      <c r="F91" s="161">
        <v>1050000709730</v>
      </c>
      <c r="G91" s="201" t="s">
        <v>877</v>
      </c>
      <c r="H91" s="169"/>
      <c r="I91" s="179">
        <v>8.18</v>
      </c>
      <c r="J91" s="170">
        <v>2.64</v>
      </c>
      <c r="K91" s="170">
        <v>2.64</v>
      </c>
      <c r="L91" s="171"/>
      <c r="M91" s="180">
        <v>817.94</v>
      </c>
      <c r="N91" s="172">
        <v>0.05</v>
      </c>
      <c r="O91" s="172">
        <v>0.05</v>
      </c>
    </row>
    <row r="92" spans="1:15" ht="25.5" x14ac:dyDescent="0.2">
      <c r="A92" s="201" t="s">
        <v>752</v>
      </c>
      <c r="B92" s="161">
        <v>474</v>
      </c>
      <c r="C92" s="161" t="s">
        <v>996</v>
      </c>
      <c r="D92" s="201"/>
      <c r="E92" s="161"/>
      <c r="F92" s="161"/>
      <c r="G92" s="201" t="s">
        <v>752</v>
      </c>
      <c r="H92" s="169">
        <v>5.6879999999999997</v>
      </c>
      <c r="I92" s="179">
        <v>2656.71</v>
      </c>
      <c r="J92" s="170">
        <v>3.49</v>
      </c>
      <c r="K92" s="170">
        <v>3.49</v>
      </c>
      <c r="L92" s="171"/>
      <c r="M92" s="180"/>
      <c r="N92" s="172"/>
      <c r="O92" s="172"/>
    </row>
    <row r="93" spans="1:15" ht="25.5" x14ac:dyDescent="0.2">
      <c r="A93" s="201" t="s">
        <v>753</v>
      </c>
      <c r="B93" s="161">
        <v>475</v>
      </c>
      <c r="C93" s="161" t="s">
        <v>997</v>
      </c>
      <c r="D93" s="201"/>
      <c r="E93" s="161"/>
      <c r="F93" s="161"/>
      <c r="G93" s="201" t="s">
        <v>753</v>
      </c>
      <c r="H93" s="169">
        <v>5.5389999999999997</v>
      </c>
      <c r="I93" s="179">
        <v>2656.71</v>
      </c>
      <c r="J93" s="170">
        <v>3.49</v>
      </c>
      <c r="K93" s="170">
        <v>3.49</v>
      </c>
      <c r="L93" s="171"/>
      <c r="M93" s="180"/>
      <c r="N93" s="172"/>
      <c r="O93" s="172"/>
    </row>
    <row r="94" spans="1:15" ht="12.75" x14ac:dyDescent="0.2">
      <c r="A94" s="201" t="s">
        <v>878</v>
      </c>
      <c r="B94" s="161">
        <v>514</v>
      </c>
      <c r="C94" s="161">
        <v>1050000738305</v>
      </c>
      <c r="D94" s="201" t="s">
        <v>878</v>
      </c>
      <c r="E94" s="161">
        <v>767</v>
      </c>
      <c r="F94" s="161">
        <v>1050000738290</v>
      </c>
      <c r="G94" s="201" t="s">
        <v>878</v>
      </c>
      <c r="H94" s="169"/>
      <c r="I94" s="179">
        <v>20.59</v>
      </c>
      <c r="J94" s="170">
        <v>1.61</v>
      </c>
      <c r="K94" s="170">
        <v>1.61</v>
      </c>
      <c r="L94" s="171"/>
      <c r="M94" s="180">
        <v>1027.51</v>
      </c>
      <c r="N94" s="172">
        <v>0.05</v>
      </c>
      <c r="O94" s="172">
        <v>0.05</v>
      </c>
    </row>
    <row r="95" spans="1:15" ht="12.75" x14ac:dyDescent="0.2">
      <c r="A95" s="201" t="s">
        <v>879</v>
      </c>
      <c r="B95" s="161">
        <v>567</v>
      </c>
      <c r="C95" s="161">
        <v>1050000903244</v>
      </c>
      <c r="D95" s="201" t="s">
        <v>879</v>
      </c>
      <c r="E95" s="161">
        <v>660</v>
      </c>
      <c r="F95" s="161">
        <v>1050000903253</v>
      </c>
      <c r="G95" s="201" t="s">
        <v>879</v>
      </c>
      <c r="H95" s="169">
        <v>2.3E-2</v>
      </c>
      <c r="I95" s="179">
        <v>52.12</v>
      </c>
      <c r="J95" s="170">
        <v>1.58</v>
      </c>
      <c r="K95" s="170">
        <v>1.58</v>
      </c>
      <c r="L95" s="171">
        <v>-0.26</v>
      </c>
      <c r="M95" s="180">
        <v>724.65</v>
      </c>
      <c r="N95" s="172">
        <v>0.05</v>
      </c>
      <c r="O95" s="172">
        <v>0.05</v>
      </c>
    </row>
    <row r="96" spans="1:15" ht="12.75" x14ac:dyDescent="0.2">
      <c r="A96" s="201" t="s">
        <v>880</v>
      </c>
      <c r="B96" s="161">
        <v>865</v>
      </c>
      <c r="C96" s="161">
        <v>1030083962424</v>
      </c>
      <c r="D96" s="201" t="s">
        <v>880</v>
      </c>
      <c r="E96" s="161">
        <v>738</v>
      </c>
      <c r="F96" s="161">
        <v>1030083962656</v>
      </c>
      <c r="G96" s="201" t="s">
        <v>880</v>
      </c>
      <c r="H96" s="169">
        <v>0.09</v>
      </c>
      <c r="I96" s="179">
        <v>44.57</v>
      </c>
      <c r="J96" s="170">
        <v>1.78</v>
      </c>
      <c r="K96" s="170">
        <v>1.78</v>
      </c>
      <c r="L96" s="171"/>
      <c r="M96" s="180">
        <v>2192.6799999999998</v>
      </c>
      <c r="N96" s="172">
        <v>0.05</v>
      </c>
      <c r="O96" s="172">
        <v>0.05</v>
      </c>
    </row>
    <row r="97" spans="1:15" ht="12.75" x14ac:dyDescent="0.2">
      <c r="A97" s="201" t="s">
        <v>881</v>
      </c>
      <c r="B97" s="161">
        <v>814</v>
      </c>
      <c r="C97" s="161">
        <v>1030024800679</v>
      </c>
      <c r="D97" s="201"/>
      <c r="E97" s="161"/>
      <c r="F97" s="161"/>
      <c r="G97" s="201" t="s">
        <v>881</v>
      </c>
      <c r="H97" s="169">
        <v>0.114</v>
      </c>
      <c r="I97" s="179">
        <v>11.48</v>
      </c>
      <c r="J97" s="170">
        <v>1.82</v>
      </c>
      <c r="K97" s="170">
        <v>1.82</v>
      </c>
      <c r="L97" s="171"/>
      <c r="M97" s="180"/>
      <c r="N97" s="172"/>
      <c r="O97" s="172"/>
    </row>
    <row r="98" spans="1:15" ht="25.5" x14ac:dyDescent="0.2">
      <c r="A98" s="201" t="s">
        <v>754</v>
      </c>
      <c r="B98" s="161">
        <v>476</v>
      </c>
      <c r="C98" s="161" t="s">
        <v>998</v>
      </c>
      <c r="D98" s="201"/>
      <c r="E98" s="161"/>
      <c r="F98" s="161"/>
      <c r="G98" s="201" t="s">
        <v>754</v>
      </c>
      <c r="H98" s="169">
        <v>3.1869999999999998</v>
      </c>
      <c r="I98" s="179">
        <v>179.86</v>
      </c>
      <c r="J98" s="170">
        <v>3.08</v>
      </c>
      <c r="K98" s="170">
        <v>3.08</v>
      </c>
      <c r="L98" s="171"/>
      <c r="M98" s="180"/>
      <c r="N98" s="172"/>
      <c r="O98" s="172"/>
    </row>
    <row r="99" spans="1:15" ht="25.5" x14ac:dyDescent="0.2">
      <c r="A99" s="201" t="s">
        <v>755</v>
      </c>
      <c r="B99" s="161">
        <v>477</v>
      </c>
      <c r="C99" s="161" t="s">
        <v>999</v>
      </c>
      <c r="D99" s="201"/>
      <c r="E99" s="161"/>
      <c r="F99" s="161"/>
      <c r="G99" s="201" t="s">
        <v>755</v>
      </c>
      <c r="H99" s="169">
        <v>5.13</v>
      </c>
      <c r="I99" s="179">
        <v>179.86</v>
      </c>
      <c r="J99" s="170">
        <v>1.94</v>
      </c>
      <c r="K99" s="170">
        <v>1.94</v>
      </c>
      <c r="L99" s="171"/>
      <c r="M99" s="180"/>
      <c r="N99" s="172"/>
      <c r="O99" s="172"/>
    </row>
    <row r="100" spans="1:15" ht="25.5" x14ac:dyDescent="0.2">
      <c r="A100" s="201" t="s">
        <v>756</v>
      </c>
      <c r="B100" s="161">
        <v>478</v>
      </c>
      <c r="C100" s="161" t="s">
        <v>1000</v>
      </c>
      <c r="D100" s="201"/>
      <c r="E100" s="161"/>
      <c r="F100" s="161"/>
      <c r="G100" s="201" t="s">
        <v>756</v>
      </c>
      <c r="H100" s="169">
        <v>5.13</v>
      </c>
      <c r="I100" s="179">
        <v>449.64</v>
      </c>
      <c r="J100" s="170">
        <v>2.2799999999999998</v>
      </c>
      <c r="K100" s="170">
        <v>2.2799999999999998</v>
      </c>
      <c r="L100" s="171"/>
      <c r="M100" s="180"/>
      <c r="N100" s="172"/>
      <c r="O100" s="172"/>
    </row>
    <row r="101" spans="1:15" ht="12.75" x14ac:dyDescent="0.2">
      <c r="A101" s="201" t="s">
        <v>882</v>
      </c>
      <c r="B101" s="161">
        <v>515</v>
      </c>
      <c r="C101" s="161">
        <v>1050000714216</v>
      </c>
      <c r="D101" s="201" t="s">
        <v>882</v>
      </c>
      <c r="E101" s="161">
        <v>768</v>
      </c>
      <c r="F101" s="161">
        <v>1050000714207</v>
      </c>
      <c r="G101" s="201" t="s">
        <v>882</v>
      </c>
      <c r="H101" s="169">
        <v>0.373</v>
      </c>
      <c r="I101" s="179">
        <v>191.81</v>
      </c>
      <c r="J101" s="170">
        <v>2.34</v>
      </c>
      <c r="K101" s="170">
        <v>2.34</v>
      </c>
      <c r="L101" s="171"/>
      <c r="M101" s="180">
        <v>2071.52</v>
      </c>
      <c r="N101" s="172">
        <v>0.05</v>
      </c>
      <c r="O101" s="172">
        <v>0.05</v>
      </c>
    </row>
    <row r="102" spans="1:15" ht="12.75" x14ac:dyDescent="0.2">
      <c r="A102" s="201" t="s">
        <v>883</v>
      </c>
      <c r="B102" s="161">
        <v>310</v>
      </c>
      <c r="C102" s="161">
        <v>1050001391466</v>
      </c>
      <c r="D102" s="201" t="s">
        <v>883</v>
      </c>
      <c r="E102" s="161">
        <v>443</v>
      </c>
      <c r="F102" s="161">
        <v>1050001391475</v>
      </c>
      <c r="G102" s="201" t="s">
        <v>883</v>
      </c>
      <c r="H102" s="169">
        <v>7.6639999999999997</v>
      </c>
      <c r="I102" s="179">
        <v>101.5</v>
      </c>
      <c r="J102" s="170">
        <v>2.2799999999999998</v>
      </c>
      <c r="K102" s="170">
        <v>2.2799999999999998</v>
      </c>
      <c r="L102" s="171">
        <v>-7.9989999999999997</v>
      </c>
      <c r="M102" s="180">
        <v>1979.27</v>
      </c>
      <c r="N102" s="172">
        <v>0.05</v>
      </c>
      <c r="O102" s="172">
        <v>0.05</v>
      </c>
    </row>
    <row r="103" spans="1:15" ht="12.75" x14ac:dyDescent="0.2">
      <c r="A103" s="201" t="s">
        <v>884</v>
      </c>
      <c r="B103" s="161">
        <v>516</v>
      </c>
      <c r="C103" s="161">
        <v>1050000774215</v>
      </c>
      <c r="D103" s="201" t="s">
        <v>884</v>
      </c>
      <c r="E103" s="161">
        <v>769</v>
      </c>
      <c r="F103" s="161">
        <v>1050000774224</v>
      </c>
      <c r="G103" s="201" t="s">
        <v>884</v>
      </c>
      <c r="H103" s="169"/>
      <c r="I103" s="179">
        <v>42.83</v>
      </c>
      <c r="J103" s="170">
        <v>2.25</v>
      </c>
      <c r="K103" s="170">
        <v>2.25</v>
      </c>
      <c r="L103" s="171"/>
      <c r="M103" s="180">
        <v>4283.22</v>
      </c>
      <c r="N103" s="172">
        <v>0.05</v>
      </c>
      <c r="O103" s="172">
        <v>0.05</v>
      </c>
    </row>
    <row r="104" spans="1:15" ht="12.75" x14ac:dyDescent="0.2">
      <c r="A104" s="201" t="s">
        <v>885</v>
      </c>
      <c r="B104" s="161">
        <v>311</v>
      </c>
      <c r="C104" s="161">
        <v>1050001003248</v>
      </c>
      <c r="D104" s="201" t="s">
        <v>885</v>
      </c>
      <c r="E104" s="161">
        <v>661</v>
      </c>
      <c r="F104" s="161">
        <v>1050001003257</v>
      </c>
      <c r="G104" s="201" t="s">
        <v>885</v>
      </c>
      <c r="H104" s="169">
        <v>0.33400000000000002</v>
      </c>
      <c r="I104" s="179">
        <v>8.7100000000000009</v>
      </c>
      <c r="J104" s="170">
        <v>3.4</v>
      </c>
      <c r="K104" s="170">
        <v>3.4</v>
      </c>
      <c r="L104" s="171"/>
      <c r="M104" s="180">
        <v>1393.98</v>
      </c>
      <c r="N104" s="172">
        <v>0.05</v>
      </c>
      <c r="O104" s="172">
        <v>0.05</v>
      </c>
    </row>
    <row r="105" spans="1:15" ht="12.75" x14ac:dyDescent="0.2">
      <c r="A105" s="201" t="s">
        <v>886</v>
      </c>
      <c r="B105" s="161">
        <v>568</v>
      </c>
      <c r="C105" s="161">
        <v>1050001299886</v>
      </c>
      <c r="D105" s="201" t="s">
        <v>886</v>
      </c>
      <c r="E105" s="161">
        <v>685</v>
      </c>
      <c r="F105" s="161">
        <v>1050001299895</v>
      </c>
      <c r="G105" s="201" t="s">
        <v>886</v>
      </c>
      <c r="H105" s="169">
        <v>0.221</v>
      </c>
      <c r="I105" s="179">
        <v>28.08</v>
      </c>
      <c r="J105" s="170">
        <v>1.74</v>
      </c>
      <c r="K105" s="170">
        <v>1.74</v>
      </c>
      <c r="L105" s="171"/>
      <c r="M105" s="180">
        <v>2313.4899999999998</v>
      </c>
      <c r="N105" s="172">
        <v>0.05</v>
      </c>
      <c r="O105" s="172">
        <v>0.05</v>
      </c>
    </row>
    <row r="106" spans="1:15" ht="12.75" x14ac:dyDescent="0.2">
      <c r="A106" s="201" t="s">
        <v>887</v>
      </c>
      <c r="B106" s="161"/>
      <c r="C106" s="161" t="s">
        <v>979</v>
      </c>
      <c r="D106" s="201"/>
      <c r="E106" s="161"/>
      <c r="F106" s="161"/>
      <c r="G106" s="201" t="s">
        <v>887</v>
      </c>
      <c r="H106" s="169"/>
      <c r="I106" s="179">
        <v>25.95</v>
      </c>
      <c r="J106" s="170">
        <v>1.33</v>
      </c>
      <c r="K106" s="170">
        <v>1.33</v>
      </c>
      <c r="L106" s="171"/>
      <c r="M106" s="180"/>
      <c r="N106" s="172"/>
      <c r="O106" s="172"/>
    </row>
    <row r="107" spans="1:15" ht="12.75" x14ac:dyDescent="0.2">
      <c r="A107" s="201" t="s">
        <v>888</v>
      </c>
      <c r="B107" s="161"/>
      <c r="C107" s="161" t="s">
        <v>980</v>
      </c>
      <c r="D107" s="201" t="s">
        <v>888</v>
      </c>
      <c r="E107" s="161"/>
      <c r="F107" s="161" t="s">
        <v>980</v>
      </c>
      <c r="G107" s="201" t="s">
        <v>888</v>
      </c>
      <c r="H107" s="169">
        <v>0.22900000000000001</v>
      </c>
      <c r="I107" s="179">
        <v>62.91</v>
      </c>
      <c r="J107" s="170">
        <v>1.42</v>
      </c>
      <c r="K107" s="170">
        <v>1.42</v>
      </c>
      <c r="L107" s="171"/>
      <c r="M107" s="180">
        <v>202.49</v>
      </c>
      <c r="N107" s="172">
        <v>0.05</v>
      </c>
      <c r="O107" s="172">
        <v>0.05</v>
      </c>
    </row>
    <row r="108" spans="1:15" ht="12.75" x14ac:dyDescent="0.2">
      <c r="A108" s="201" t="s">
        <v>889</v>
      </c>
      <c r="B108" s="161"/>
      <c r="C108" s="161" t="s">
        <v>981</v>
      </c>
      <c r="D108" s="201"/>
      <c r="E108" s="161"/>
      <c r="F108" s="161"/>
      <c r="G108" s="201" t="s">
        <v>889</v>
      </c>
      <c r="H108" s="169">
        <v>5.0000000000000001E-3</v>
      </c>
      <c r="I108" s="179">
        <v>117.8</v>
      </c>
      <c r="J108" s="170">
        <v>1.38</v>
      </c>
      <c r="K108" s="170">
        <v>1.38</v>
      </c>
      <c r="L108" s="171"/>
      <c r="M108" s="180"/>
      <c r="N108" s="172"/>
      <c r="O108" s="172"/>
    </row>
    <row r="109" spans="1:15" ht="12.75" x14ac:dyDescent="0.2">
      <c r="A109" s="201" t="s">
        <v>890</v>
      </c>
      <c r="B109" s="161">
        <v>888</v>
      </c>
      <c r="C109" s="161">
        <v>1050000834219</v>
      </c>
      <c r="D109" s="201" t="s">
        <v>890</v>
      </c>
      <c r="E109" s="161">
        <v>762</v>
      </c>
      <c r="F109" s="161">
        <v>1050000834228</v>
      </c>
      <c r="G109" s="201" t="s">
        <v>890</v>
      </c>
      <c r="H109" s="169">
        <v>2.1999999999999999E-2</v>
      </c>
      <c r="I109" s="179">
        <v>11.58</v>
      </c>
      <c r="J109" s="170">
        <v>6.97</v>
      </c>
      <c r="K109" s="170">
        <v>6.97</v>
      </c>
      <c r="L109" s="171"/>
      <c r="M109" s="180">
        <v>1547.59</v>
      </c>
      <c r="N109" s="172">
        <v>0.05</v>
      </c>
      <c r="O109" s="172">
        <v>0.05</v>
      </c>
    </row>
    <row r="110" spans="1:15" ht="12.75" x14ac:dyDescent="0.2">
      <c r="A110" s="201" t="s">
        <v>891</v>
      </c>
      <c r="B110" s="161">
        <v>571</v>
      </c>
      <c r="C110" s="161">
        <v>1050001197873</v>
      </c>
      <c r="D110" s="201" t="s">
        <v>891</v>
      </c>
      <c r="E110" s="161">
        <v>444</v>
      </c>
      <c r="F110" s="161">
        <v>1050001197864</v>
      </c>
      <c r="G110" s="201" t="s">
        <v>891</v>
      </c>
      <c r="H110" s="169"/>
      <c r="I110" s="179">
        <v>145.16999999999999</v>
      </c>
      <c r="J110" s="170">
        <v>2.2599999999999998</v>
      </c>
      <c r="K110" s="170">
        <v>2.2599999999999998</v>
      </c>
      <c r="L110" s="171">
        <v>-1.2350000000000001</v>
      </c>
      <c r="M110" s="180">
        <v>967.83</v>
      </c>
      <c r="N110" s="172">
        <v>0.05</v>
      </c>
      <c r="O110" s="172">
        <v>0.05</v>
      </c>
    </row>
    <row r="111" spans="1:15" ht="12.75" x14ac:dyDescent="0.2">
      <c r="A111" s="201" t="s">
        <v>892</v>
      </c>
      <c r="B111" s="161">
        <v>884</v>
      </c>
      <c r="C111" s="161">
        <v>1050000521726</v>
      </c>
      <c r="D111" s="201" t="s">
        <v>892</v>
      </c>
      <c r="E111" s="161">
        <v>758</v>
      </c>
      <c r="F111" s="161">
        <v>1050000521735</v>
      </c>
      <c r="G111" s="201" t="s">
        <v>892</v>
      </c>
      <c r="H111" s="169">
        <v>0.123</v>
      </c>
      <c r="I111" s="179">
        <v>5.19</v>
      </c>
      <c r="J111" s="170">
        <v>5.5</v>
      </c>
      <c r="K111" s="170">
        <v>5.5</v>
      </c>
      <c r="L111" s="171"/>
      <c r="M111" s="180">
        <v>628.14</v>
      </c>
      <c r="N111" s="172">
        <v>0.05</v>
      </c>
      <c r="O111" s="172">
        <v>0.05</v>
      </c>
    </row>
    <row r="112" spans="1:15" ht="12.75" x14ac:dyDescent="0.2">
      <c r="A112" s="201" t="s">
        <v>757</v>
      </c>
      <c r="B112" s="161">
        <v>479</v>
      </c>
      <c r="C112" s="161">
        <v>1014573127752</v>
      </c>
      <c r="D112" s="201"/>
      <c r="E112" s="161"/>
      <c r="F112" s="161"/>
      <c r="G112" s="201" t="s">
        <v>757</v>
      </c>
      <c r="H112" s="169">
        <v>4.5650000000000004</v>
      </c>
      <c r="I112" s="179">
        <v>89.93</v>
      </c>
      <c r="J112" s="170">
        <v>4.33</v>
      </c>
      <c r="K112" s="170">
        <v>4.33</v>
      </c>
      <c r="L112" s="171"/>
      <c r="M112" s="180"/>
      <c r="N112" s="172"/>
      <c r="O112" s="172"/>
    </row>
    <row r="113" spans="1:15" ht="12.75" x14ac:dyDescent="0.2">
      <c r="A113" s="201" t="s">
        <v>893</v>
      </c>
      <c r="B113" s="161">
        <v>885</v>
      </c>
      <c r="C113" s="161">
        <v>1050000563150</v>
      </c>
      <c r="D113" s="201" t="s">
        <v>893</v>
      </c>
      <c r="E113" s="161">
        <v>759</v>
      </c>
      <c r="F113" s="161">
        <v>1050000563169</v>
      </c>
      <c r="G113" s="201" t="s">
        <v>893</v>
      </c>
      <c r="H113" s="169">
        <v>6.8000000000000005E-2</v>
      </c>
      <c r="I113" s="179">
        <v>6.41</v>
      </c>
      <c r="J113" s="170">
        <v>3.64</v>
      </c>
      <c r="K113" s="170">
        <v>3.64</v>
      </c>
      <c r="L113" s="171"/>
      <c r="M113" s="180">
        <v>2022.2</v>
      </c>
      <c r="N113" s="172">
        <v>0.05</v>
      </c>
      <c r="O113" s="172">
        <v>0.05</v>
      </c>
    </row>
    <row r="114" spans="1:15" ht="12.75" x14ac:dyDescent="0.2">
      <c r="A114" s="201" t="s">
        <v>894</v>
      </c>
      <c r="B114" s="161">
        <v>570</v>
      </c>
      <c r="C114" s="161">
        <v>1050001231451</v>
      </c>
      <c r="D114" s="201" t="s">
        <v>894</v>
      </c>
      <c r="E114" s="161">
        <v>687</v>
      </c>
      <c r="F114" s="161">
        <v>1050001231460</v>
      </c>
      <c r="G114" s="201" t="s">
        <v>894</v>
      </c>
      <c r="H114" s="169">
        <v>0.49</v>
      </c>
      <c r="I114" s="179">
        <v>9.48</v>
      </c>
      <c r="J114" s="170">
        <v>1.8</v>
      </c>
      <c r="K114" s="170">
        <v>1.8</v>
      </c>
      <c r="L114" s="171"/>
      <c r="M114" s="180">
        <v>569.08000000000004</v>
      </c>
      <c r="N114" s="172">
        <v>0.05</v>
      </c>
      <c r="O114" s="172">
        <v>0.05</v>
      </c>
    </row>
    <row r="115" spans="1:15" ht="12.75" x14ac:dyDescent="0.2">
      <c r="A115" s="201" t="s">
        <v>895</v>
      </c>
      <c r="B115" s="161">
        <v>517</v>
      </c>
      <c r="C115" s="161">
        <v>1050000708514</v>
      </c>
      <c r="D115" s="201" t="s">
        <v>895</v>
      </c>
      <c r="E115" s="161">
        <v>770</v>
      </c>
      <c r="F115" s="161">
        <v>1050000698405</v>
      </c>
      <c r="G115" s="201" t="s">
        <v>895</v>
      </c>
      <c r="H115" s="169">
        <v>5.0000000000000001E-3</v>
      </c>
      <c r="I115" s="179">
        <v>4.6500000000000004</v>
      </c>
      <c r="J115" s="170">
        <v>3.48</v>
      </c>
      <c r="K115" s="170">
        <v>3.48</v>
      </c>
      <c r="L115" s="171"/>
      <c r="M115" s="180">
        <v>859.75</v>
      </c>
      <c r="N115" s="172">
        <v>0.05</v>
      </c>
      <c r="O115" s="172">
        <v>0.05</v>
      </c>
    </row>
    <row r="116" spans="1:15" ht="12.75" x14ac:dyDescent="0.2">
      <c r="A116" s="201" t="s">
        <v>896</v>
      </c>
      <c r="B116" s="161">
        <v>547</v>
      </c>
      <c r="C116" s="161">
        <v>1050000769118</v>
      </c>
      <c r="D116" s="201" t="s">
        <v>896</v>
      </c>
      <c r="E116" s="161">
        <v>662</v>
      </c>
      <c r="F116" s="161">
        <v>1050000769127</v>
      </c>
      <c r="G116" s="201" t="s">
        <v>896</v>
      </c>
      <c r="H116" s="169">
        <v>6.2E-2</v>
      </c>
      <c r="I116" s="179">
        <v>11.38</v>
      </c>
      <c r="J116" s="170">
        <v>2.08</v>
      </c>
      <c r="K116" s="170">
        <v>2.08</v>
      </c>
      <c r="L116" s="171"/>
      <c r="M116" s="180">
        <v>455.25</v>
      </c>
      <c r="N116" s="172">
        <v>0.05</v>
      </c>
      <c r="O116" s="172">
        <v>0.05</v>
      </c>
    </row>
    <row r="117" spans="1:15" ht="12.75" x14ac:dyDescent="0.2">
      <c r="A117" s="201" t="s">
        <v>897</v>
      </c>
      <c r="B117" s="161">
        <v>548</v>
      </c>
      <c r="C117" s="161">
        <v>1050001036670</v>
      </c>
      <c r="D117" s="201" t="s">
        <v>897</v>
      </c>
      <c r="E117" s="161">
        <v>663</v>
      </c>
      <c r="F117" s="161">
        <v>1050001036689</v>
      </c>
      <c r="G117" s="201" t="s">
        <v>897</v>
      </c>
      <c r="H117" s="169">
        <v>0.32800000000000001</v>
      </c>
      <c r="I117" s="179">
        <v>11.34</v>
      </c>
      <c r="J117" s="170">
        <v>1.98</v>
      </c>
      <c r="K117" s="170">
        <v>1.98</v>
      </c>
      <c r="L117" s="171"/>
      <c r="M117" s="180">
        <v>567.22</v>
      </c>
      <c r="N117" s="172">
        <v>0.05</v>
      </c>
      <c r="O117" s="172">
        <v>0.05</v>
      </c>
    </row>
    <row r="118" spans="1:15" ht="38.25" x14ac:dyDescent="0.2">
      <c r="A118" s="201" t="s">
        <v>758</v>
      </c>
      <c r="B118" s="161">
        <v>480</v>
      </c>
      <c r="C118" s="161" t="s">
        <v>2428</v>
      </c>
      <c r="D118" s="201"/>
      <c r="E118" s="161"/>
      <c r="F118" s="161"/>
      <c r="G118" s="201" t="s">
        <v>758</v>
      </c>
      <c r="H118" s="169"/>
      <c r="I118" s="179">
        <v>7354.14</v>
      </c>
      <c r="J118" s="170">
        <v>2.2999999999999998</v>
      </c>
      <c r="K118" s="170">
        <v>2.2999999999999998</v>
      </c>
      <c r="L118" s="171"/>
      <c r="M118" s="180"/>
      <c r="N118" s="172"/>
      <c r="O118" s="172"/>
    </row>
    <row r="119" spans="1:15" ht="12.75" x14ac:dyDescent="0.2">
      <c r="A119" s="201" t="s">
        <v>2438</v>
      </c>
      <c r="B119" s="161">
        <v>312</v>
      </c>
      <c r="C119" s="161">
        <v>1050001324390</v>
      </c>
      <c r="D119" s="201" t="s">
        <v>2438</v>
      </c>
      <c r="E119" s="161">
        <v>445</v>
      </c>
      <c r="F119" s="161">
        <v>1050001324405</v>
      </c>
      <c r="G119" s="201" t="s">
        <v>2438</v>
      </c>
      <c r="H119" s="169"/>
      <c r="I119" s="179">
        <v>148.55000000000001</v>
      </c>
      <c r="J119" s="170">
        <v>0.94</v>
      </c>
      <c r="K119" s="170">
        <v>0.94</v>
      </c>
      <c r="L119" s="171"/>
      <c r="M119" s="180">
        <v>148.55000000000001</v>
      </c>
      <c r="N119" s="172">
        <v>0.05</v>
      </c>
      <c r="O119" s="172">
        <v>0.05</v>
      </c>
    </row>
    <row r="120" spans="1:15" ht="12.75" x14ac:dyDescent="0.2">
      <c r="A120" s="201" t="s">
        <v>2439</v>
      </c>
      <c r="B120" s="161">
        <v>569</v>
      </c>
      <c r="C120" s="161">
        <v>1050001324414</v>
      </c>
      <c r="D120" s="201" t="s">
        <v>2439</v>
      </c>
      <c r="E120" s="161">
        <v>686</v>
      </c>
      <c r="F120" s="161">
        <v>1050001324423</v>
      </c>
      <c r="G120" s="201" t="s">
        <v>2439</v>
      </c>
      <c r="H120" s="169"/>
      <c r="I120" s="179">
        <v>5.83</v>
      </c>
      <c r="J120" s="170">
        <v>1.74</v>
      </c>
      <c r="K120" s="170">
        <v>1.74</v>
      </c>
      <c r="L120" s="171"/>
      <c r="M120" s="180">
        <v>291.27999999999997</v>
      </c>
      <c r="N120" s="172">
        <v>0.05</v>
      </c>
      <c r="O120" s="172">
        <v>0.05</v>
      </c>
    </row>
    <row r="121" spans="1:15" ht="12.75" x14ac:dyDescent="0.2">
      <c r="A121" s="201" t="s">
        <v>898</v>
      </c>
      <c r="B121" s="161">
        <v>313</v>
      </c>
      <c r="C121" s="161">
        <v>1050001041642</v>
      </c>
      <c r="D121" s="201" t="s">
        <v>898</v>
      </c>
      <c r="E121" s="161">
        <v>689</v>
      </c>
      <c r="F121" s="161">
        <v>1050001041651</v>
      </c>
      <c r="G121" s="201" t="s">
        <v>898</v>
      </c>
      <c r="H121" s="169"/>
      <c r="I121" s="179">
        <v>38.32</v>
      </c>
      <c r="J121" s="170">
        <v>2.46</v>
      </c>
      <c r="K121" s="170">
        <v>2.46</v>
      </c>
      <c r="L121" s="171">
        <v>-8.3000000000000004E-2</v>
      </c>
      <c r="M121" s="180">
        <v>3831.54</v>
      </c>
      <c r="N121" s="172">
        <v>0.05</v>
      </c>
      <c r="O121" s="172">
        <v>0.05</v>
      </c>
    </row>
    <row r="122" spans="1:15" ht="12.75" x14ac:dyDescent="0.2">
      <c r="A122" s="201" t="s">
        <v>759</v>
      </c>
      <c r="B122" s="161">
        <v>820</v>
      </c>
      <c r="C122" s="161">
        <v>1014569896484</v>
      </c>
      <c r="D122" s="201"/>
      <c r="E122" s="161"/>
      <c r="F122" s="161"/>
      <c r="G122" s="201" t="s">
        <v>759</v>
      </c>
      <c r="H122" s="169">
        <v>0.47799999999999998</v>
      </c>
      <c r="I122" s="179">
        <v>1301.19</v>
      </c>
      <c r="J122" s="170">
        <v>2.5099999999999998</v>
      </c>
      <c r="K122" s="170">
        <v>2.5099999999999998</v>
      </c>
      <c r="L122" s="171"/>
      <c r="M122" s="180"/>
      <c r="N122" s="172"/>
      <c r="O122" s="172"/>
    </row>
    <row r="123" spans="1:15" ht="12.75" x14ac:dyDescent="0.2">
      <c r="A123" s="201" t="s">
        <v>899</v>
      </c>
      <c r="B123" s="161">
        <v>518</v>
      </c>
      <c r="C123" s="161">
        <v>1050000759713</v>
      </c>
      <c r="D123" s="201" t="s">
        <v>899</v>
      </c>
      <c r="E123" s="161">
        <v>450</v>
      </c>
      <c r="F123" s="161">
        <v>1050000759722</v>
      </c>
      <c r="G123" s="201" t="s">
        <v>899</v>
      </c>
      <c r="H123" s="169">
        <v>0.252</v>
      </c>
      <c r="I123" s="179">
        <v>11.98</v>
      </c>
      <c r="J123" s="170">
        <v>2.4700000000000002</v>
      </c>
      <c r="K123" s="170">
        <v>2.4700000000000002</v>
      </c>
      <c r="L123" s="171"/>
      <c r="M123" s="180">
        <v>1077.76</v>
      </c>
      <c r="N123" s="172">
        <v>0.05</v>
      </c>
      <c r="O123" s="172">
        <v>0.05</v>
      </c>
    </row>
    <row r="124" spans="1:15" ht="25.5" x14ac:dyDescent="0.2">
      <c r="A124" s="201" t="s">
        <v>761</v>
      </c>
      <c r="B124" s="161">
        <v>604</v>
      </c>
      <c r="C124" s="161" t="s">
        <v>1001</v>
      </c>
      <c r="D124" s="201"/>
      <c r="E124" s="161"/>
      <c r="F124" s="161"/>
      <c r="G124" s="201" t="s">
        <v>761</v>
      </c>
      <c r="H124" s="169"/>
      <c r="I124" s="179">
        <v>2857.54</v>
      </c>
      <c r="J124" s="170">
        <v>1.62</v>
      </c>
      <c r="K124" s="170">
        <v>1.62</v>
      </c>
      <c r="L124" s="171"/>
      <c r="M124" s="180"/>
      <c r="N124" s="172"/>
      <c r="O124" s="172"/>
    </row>
    <row r="125" spans="1:15" ht="12.75" x14ac:dyDescent="0.2">
      <c r="A125" s="201" t="s">
        <v>900</v>
      </c>
      <c r="B125" s="161">
        <v>519</v>
      </c>
      <c r="C125" s="161">
        <v>1050000556055</v>
      </c>
      <c r="D125" s="201" t="s">
        <v>900</v>
      </c>
      <c r="E125" s="161">
        <v>451</v>
      </c>
      <c r="F125" s="161">
        <v>1050000556046</v>
      </c>
      <c r="G125" s="201" t="s">
        <v>900</v>
      </c>
      <c r="H125" s="169">
        <v>1.6E-2</v>
      </c>
      <c r="I125" s="179">
        <v>26.56</v>
      </c>
      <c r="J125" s="170">
        <v>1.9</v>
      </c>
      <c r="K125" s="170">
        <v>1.9</v>
      </c>
      <c r="L125" s="171"/>
      <c r="M125" s="180">
        <v>3984.13</v>
      </c>
      <c r="N125" s="172">
        <v>0.05</v>
      </c>
      <c r="O125" s="172">
        <v>0.05</v>
      </c>
    </row>
    <row r="126" spans="1:15" ht="12.75" x14ac:dyDescent="0.2">
      <c r="A126" s="201" t="s">
        <v>762</v>
      </c>
      <c r="B126" s="161"/>
      <c r="C126" s="161" t="s">
        <v>976</v>
      </c>
      <c r="D126" s="201"/>
      <c r="E126" s="161"/>
      <c r="F126" s="161"/>
      <c r="G126" s="201" t="s">
        <v>762</v>
      </c>
      <c r="H126" s="169">
        <v>7.0000000000000001E-3</v>
      </c>
      <c r="I126" s="179">
        <v>257.99</v>
      </c>
      <c r="J126" s="170">
        <v>1.66</v>
      </c>
      <c r="K126" s="170">
        <v>1.66</v>
      </c>
      <c r="L126" s="171"/>
      <c r="M126" s="180"/>
      <c r="N126" s="172"/>
      <c r="O126" s="172"/>
    </row>
    <row r="127" spans="1:15" ht="12.75" x14ac:dyDescent="0.2">
      <c r="A127" s="201" t="s">
        <v>901</v>
      </c>
      <c r="B127" s="161"/>
      <c r="C127" s="161" t="s">
        <v>976</v>
      </c>
      <c r="D127" s="201"/>
      <c r="E127" s="161"/>
      <c r="F127" s="161"/>
      <c r="G127" s="201" t="s">
        <v>901</v>
      </c>
      <c r="H127" s="169"/>
      <c r="I127" s="179">
        <v>26.09</v>
      </c>
      <c r="J127" s="170">
        <v>1.63</v>
      </c>
      <c r="K127" s="170">
        <v>1.63</v>
      </c>
      <c r="L127" s="171"/>
      <c r="M127" s="180"/>
      <c r="N127" s="172"/>
      <c r="O127" s="172"/>
    </row>
    <row r="128" spans="1:15" ht="12.75" x14ac:dyDescent="0.2">
      <c r="A128" s="201" t="s">
        <v>902</v>
      </c>
      <c r="B128" s="161">
        <v>520</v>
      </c>
      <c r="C128" s="161">
        <v>1050000823458</v>
      </c>
      <c r="D128" s="201" t="s">
        <v>902</v>
      </c>
      <c r="E128" s="161">
        <v>452</v>
      </c>
      <c r="F128" s="161">
        <v>1050000823467</v>
      </c>
      <c r="G128" s="201" t="s">
        <v>902</v>
      </c>
      <c r="H128" s="169">
        <v>0.69</v>
      </c>
      <c r="I128" s="179">
        <v>4.4800000000000004</v>
      </c>
      <c r="J128" s="170">
        <v>6.47</v>
      </c>
      <c r="K128" s="170">
        <v>6.47</v>
      </c>
      <c r="L128" s="171"/>
      <c r="M128" s="180">
        <v>537.57000000000005</v>
      </c>
      <c r="N128" s="172">
        <v>0.05</v>
      </c>
      <c r="O128" s="172">
        <v>0.05</v>
      </c>
    </row>
    <row r="129" spans="1:15" ht="12.75" x14ac:dyDescent="0.2">
      <c r="A129" s="201" t="s">
        <v>763</v>
      </c>
      <c r="B129" s="161">
        <v>482</v>
      </c>
      <c r="C129" s="161">
        <v>1023504932800</v>
      </c>
      <c r="D129" s="201"/>
      <c r="E129" s="161"/>
      <c r="F129" s="161"/>
      <c r="G129" s="201" t="s">
        <v>763</v>
      </c>
      <c r="H129" s="169">
        <v>1.008</v>
      </c>
      <c r="I129" s="179">
        <v>179.86</v>
      </c>
      <c r="J129" s="170">
        <v>8.35</v>
      </c>
      <c r="K129" s="170">
        <v>8.35</v>
      </c>
      <c r="L129" s="171"/>
      <c r="M129" s="180"/>
      <c r="N129" s="172"/>
      <c r="O129" s="172"/>
    </row>
    <row r="130" spans="1:15" ht="12.75" x14ac:dyDescent="0.2">
      <c r="A130" s="201" t="s">
        <v>764</v>
      </c>
      <c r="B130" s="161">
        <v>824</v>
      </c>
      <c r="C130" s="161">
        <v>1014572529986</v>
      </c>
      <c r="D130" s="201"/>
      <c r="E130" s="161"/>
      <c r="F130" s="161"/>
      <c r="G130" s="201" t="s">
        <v>764</v>
      </c>
      <c r="H130" s="169">
        <v>2.5000000000000001E-2</v>
      </c>
      <c r="I130" s="179">
        <v>257.99</v>
      </c>
      <c r="J130" s="170">
        <v>1.1399999999999999</v>
      </c>
      <c r="K130" s="170">
        <v>1.1399999999999999</v>
      </c>
      <c r="L130" s="171"/>
      <c r="M130" s="180"/>
      <c r="N130" s="172"/>
      <c r="O130" s="172"/>
    </row>
    <row r="131" spans="1:15" ht="12.75" x14ac:dyDescent="0.2">
      <c r="A131" s="201" t="s">
        <v>903</v>
      </c>
      <c r="B131" s="161">
        <v>549</v>
      </c>
      <c r="C131" s="161">
        <v>1050000687486</v>
      </c>
      <c r="D131" s="201" t="s">
        <v>903</v>
      </c>
      <c r="E131" s="161">
        <v>664</v>
      </c>
      <c r="F131" s="161">
        <v>1050000687495</v>
      </c>
      <c r="G131" s="201" t="s">
        <v>903</v>
      </c>
      <c r="H131" s="169">
        <v>5.3280000000000003</v>
      </c>
      <c r="I131" s="179">
        <v>134.88999999999999</v>
      </c>
      <c r="J131" s="170">
        <v>1.42</v>
      </c>
      <c r="K131" s="170">
        <v>1.42</v>
      </c>
      <c r="L131" s="171">
        <v>-5.5289999999999999</v>
      </c>
      <c r="M131" s="180">
        <v>134.88999999999999</v>
      </c>
      <c r="N131" s="172">
        <v>0.05</v>
      </c>
      <c r="O131" s="172">
        <v>0.05</v>
      </c>
    </row>
    <row r="132" spans="1:15" ht="12.75" x14ac:dyDescent="0.2">
      <c r="A132" s="201" t="s">
        <v>904</v>
      </c>
      <c r="B132" s="161">
        <v>886</v>
      </c>
      <c r="C132" s="161">
        <v>1050000578704</v>
      </c>
      <c r="D132" s="201" t="s">
        <v>904</v>
      </c>
      <c r="E132" s="161">
        <v>760</v>
      </c>
      <c r="F132" s="161">
        <v>1050000578699</v>
      </c>
      <c r="G132" s="201" t="s">
        <v>904</v>
      </c>
      <c r="H132" s="169">
        <v>9.8000000000000004E-2</v>
      </c>
      <c r="I132" s="179">
        <v>1.65</v>
      </c>
      <c r="J132" s="170">
        <v>4.03</v>
      </c>
      <c r="K132" s="170">
        <v>4.03</v>
      </c>
      <c r="L132" s="171"/>
      <c r="M132" s="180">
        <v>824.47</v>
      </c>
      <c r="N132" s="172">
        <v>0.05</v>
      </c>
      <c r="O132" s="172">
        <v>0.05</v>
      </c>
    </row>
    <row r="133" spans="1:15" ht="12.75" x14ac:dyDescent="0.2">
      <c r="A133" s="201" t="s">
        <v>905</v>
      </c>
      <c r="B133" s="161">
        <v>536</v>
      </c>
      <c r="C133" s="161">
        <v>1030083806024</v>
      </c>
      <c r="D133" s="201" t="s">
        <v>905</v>
      </c>
      <c r="E133" s="161">
        <v>468</v>
      </c>
      <c r="F133" s="161">
        <v>1030083805795</v>
      </c>
      <c r="G133" s="201" t="s">
        <v>905</v>
      </c>
      <c r="H133" s="169">
        <v>3.5000000000000003E-2</v>
      </c>
      <c r="I133" s="179">
        <v>5.85</v>
      </c>
      <c r="J133" s="170">
        <v>2.48</v>
      </c>
      <c r="K133" s="170">
        <v>2.48</v>
      </c>
      <c r="L133" s="171"/>
      <c r="M133" s="180">
        <v>557.07000000000005</v>
      </c>
      <c r="N133" s="172">
        <v>0.05</v>
      </c>
      <c r="O133" s="172">
        <v>0.05</v>
      </c>
    </row>
    <row r="134" spans="1:15" ht="12.75" x14ac:dyDescent="0.2">
      <c r="A134" s="201" t="s">
        <v>906</v>
      </c>
      <c r="B134" s="161">
        <v>550</v>
      </c>
      <c r="C134" s="161">
        <v>1050001008681</v>
      </c>
      <c r="D134" s="201" t="s">
        <v>906</v>
      </c>
      <c r="E134" s="161">
        <v>665</v>
      </c>
      <c r="F134" s="161">
        <v>1050001008690</v>
      </c>
      <c r="G134" s="201" t="s">
        <v>906</v>
      </c>
      <c r="H134" s="169"/>
      <c r="I134" s="179">
        <v>11.48</v>
      </c>
      <c r="J134" s="170">
        <v>1.95</v>
      </c>
      <c r="K134" s="170">
        <v>1.95</v>
      </c>
      <c r="L134" s="171"/>
      <c r="M134" s="180">
        <v>2640.28</v>
      </c>
      <c r="N134" s="172">
        <v>0.05</v>
      </c>
      <c r="O134" s="172">
        <v>0.05</v>
      </c>
    </row>
    <row r="135" spans="1:15" ht="12.75" x14ac:dyDescent="0.2">
      <c r="A135" s="201" t="s">
        <v>907</v>
      </c>
      <c r="B135" s="161">
        <v>889</v>
      </c>
      <c r="C135" s="161">
        <v>1030083805563</v>
      </c>
      <c r="D135" s="201" t="s">
        <v>907</v>
      </c>
      <c r="E135" s="161">
        <v>763</v>
      </c>
      <c r="F135" s="161">
        <v>1030083805331</v>
      </c>
      <c r="G135" s="201" t="s">
        <v>907</v>
      </c>
      <c r="H135" s="169">
        <v>0.01</v>
      </c>
      <c r="I135" s="179">
        <v>6.77</v>
      </c>
      <c r="J135" s="170">
        <v>1.61</v>
      </c>
      <c r="K135" s="170">
        <v>1.61</v>
      </c>
      <c r="L135" s="171"/>
      <c r="M135" s="180">
        <v>644.82000000000005</v>
      </c>
      <c r="N135" s="172">
        <v>0.05</v>
      </c>
      <c r="O135" s="172">
        <v>0.05</v>
      </c>
    </row>
    <row r="136" spans="1:15" ht="12.75" x14ac:dyDescent="0.2">
      <c r="A136" s="201" t="s">
        <v>908</v>
      </c>
      <c r="B136" s="161">
        <v>521</v>
      </c>
      <c r="C136" s="161">
        <v>1050000698283</v>
      </c>
      <c r="D136" s="201" t="s">
        <v>908</v>
      </c>
      <c r="E136" s="161">
        <v>453</v>
      </c>
      <c r="F136" s="161">
        <v>1050000698247</v>
      </c>
      <c r="G136" s="201" t="s">
        <v>908</v>
      </c>
      <c r="H136" s="169"/>
      <c r="I136" s="179">
        <v>14.15</v>
      </c>
      <c r="J136" s="170">
        <v>3.41</v>
      </c>
      <c r="K136" s="170">
        <v>3.41</v>
      </c>
      <c r="L136" s="171"/>
      <c r="M136" s="180">
        <v>2475.56</v>
      </c>
      <c r="N136" s="172">
        <v>0.05</v>
      </c>
      <c r="O136" s="172">
        <v>0.05</v>
      </c>
    </row>
    <row r="137" spans="1:15" ht="12.75" x14ac:dyDescent="0.2">
      <c r="A137" s="201" t="s">
        <v>909</v>
      </c>
      <c r="B137" s="161">
        <v>523</v>
      </c>
      <c r="C137" s="161">
        <v>1050000802936</v>
      </c>
      <c r="D137" s="201" t="s">
        <v>909</v>
      </c>
      <c r="E137" s="161">
        <v>455</v>
      </c>
      <c r="F137" s="161">
        <v>1050000802945</v>
      </c>
      <c r="G137" s="201" t="s">
        <v>909</v>
      </c>
      <c r="H137" s="169">
        <v>0.19400000000000001</v>
      </c>
      <c r="I137" s="179">
        <v>23.06</v>
      </c>
      <c r="J137" s="170">
        <v>1.72</v>
      </c>
      <c r="K137" s="170">
        <v>1.72</v>
      </c>
      <c r="L137" s="171"/>
      <c r="M137" s="180">
        <v>1014.52</v>
      </c>
      <c r="N137" s="172">
        <v>0.05</v>
      </c>
      <c r="O137" s="172">
        <v>0.05</v>
      </c>
    </row>
    <row r="138" spans="1:15" ht="12.75" x14ac:dyDescent="0.2">
      <c r="A138" s="201" t="s">
        <v>910</v>
      </c>
      <c r="B138" s="161">
        <v>522</v>
      </c>
      <c r="C138" s="161">
        <v>1050000774109</v>
      </c>
      <c r="D138" s="201" t="s">
        <v>910</v>
      </c>
      <c r="E138" s="161">
        <v>454</v>
      </c>
      <c r="F138" s="161">
        <v>1050000774118</v>
      </c>
      <c r="G138" s="201" t="s">
        <v>910</v>
      </c>
      <c r="H138" s="169">
        <v>0.184</v>
      </c>
      <c r="I138" s="179">
        <v>34.21</v>
      </c>
      <c r="J138" s="170">
        <v>1.77</v>
      </c>
      <c r="K138" s="170">
        <v>1.77</v>
      </c>
      <c r="L138" s="171"/>
      <c r="M138" s="180">
        <v>1003.37</v>
      </c>
      <c r="N138" s="172">
        <v>0.05</v>
      </c>
      <c r="O138" s="172">
        <v>0.05</v>
      </c>
    </row>
    <row r="139" spans="1:15" ht="12.75" x14ac:dyDescent="0.2">
      <c r="A139" s="201" t="s">
        <v>911</v>
      </c>
      <c r="B139" s="161">
        <v>826</v>
      </c>
      <c r="C139" s="161">
        <v>1023497360519</v>
      </c>
      <c r="D139" s="201"/>
      <c r="E139" s="161"/>
      <c r="F139" s="161"/>
      <c r="G139" s="201" t="s">
        <v>911</v>
      </c>
      <c r="H139" s="169"/>
      <c r="I139" s="179">
        <v>162.65</v>
      </c>
      <c r="J139" s="170">
        <v>1.1299999999999999</v>
      </c>
      <c r="K139" s="170">
        <v>1.1299999999999999</v>
      </c>
      <c r="L139" s="171"/>
      <c r="M139" s="180"/>
      <c r="N139" s="172"/>
      <c r="O139" s="172"/>
    </row>
    <row r="140" spans="1:15" ht="25.5" x14ac:dyDescent="0.2">
      <c r="A140" s="201" t="s">
        <v>765</v>
      </c>
      <c r="B140" s="161">
        <v>823</v>
      </c>
      <c r="C140" s="161" t="s">
        <v>1002</v>
      </c>
      <c r="D140" s="201"/>
      <c r="E140" s="161"/>
      <c r="F140" s="161"/>
      <c r="G140" s="201" t="s">
        <v>765</v>
      </c>
      <c r="H140" s="169"/>
      <c r="I140" s="179">
        <v>1559.17</v>
      </c>
      <c r="J140" s="170">
        <v>1.57</v>
      </c>
      <c r="K140" s="170">
        <v>1.57</v>
      </c>
      <c r="L140" s="171"/>
      <c r="M140" s="180"/>
      <c r="N140" s="172"/>
      <c r="O140" s="172"/>
    </row>
    <row r="141" spans="1:15" ht="25.5" x14ac:dyDescent="0.2">
      <c r="A141" s="201" t="s">
        <v>766</v>
      </c>
      <c r="B141" s="161">
        <v>825</v>
      </c>
      <c r="C141" s="161" t="s">
        <v>1003</v>
      </c>
      <c r="D141" s="201"/>
      <c r="E141" s="161"/>
      <c r="F141" s="161"/>
      <c r="G141" s="201" t="s">
        <v>766</v>
      </c>
      <c r="H141" s="169">
        <v>0.33900000000000002</v>
      </c>
      <c r="I141" s="179">
        <v>515.97</v>
      </c>
      <c r="J141" s="170">
        <v>2.31</v>
      </c>
      <c r="K141" s="170">
        <v>2.31</v>
      </c>
      <c r="L141" s="171"/>
      <c r="M141" s="180"/>
      <c r="N141" s="172"/>
      <c r="O141" s="172"/>
    </row>
    <row r="142" spans="1:15" ht="51" x14ac:dyDescent="0.2">
      <c r="A142" s="201" t="s">
        <v>767</v>
      </c>
      <c r="B142" s="161">
        <v>864</v>
      </c>
      <c r="C142" s="161" t="s">
        <v>1004</v>
      </c>
      <c r="D142" s="201"/>
      <c r="E142" s="161"/>
      <c r="F142" s="161"/>
      <c r="G142" s="201" t="s">
        <v>767</v>
      </c>
      <c r="H142" s="169"/>
      <c r="I142" s="179">
        <v>46537.919999999998</v>
      </c>
      <c r="J142" s="170">
        <v>2.3199999999999998</v>
      </c>
      <c r="K142" s="170">
        <v>2.3199999999999998</v>
      </c>
      <c r="L142" s="171"/>
      <c r="M142" s="180"/>
      <c r="N142" s="172"/>
      <c r="O142" s="172"/>
    </row>
    <row r="143" spans="1:15" ht="51" x14ac:dyDescent="0.2">
      <c r="A143" s="201" t="s">
        <v>768</v>
      </c>
      <c r="B143" s="161">
        <v>431</v>
      </c>
      <c r="C143" s="161" t="s">
        <v>1005</v>
      </c>
      <c r="D143" s="201"/>
      <c r="E143" s="161"/>
      <c r="F143" s="161"/>
      <c r="G143" s="201" t="s">
        <v>768</v>
      </c>
      <c r="H143" s="169"/>
      <c r="I143" s="179">
        <v>49935.07</v>
      </c>
      <c r="J143" s="170">
        <v>3.33</v>
      </c>
      <c r="K143" s="170">
        <v>3.33</v>
      </c>
      <c r="L143" s="171"/>
      <c r="M143" s="180"/>
      <c r="N143" s="172"/>
      <c r="O143" s="172"/>
    </row>
    <row r="144" spans="1:15" ht="12.75" x14ac:dyDescent="0.2">
      <c r="A144" s="201" t="s">
        <v>912</v>
      </c>
      <c r="B144" s="161">
        <v>551</v>
      </c>
      <c r="C144" s="161">
        <v>1050001008645</v>
      </c>
      <c r="D144" s="201" t="s">
        <v>912</v>
      </c>
      <c r="E144" s="161">
        <v>667</v>
      </c>
      <c r="F144" s="161">
        <v>1050001008636</v>
      </c>
      <c r="G144" s="201" t="s">
        <v>912</v>
      </c>
      <c r="H144" s="169">
        <v>4.8369999999999997</v>
      </c>
      <c r="I144" s="179">
        <v>18.02</v>
      </c>
      <c r="J144" s="170">
        <v>2.29</v>
      </c>
      <c r="K144" s="170">
        <v>2.29</v>
      </c>
      <c r="L144" s="171"/>
      <c r="M144" s="180">
        <v>1801.95</v>
      </c>
      <c r="N144" s="172">
        <v>0.05</v>
      </c>
      <c r="O144" s="172">
        <v>0.05</v>
      </c>
    </row>
    <row r="145" spans="1:15" ht="12.75" x14ac:dyDescent="0.2">
      <c r="A145" s="201" t="s">
        <v>913</v>
      </c>
      <c r="B145" s="161">
        <v>572</v>
      </c>
      <c r="C145" s="161">
        <v>1050001205345</v>
      </c>
      <c r="D145" s="201" t="s">
        <v>913</v>
      </c>
      <c r="E145" s="161">
        <v>688</v>
      </c>
      <c r="F145" s="161">
        <v>1050001205354</v>
      </c>
      <c r="G145" s="201" t="s">
        <v>913</v>
      </c>
      <c r="H145" s="169"/>
      <c r="I145" s="179">
        <v>2.7</v>
      </c>
      <c r="J145" s="170">
        <v>2</v>
      </c>
      <c r="K145" s="170">
        <v>2</v>
      </c>
      <c r="L145" s="171"/>
      <c r="M145" s="180">
        <v>588.9</v>
      </c>
      <c r="N145" s="172">
        <v>0.05</v>
      </c>
      <c r="O145" s="172">
        <v>0.05</v>
      </c>
    </row>
    <row r="146" spans="1:15" ht="12.75" x14ac:dyDescent="0.2">
      <c r="A146" s="201" t="s">
        <v>2423</v>
      </c>
      <c r="B146" s="161">
        <v>552</v>
      </c>
      <c r="C146" s="161">
        <v>1050000961361</v>
      </c>
      <c r="D146" s="201" t="s">
        <v>2423</v>
      </c>
      <c r="E146" s="161">
        <v>668</v>
      </c>
      <c r="F146" s="161">
        <v>1050000961370</v>
      </c>
      <c r="G146" s="201" t="s">
        <v>2423</v>
      </c>
      <c r="H146" s="169">
        <v>0.28299999999999997</v>
      </c>
      <c r="I146" s="179">
        <v>15.74</v>
      </c>
      <c r="J146" s="170">
        <v>5.8</v>
      </c>
      <c r="K146" s="170">
        <v>5.8</v>
      </c>
      <c r="L146" s="171"/>
      <c r="M146" s="180">
        <v>3421.19</v>
      </c>
      <c r="N146" s="172">
        <v>0.05</v>
      </c>
      <c r="O146" s="172">
        <v>0.05</v>
      </c>
    </row>
    <row r="147" spans="1:15" ht="12.75" x14ac:dyDescent="0.2">
      <c r="A147" s="201" t="s">
        <v>914</v>
      </c>
      <c r="B147" s="161">
        <v>524</v>
      </c>
      <c r="C147" s="161">
        <v>1050000843640</v>
      </c>
      <c r="D147" s="201" t="s">
        <v>914</v>
      </c>
      <c r="E147" s="161">
        <v>456</v>
      </c>
      <c r="F147" s="161">
        <v>1050000843659</v>
      </c>
      <c r="G147" s="201" t="s">
        <v>914</v>
      </c>
      <c r="H147" s="169">
        <v>1E-3</v>
      </c>
      <c r="I147" s="179">
        <v>49.68</v>
      </c>
      <c r="J147" s="170">
        <v>1.71</v>
      </c>
      <c r="K147" s="170">
        <v>1.71</v>
      </c>
      <c r="L147" s="171"/>
      <c r="M147" s="180">
        <v>727.09</v>
      </c>
      <c r="N147" s="172">
        <v>0.05</v>
      </c>
      <c r="O147" s="172">
        <v>0.05</v>
      </c>
    </row>
    <row r="148" spans="1:15" ht="12.75" x14ac:dyDescent="0.2">
      <c r="A148" s="201" t="s">
        <v>915</v>
      </c>
      <c r="B148" s="161">
        <v>892</v>
      </c>
      <c r="C148" s="161">
        <v>1050000543223</v>
      </c>
      <c r="D148" s="201" t="s">
        <v>915</v>
      </c>
      <c r="E148" s="161">
        <v>711</v>
      </c>
      <c r="F148" s="161">
        <v>1050000543241</v>
      </c>
      <c r="G148" s="201" t="s">
        <v>915</v>
      </c>
      <c r="H148" s="169">
        <v>1.2999999999999999E-2</v>
      </c>
      <c r="I148" s="179">
        <v>39.36</v>
      </c>
      <c r="J148" s="170">
        <v>1.86</v>
      </c>
      <c r="K148" s="170">
        <v>1.86</v>
      </c>
      <c r="L148" s="171"/>
      <c r="M148" s="180">
        <v>5431.81</v>
      </c>
      <c r="N148" s="172">
        <v>0.05</v>
      </c>
      <c r="O148" s="172">
        <v>0.05</v>
      </c>
    </row>
    <row r="149" spans="1:15" ht="12.75" x14ac:dyDescent="0.2">
      <c r="A149" s="201" t="s">
        <v>916</v>
      </c>
      <c r="B149" s="161">
        <v>891</v>
      </c>
      <c r="C149" s="161">
        <v>1050000589956</v>
      </c>
      <c r="D149" s="201" t="s">
        <v>916</v>
      </c>
      <c r="E149" s="161">
        <v>765</v>
      </c>
      <c r="F149" s="161">
        <v>1050000579266</v>
      </c>
      <c r="G149" s="201" t="s">
        <v>916</v>
      </c>
      <c r="H149" s="169"/>
      <c r="I149" s="179">
        <v>3.59</v>
      </c>
      <c r="J149" s="170">
        <v>2.8</v>
      </c>
      <c r="K149" s="170">
        <v>2.8</v>
      </c>
      <c r="L149" s="171"/>
      <c r="M149" s="180">
        <v>358.72</v>
      </c>
      <c r="N149" s="172">
        <v>0.05</v>
      </c>
      <c r="O149" s="172">
        <v>0.05</v>
      </c>
    </row>
    <row r="150" spans="1:15" ht="12.75" x14ac:dyDescent="0.2">
      <c r="A150" s="201" t="s">
        <v>917</v>
      </c>
      <c r="B150" s="161">
        <v>537</v>
      </c>
      <c r="C150" s="161">
        <v>1050000810928</v>
      </c>
      <c r="D150" s="201" t="s">
        <v>917</v>
      </c>
      <c r="E150" s="161">
        <v>469</v>
      </c>
      <c r="F150" s="161">
        <v>1050000810937</v>
      </c>
      <c r="G150" s="201" t="s">
        <v>917</v>
      </c>
      <c r="H150" s="169"/>
      <c r="I150" s="179">
        <v>8.77</v>
      </c>
      <c r="J150" s="170">
        <v>2.1</v>
      </c>
      <c r="K150" s="170">
        <v>2.1</v>
      </c>
      <c r="L150" s="171"/>
      <c r="M150" s="180">
        <v>789.34</v>
      </c>
      <c r="N150" s="172">
        <v>0.05</v>
      </c>
      <c r="O150" s="172">
        <v>0.05</v>
      </c>
    </row>
    <row r="151" spans="1:15" ht="12.75" x14ac:dyDescent="0.2">
      <c r="A151" s="201" t="s">
        <v>918</v>
      </c>
      <c r="B151" s="161">
        <v>573</v>
      </c>
      <c r="C151" s="161">
        <v>1050001197855</v>
      </c>
      <c r="D151" s="201" t="s">
        <v>918</v>
      </c>
      <c r="E151" s="161">
        <v>690</v>
      </c>
      <c r="F151" s="161">
        <v>1050001197846</v>
      </c>
      <c r="G151" s="201" t="s">
        <v>918</v>
      </c>
      <c r="H151" s="169"/>
      <c r="I151" s="179">
        <v>15.23</v>
      </c>
      <c r="J151" s="170">
        <v>1.49</v>
      </c>
      <c r="K151" s="170">
        <v>1.49</v>
      </c>
      <c r="L151" s="171"/>
      <c r="M151" s="180">
        <v>761.54</v>
      </c>
      <c r="N151" s="172">
        <v>0.05</v>
      </c>
      <c r="O151" s="172">
        <v>0.05</v>
      </c>
    </row>
    <row r="152" spans="1:15" ht="12.75" x14ac:dyDescent="0.2">
      <c r="A152" s="201" t="s">
        <v>919</v>
      </c>
      <c r="B152" s="161">
        <v>574</v>
      </c>
      <c r="C152" s="161">
        <v>1050001261465</v>
      </c>
      <c r="D152" s="201" t="s">
        <v>919</v>
      </c>
      <c r="E152" s="161">
        <v>691</v>
      </c>
      <c r="F152" s="161">
        <v>1050001261429</v>
      </c>
      <c r="G152" s="201" t="s">
        <v>919</v>
      </c>
      <c r="H152" s="169">
        <v>3.7989999999999999</v>
      </c>
      <c r="I152" s="179">
        <v>13.31</v>
      </c>
      <c r="J152" s="170">
        <v>2.5499999999999998</v>
      </c>
      <c r="K152" s="170">
        <v>2.5499999999999998</v>
      </c>
      <c r="L152" s="171"/>
      <c r="M152" s="180">
        <v>1064.43</v>
      </c>
      <c r="N152" s="172">
        <v>0.05</v>
      </c>
      <c r="O152" s="172">
        <v>0.05</v>
      </c>
    </row>
    <row r="153" spans="1:15" ht="12.75" x14ac:dyDescent="0.2">
      <c r="A153" s="201" t="s">
        <v>920</v>
      </c>
      <c r="B153" s="161">
        <v>893</v>
      </c>
      <c r="C153" s="161">
        <v>1050000574667</v>
      </c>
      <c r="D153" s="201" t="s">
        <v>920</v>
      </c>
      <c r="E153" s="161">
        <v>730</v>
      </c>
      <c r="F153" s="161">
        <v>1050000574676</v>
      </c>
      <c r="G153" s="201" t="s">
        <v>920</v>
      </c>
      <c r="H153" s="169"/>
      <c r="I153" s="179">
        <v>3.57</v>
      </c>
      <c r="J153" s="170">
        <v>2.73</v>
      </c>
      <c r="K153" s="170">
        <v>2.73</v>
      </c>
      <c r="L153" s="171"/>
      <c r="M153" s="180">
        <v>535.87</v>
      </c>
      <c r="N153" s="172">
        <v>0.05</v>
      </c>
      <c r="O153" s="172">
        <v>0.05</v>
      </c>
    </row>
    <row r="154" spans="1:15" ht="12.75" x14ac:dyDescent="0.2">
      <c r="A154" s="201" t="s">
        <v>921</v>
      </c>
      <c r="B154" s="161">
        <v>314</v>
      </c>
      <c r="C154" s="161">
        <v>1050001060050</v>
      </c>
      <c r="D154" s="201" t="s">
        <v>921</v>
      </c>
      <c r="E154" s="161">
        <v>669</v>
      </c>
      <c r="F154" s="161">
        <v>1050001060060</v>
      </c>
      <c r="G154" s="201" t="s">
        <v>921</v>
      </c>
      <c r="H154" s="169">
        <v>0.253</v>
      </c>
      <c r="I154" s="179">
        <v>2.4900000000000002</v>
      </c>
      <c r="J154" s="170">
        <v>2.48</v>
      </c>
      <c r="K154" s="170">
        <v>2.48</v>
      </c>
      <c r="L154" s="171"/>
      <c r="M154" s="180">
        <v>620.62</v>
      </c>
      <c r="N154" s="172">
        <v>0.05</v>
      </c>
      <c r="O154" s="172">
        <v>0.05</v>
      </c>
    </row>
    <row r="155" spans="1:15" ht="12.75" x14ac:dyDescent="0.2">
      <c r="A155" s="201" t="s">
        <v>769</v>
      </c>
      <c r="B155" s="161">
        <v>484</v>
      </c>
      <c r="C155" s="161">
        <v>1030062915127</v>
      </c>
      <c r="D155" s="201"/>
      <c r="E155" s="161"/>
      <c r="F155" s="161"/>
      <c r="G155" s="201" t="s">
        <v>769</v>
      </c>
      <c r="H155" s="169">
        <v>4.1000000000000002E-2</v>
      </c>
      <c r="I155" s="179">
        <v>89.93</v>
      </c>
      <c r="J155" s="170">
        <v>1.21</v>
      </c>
      <c r="K155" s="170">
        <v>1.21</v>
      </c>
      <c r="L155" s="171"/>
      <c r="M155" s="180"/>
      <c r="N155" s="172"/>
      <c r="O155" s="172"/>
    </row>
    <row r="156" spans="1:15" ht="25.5" x14ac:dyDescent="0.2">
      <c r="A156" s="201" t="s">
        <v>770</v>
      </c>
      <c r="B156" s="161">
        <v>485</v>
      </c>
      <c r="C156" s="161" t="s">
        <v>1006</v>
      </c>
      <c r="D156" s="201"/>
      <c r="E156" s="161"/>
      <c r="F156" s="161"/>
      <c r="G156" s="201" t="s">
        <v>770</v>
      </c>
      <c r="H156" s="169"/>
      <c r="I156" s="179">
        <v>1289.29</v>
      </c>
      <c r="J156" s="170">
        <v>2.82</v>
      </c>
      <c r="K156" s="170">
        <v>2.82</v>
      </c>
      <c r="L156" s="171"/>
      <c r="M156" s="180"/>
      <c r="N156" s="172"/>
      <c r="O156" s="172"/>
    </row>
    <row r="157" spans="1:15" ht="12.75" x14ac:dyDescent="0.2">
      <c r="A157" s="201" t="s">
        <v>922</v>
      </c>
      <c r="B157" s="161">
        <v>575</v>
      </c>
      <c r="C157" s="161">
        <v>1050001054233</v>
      </c>
      <c r="D157" s="201" t="s">
        <v>922</v>
      </c>
      <c r="E157" s="161">
        <v>692</v>
      </c>
      <c r="F157" s="161">
        <v>1050001054242</v>
      </c>
      <c r="G157" s="201" t="s">
        <v>922</v>
      </c>
      <c r="H157" s="169"/>
      <c r="I157" s="179">
        <v>23.33</v>
      </c>
      <c r="J157" s="170">
        <v>1.25</v>
      </c>
      <c r="K157" s="170">
        <v>1.25</v>
      </c>
      <c r="L157" s="171"/>
      <c r="M157" s="180">
        <v>933.19</v>
      </c>
      <c r="N157" s="172">
        <v>0.05</v>
      </c>
      <c r="O157" s="172">
        <v>0.05</v>
      </c>
    </row>
    <row r="158" spans="1:15" ht="25.5" x14ac:dyDescent="0.2">
      <c r="A158" s="201" t="s">
        <v>771</v>
      </c>
      <c r="B158" s="161">
        <v>828</v>
      </c>
      <c r="C158" s="161" t="s">
        <v>1007</v>
      </c>
      <c r="D158" s="201"/>
      <c r="E158" s="161"/>
      <c r="F158" s="161"/>
      <c r="G158" s="201" t="s">
        <v>771</v>
      </c>
      <c r="H158" s="169"/>
      <c r="I158" s="179">
        <v>3332.61</v>
      </c>
      <c r="J158" s="170">
        <v>3.25</v>
      </c>
      <c r="K158" s="170">
        <v>3.25</v>
      </c>
      <c r="L158" s="171"/>
      <c r="M158" s="180"/>
      <c r="N158" s="172"/>
      <c r="O158" s="172"/>
    </row>
    <row r="159" spans="1:15" ht="12.75" x14ac:dyDescent="0.2">
      <c r="A159" s="201" t="s">
        <v>2514</v>
      </c>
      <c r="B159" s="161">
        <v>315</v>
      </c>
      <c r="C159" s="161">
        <v>1050001507449</v>
      </c>
      <c r="D159" s="201" t="s">
        <v>2514</v>
      </c>
      <c r="E159" s="161">
        <v>446</v>
      </c>
      <c r="F159" s="161" t="s">
        <v>2537</v>
      </c>
      <c r="G159" s="201" t="s">
        <v>2514</v>
      </c>
      <c r="H159" s="169">
        <v>0.4</v>
      </c>
      <c r="I159" s="179">
        <v>439.07</v>
      </c>
      <c r="J159" s="170">
        <v>1.99</v>
      </c>
      <c r="K159" s="170">
        <v>1.99</v>
      </c>
      <c r="L159" s="171">
        <v>-0.47</v>
      </c>
      <c r="M159" s="180">
        <v>439.07</v>
      </c>
      <c r="N159" s="172">
        <v>0.05</v>
      </c>
      <c r="O159" s="172">
        <v>0.05</v>
      </c>
    </row>
    <row r="160" spans="1:15" ht="12.75" x14ac:dyDescent="0.2">
      <c r="A160" s="201" t="s">
        <v>772</v>
      </c>
      <c r="B160" s="161">
        <v>807</v>
      </c>
      <c r="C160" s="161">
        <v>1014569560220</v>
      </c>
      <c r="D160" s="201"/>
      <c r="E160" s="161"/>
      <c r="F160" s="161"/>
      <c r="G160" s="201" t="s">
        <v>772</v>
      </c>
      <c r="H160" s="169">
        <v>0.39900000000000002</v>
      </c>
      <c r="I160" s="179">
        <v>4688.7700000000004</v>
      </c>
      <c r="J160" s="170">
        <v>2.27</v>
      </c>
      <c r="K160" s="170">
        <v>2.27</v>
      </c>
      <c r="L160" s="171"/>
      <c r="M160" s="180"/>
      <c r="N160" s="172"/>
      <c r="O160" s="172"/>
    </row>
    <row r="161" spans="1:15" ht="51" x14ac:dyDescent="0.2">
      <c r="A161" s="201" t="s">
        <v>773</v>
      </c>
      <c r="B161" s="161">
        <v>829</v>
      </c>
      <c r="C161" s="161" t="s">
        <v>1008</v>
      </c>
      <c r="D161" s="201"/>
      <c r="E161" s="161"/>
      <c r="F161" s="161"/>
      <c r="G161" s="201" t="s">
        <v>773</v>
      </c>
      <c r="H161" s="169"/>
      <c r="I161" s="179">
        <v>359.71</v>
      </c>
      <c r="J161" s="170">
        <v>1.7</v>
      </c>
      <c r="K161" s="170">
        <v>1.7</v>
      </c>
      <c r="L161" s="171"/>
      <c r="M161" s="180"/>
      <c r="N161" s="172"/>
      <c r="O161" s="172"/>
    </row>
    <row r="162" spans="1:15" ht="12.75" x14ac:dyDescent="0.2">
      <c r="A162" s="201" t="s">
        <v>923</v>
      </c>
      <c r="B162" s="161">
        <v>553</v>
      </c>
      <c r="C162" s="161">
        <v>1050001042238</v>
      </c>
      <c r="D162" s="201" t="s">
        <v>923</v>
      </c>
      <c r="E162" s="161">
        <v>670</v>
      </c>
      <c r="F162" s="161">
        <v>1050001042229</v>
      </c>
      <c r="G162" s="201" t="s">
        <v>923</v>
      </c>
      <c r="H162" s="169">
        <v>7.0999999999999994E-2</v>
      </c>
      <c r="I162" s="179">
        <v>1.49</v>
      </c>
      <c r="J162" s="170">
        <v>3.15</v>
      </c>
      <c r="K162" s="170">
        <v>3.15</v>
      </c>
      <c r="L162" s="171"/>
      <c r="M162" s="180">
        <v>597.92999999999995</v>
      </c>
      <c r="N162" s="172">
        <v>0.05</v>
      </c>
      <c r="O162" s="172">
        <v>0.05</v>
      </c>
    </row>
    <row r="163" spans="1:15" ht="12.75" x14ac:dyDescent="0.2">
      <c r="A163" s="201" t="s">
        <v>924</v>
      </c>
      <c r="B163" s="161">
        <v>894</v>
      </c>
      <c r="C163" s="161">
        <v>1050000599909</v>
      </c>
      <c r="D163" s="201" t="s">
        <v>924</v>
      </c>
      <c r="E163" s="161">
        <v>731</v>
      </c>
      <c r="F163" s="161">
        <v>1050000599893</v>
      </c>
      <c r="G163" s="201" t="s">
        <v>924</v>
      </c>
      <c r="H163" s="169">
        <v>2.5000000000000001E-2</v>
      </c>
      <c r="I163" s="179">
        <v>6.75</v>
      </c>
      <c r="J163" s="170">
        <v>17.22</v>
      </c>
      <c r="K163" s="170">
        <v>17.22</v>
      </c>
      <c r="L163" s="171"/>
      <c r="M163" s="180">
        <v>1002.13</v>
      </c>
      <c r="N163" s="172">
        <v>0.05</v>
      </c>
      <c r="O163" s="172">
        <v>0.05</v>
      </c>
    </row>
    <row r="164" spans="1:15" ht="12.75" x14ac:dyDescent="0.2">
      <c r="A164" s="201" t="s">
        <v>774</v>
      </c>
      <c r="B164" s="161">
        <v>840</v>
      </c>
      <c r="C164" s="161">
        <v>1023478020044</v>
      </c>
      <c r="D164" s="201"/>
      <c r="E164" s="161"/>
      <c r="F164" s="161"/>
      <c r="G164" s="201" t="s">
        <v>774</v>
      </c>
      <c r="H164" s="169"/>
      <c r="I164" s="179">
        <v>6927.63</v>
      </c>
      <c r="J164" s="170">
        <v>3.52</v>
      </c>
      <c r="K164" s="170">
        <v>3.52</v>
      </c>
      <c r="L164" s="171"/>
      <c r="M164" s="180"/>
      <c r="N164" s="172"/>
      <c r="O164" s="172"/>
    </row>
    <row r="165" spans="1:15" ht="25.5" x14ac:dyDescent="0.2">
      <c r="A165" s="201" t="s">
        <v>775</v>
      </c>
      <c r="B165" s="161">
        <v>842</v>
      </c>
      <c r="C165" s="161" t="s">
        <v>1009</v>
      </c>
      <c r="D165" s="201" t="s">
        <v>775</v>
      </c>
      <c r="E165" s="161">
        <v>720</v>
      </c>
      <c r="F165" s="161" t="s">
        <v>1033</v>
      </c>
      <c r="G165" s="201" t="s">
        <v>775</v>
      </c>
      <c r="H165" s="169">
        <v>1.6E-2</v>
      </c>
      <c r="I165" s="179">
        <v>5443.14</v>
      </c>
      <c r="J165" s="170">
        <v>5.18</v>
      </c>
      <c r="K165" s="170">
        <v>5.18</v>
      </c>
      <c r="L165" s="171"/>
      <c r="M165" s="180">
        <v>1484.49</v>
      </c>
      <c r="N165" s="172">
        <v>0.05</v>
      </c>
      <c r="O165" s="172">
        <v>0.05</v>
      </c>
    </row>
    <row r="166" spans="1:15" ht="12.75" x14ac:dyDescent="0.2">
      <c r="A166" s="201" t="s">
        <v>776</v>
      </c>
      <c r="B166" s="161">
        <v>843</v>
      </c>
      <c r="C166" s="161">
        <v>1014572578742</v>
      </c>
      <c r="D166" s="201"/>
      <c r="E166" s="161"/>
      <c r="F166" s="161"/>
      <c r="G166" s="201" t="s">
        <v>776</v>
      </c>
      <c r="H166" s="169">
        <v>2E-3</v>
      </c>
      <c r="I166" s="179">
        <v>6411.66</v>
      </c>
      <c r="J166" s="170">
        <v>7.87</v>
      </c>
      <c r="K166" s="170">
        <v>7.87</v>
      </c>
      <c r="L166" s="171"/>
      <c r="M166" s="180"/>
      <c r="N166" s="172"/>
      <c r="O166" s="172"/>
    </row>
    <row r="167" spans="1:15" ht="12.75" x14ac:dyDescent="0.2">
      <c r="A167" s="201" t="s">
        <v>777</v>
      </c>
      <c r="B167" s="161">
        <v>844</v>
      </c>
      <c r="C167" s="161">
        <v>1014573096936</v>
      </c>
      <c r="D167" s="201"/>
      <c r="E167" s="161"/>
      <c r="F167" s="161"/>
      <c r="G167" s="201" t="s">
        <v>777</v>
      </c>
      <c r="H167" s="169"/>
      <c r="I167" s="179">
        <v>3205.83</v>
      </c>
      <c r="J167" s="170">
        <v>3.31</v>
      </c>
      <c r="K167" s="170">
        <v>3.31</v>
      </c>
      <c r="L167" s="171"/>
      <c r="M167" s="180"/>
      <c r="N167" s="172"/>
      <c r="O167" s="172"/>
    </row>
    <row r="168" spans="1:15" ht="12.75" x14ac:dyDescent="0.2">
      <c r="A168" s="201" t="s">
        <v>778</v>
      </c>
      <c r="B168" s="161">
        <v>845</v>
      </c>
      <c r="C168" s="161">
        <v>1014572986535</v>
      </c>
      <c r="D168" s="201"/>
      <c r="E168" s="161"/>
      <c r="F168" s="161"/>
      <c r="G168" s="201" t="s">
        <v>778</v>
      </c>
      <c r="H168" s="169"/>
      <c r="I168" s="179">
        <v>3463.82</v>
      </c>
      <c r="J168" s="170">
        <v>5.56</v>
      </c>
      <c r="K168" s="170">
        <v>5.56</v>
      </c>
      <c r="L168" s="171"/>
      <c r="M168" s="180"/>
      <c r="N168" s="172"/>
      <c r="O168" s="172"/>
    </row>
    <row r="169" spans="1:15" ht="12.75" x14ac:dyDescent="0.2">
      <c r="A169" s="201" t="s">
        <v>779</v>
      </c>
      <c r="B169" s="161">
        <v>846</v>
      </c>
      <c r="C169" s="161">
        <v>1014572901666</v>
      </c>
      <c r="D169" s="201"/>
      <c r="E169" s="161"/>
      <c r="F169" s="161"/>
      <c r="G169" s="201" t="s">
        <v>779</v>
      </c>
      <c r="H169" s="169"/>
      <c r="I169" s="179">
        <v>3463.82</v>
      </c>
      <c r="J169" s="170">
        <v>2.4500000000000002</v>
      </c>
      <c r="K169" s="170">
        <v>2.4500000000000002</v>
      </c>
      <c r="L169" s="171"/>
      <c r="M169" s="180"/>
      <c r="N169" s="172"/>
      <c r="O169" s="172"/>
    </row>
    <row r="170" spans="1:15" ht="12.75" x14ac:dyDescent="0.2">
      <c r="A170" s="201" t="s">
        <v>780</v>
      </c>
      <c r="B170" s="161">
        <v>847</v>
      </c>
      <c r="C170" s="161">
        <v>1014572780683</v>
      </c>
      <c r="D170" s="201"/>
      <c r="E170" s="161"/>
      <c r="F170" s="161"/>
      <c r="G170" s="201" t="s">
        <v>780</v>
      </c>
      <c r="H170" s="169"/>
      <c r="I170" s="179">
        <v>9577.1299999999992</v>
      </c>
      <c r="J170" s="170">
        <v>2.4500000000000002</v>
      </c>
      <c r="K170" s="170">
        <v>2.4500000000000002</v>
      </c>
      <c r="L170" s="171"/>
      <c r="M170" s="180"/>
      <c r="N170" s="172"/>
      <c r="O170" s="172"/>
    </row>
    <row r="171" spans="1:15" ht="12.75" x14ac:dyDescent="0.2">
      <c r="A171" s="201" t="s">
        <v>781</v>
      </c>
      <c r="B171" s="161">
        <v>848</v>
      </c>
      <c r="C171" s="161">
        <v>1014572821160</v>
      </c>
      <c r="D171" s="201"/>
      <c r="E171" s="161"/>
      <c r="F171" s="161"/>
      <c r="G171" s="201" t="s">
        <v>781</v>
      </c>
      <c r="H171" s="169"/>
      <c r="I171" s="179">
        <v>3463.82</v>
      </c>
      <c r="J171" s="170">
        <v>3.96</v>
      </c>
      <c r="K171" s="170">
        <v>3.96</v>
      </c>
      <c r="L171" s="171"/>
      <c r="M171" s="180"/>
      <c r="N171" s="172"/>
      <c r="O171" s="172"/>
    </row>
    <row r="172" spans="1:15" ht="12.75" x14ac:dyDescent="0.2">
      <c r="A172" s="201" t="s">
        <v>782</v>
      </c>
      <c r="B172" s="161">
        <v>849</v>
      </c>
      <c r="C172" s="161">
        <v>1014573017580</v>
      </c>
      <c r="D172" s="201"/>
      <c r="E172" s="161"/>
      <c r="F172" s="161"/>
      <c r="G172" s="201" t="s">
        <v>782</v>
      </c>
      <c r="H172" s="169"/>
      <c r="I172" s="179">
        <v>7706.82</v>
      </c>
      <c r="J172" s="170">
        <v>3.84</v>
      </c>
      <c r="K172" s="170">
        <v>3.84</v>
      </c>
      <c r="L172" s="171"/>
      <c r="M172" s="180"/>
      <c r="N172" s="172"/>
      <c r="O172" s="172"/>
    </row>
    <row r="173" spans="1:15" ht="12.75" x14ac:dyDescent="0.2">
      <c r="A173" s="201" t="s">
        <v>783</v>
      </c>
      <c r="B173" s="161">
        <v>850</v>
      </c>
      <c r="C173" s="161">
        <v>1014572876363</v>
      </c>
      <c r="D173" s="201"/>
      <c r="E173" s="161"/>
      <c r="F173" s="161"/>
      <c r="G173" s="201" t="s">
        <v>783</v>
      </c>
      <c r="H173" s="169"/>
      <c r="I173" s="179">
        <v>3205.83</v>
      </c>
      <c r="J173" s="170">
        <v>4.0999999999999996</v>
      </c>
      <c r="K173" s="170">
        <v>4.0999999999999996</v>
      </c>
      <c r="L173" s="171"/>
      <c r="M173" s="180"/>
      <c r="N173" s="172"/>
      <c r="O173" s="172"/>
    </row>
    <row r="174" spans="1:15" ht="12.75" x14ac:dyDescent="0.2">
      <c r="A174" s="201" t="s">
        <v>784</v>
      </c>
      <c r="B174" s="161">
        <v>851</v>
      </c>
      <c r="C174" s="161">
        <v>1014573170075</v>
      </c>
      <c r="D174" s="201"/>
      <c r="E174" s="161"/>
      <c r="F174" s="161"/>
      <c r="G174" s="201" t="s">
        <v>784</v>
      </c>
      <c r="H174" s="169">
        <v>2E-3</v>
      </c>
      <c r="I174" s="179">
        <v>3205.83</v>
      </c>
      <c r="J174" s="170">
        <v>4.4400000000000004</v>
      </c>
      <c r="K174" s="170">
        <v>4.4400000000000004</v>
      </c>
      <c r="L174" s="171"/>
      <c r="M174" s="180"/>
      <c r="N174" s="172"/>
      <c r="O174" s="172"/>
    </row>
    <row r="175" spans="1:15" ht="12.75" x14ac:dyDescent="0.2">
      <c r="A175" s="201" t="s">
        <v>785</v>
      </c>
      <c r="B175" s="161">
        <v>852</v>
      </c>
      <c r="C175" s="161">
        <v>1014573010682</v>
      </c>
      <c r="D175" s="201"/>
      <c r="E175" s="161"/>
      <c r="F175" s="161"/>
      <c r="G175" s="201" t="s">
        <v>785</v>
      </c>
      <c r="H175" s="169"/>
      <c r="I175" s="179">
        <v>6669.65</v>
      </c>
      <c r="J175" s="170">
        <v>3.07</v>
      </c>
      <c r="K175" s="170">
        <v>3.07</v>
      </c>
      <c r="L175" s="171"/>
      <c r="M175" s="180"/>
      <c r="N175" s="172"/>
      <c r="O175" s="172"/>
    </row>
    <row r="176" spans="1:15" ht="12.75" x14ac:dyDescent="0.2">
      <c r="A176" s="201" t="s">
        <v>786</v>
      </c>
      <c r="B176" s="161">
        <v>853</v>
      </c>
      <c r="C176" s="161">
        <v>1014572632104</v>
      </c>
      <c r="D176" s="201"/>
      <c r="E176" s="161"/>
      <c r="F176" s="161"/>
      <c r="G176" s="201" t="s">
        <v>786</v>
      </c>
      <c r="H176" s="169"/>
      <c r="I176" s="179">
        <v>6927.63</v>
      </c>
      <c r="J176" s="170">
        <v>2.66</v>
      </c>
      <c r="K176" s="170">
        <v>2.66</v>
      </c>
      <c r="L176" s="171"/>
      <c r="M176" s="180"/>
      <c r="N176" s="172"/>
      <c r="O176" s="172"/>
    </row>
    <row r="177" spans="1:15" ht="12.75" x14ac:dyDescent="0.2">
      <c r="A177" s="201" t="s">
        <v>787</v>
      </c>
      <c r="B177" s="161">
        <v>855</v>
      </c>
      <c r="C177" s="161">
        <v>1014572682017</v>
      </c>
      <c r="D177" s="201"/>
      <c r="E177" s="161"/>
      <c r="F177" s="161"/>
      <c r="G177" s="201" t="s">
        <v>787</v>
      </c>
      <c r="H177" s="169"/>
      <c r="I177" s="179">
        <v>6411.66</v>
      </c>
      <c r="J177" s="170">
        <v>4.28</v>
      </c>
      <c r="K177" s="170">
        <v>4.28</v>
      </c>
      <c r="L177" s="171"/>
      <c r="M177" s="180"/>
      <c r="N177" s="172"/>
      <c r="O177" s="172"/>
    </row>
    <row r="178" spans="1:15" ht="12.75" x14ac:dyDescent="0.2">
      <c r="A178" s="201" t="s">
        <v>788</v>
      </c>
      <c r="B178" s="161">
        <v>854</v>
      </c>
      <c r="C178" s="161">
        <v>1023478597119</v>
      </c>
      <c r="D178" s="201"/>
      <c r="E178" s="161"/>
      <c r="F178" s="161"/>
      <c r="G178" s="201" t="s">
        <v>788</v>
      </c>
      <c r="H178" s="169">
        <v>2E-3</v>
      </c>
      <c r="I178" s="179">
        <v>6927.63</v>
      </c>
      <c r="J178" s="170">
        <v>3.5</v>
      </c>
      <c r="K178" s="170">
        <v>3.5</v>
      </c>
      <c r="L178" s="171"/>
      <c r="M178" s="180"/>
      <c r="N178" s="172"/>
      <c r="O178" s="172"/>
    </row>
    <row r="179" spans="1:15" ht="12.75" x14ac:dyDescent="0.2">
      <c r="A179" s="201" t="s">
        <v>789</v>
      </c>
      <c r="B179" s="161">
        <v>856</v>
      </c>
      <c r="C179" s="161">
        <v>1014572602660</v>
      </c>
      <c r="D179" s="201"/>
      <c r="E179" s="161"/>
      <c r="F179" s="161"/>
      <c r="G179" s="201" t="s">
        <v>789</v>
      </c>
      <c r="H179" s="169"/>
      <c r="I179" s="179">
        <v>6927.63</v>
      </c>
      <c r="J179" s="170">
        <v>5.78</v>
      </c>
      <c r="K179" s="170">
        <v>5.78</v>
      </c>
      <c r="L179" s="171"/>
      <c r="M179" s="180"/>
      <c r="N179" s="172"/>
      <c r="O179" s="172"/>
    </row>
    <row r="180" spans="1:15" ht="12.75" x14ac:dyDescent="0.2">
      <c r="A180" s="201" t="s">
        <v>790</v>
      </c>
      <c r="B180" s="161">
        <v>857</v>
      </c>
      <c r="C180" s="161">
        <v>1014572719730</v>
      </c>
      <c r="D180" s="201"/>
      <c r="E180" s="161"/>
      <c r="F180" s="161"/>
      <c r="G180" s="201" t="s">
        <v>790</v>
      </c>
      <c r="H180" s="169">
        <v>1.9E-2</v>
      </c>
      <c r="I180" s="179">
        <v>6411.66</v>
      </c>
      <c r="J180" s="170">
        <v>4.7699999999999996</v>
      </c>
      <c r="K180" s="170">
        <v>4.7699999999999996</v>
      </c>
      <c r="L180" s="171"/>
      <c r="M180" s="180"/>
      <c r="N180" s="172"/>
      <c r="O180" s="172"/>
    </row>
    <row r="181" spans="1:15" ht="12.75" x14ac:dyDescent="0.2">
      <c r="A181" s="201" t="s">
        <v>791</v>
      </c>
      <c r="B181" s="161">
        <v>858</v>
      </c>
      <c r="C181" s="161">
        <v>1014572853366</v>
      </c>
      <c r="D181" s="201"/>
      <c r="E181" s="161"/>
      <c r="F181" s="161"/>
      <c r="G181" s="201" t="s">
        <v>791</v>
      </c>
      <c r="H181" s="169"/>
      <c r="I181" s="179">
        <v>8190.52</v>
      </c>
      <c r="J181" s="170">
        <v>2.41</v>
      </c>
      <c r="K181" s="170">
        <v>2.41</v>
      </c>
      <c r="L181" s="171"/>
      <c r="M181" s="180"/>
      <c r="N181" s="172"/>
      <c r="O181" s="172"/>
    </row>
    <row r="182" spans="1:15" ht="12.75" x14ac:dyDescent="0.2">
      <c r="A182" s="201" t="s">
        <v>792</v>
      </c>
      <c r="B182" s="161">
        <v>859</v>
      </c>
      <c r="C182" s="161">
        <v>1014573142245</v>
      </c>
      <c r="D182" s="201"/>
      <c r="E182" s="161"/>
      <c r="F182" s="161"/>
      <c r="G182" s="201" t="s">
        <v>792</v>
      </c>
      <c r="H182" s="169"/>
      <c r="I182" s="179">
        <v>6927.63</v>
      </c>
      <c r="J182" s="170">
        <v>2.6</v>
      </c>
      <c r="K182" s="170">
        <v>2.6</v>
      </c>
      <c r="L182" s="171"/>
      <c r="M182" s="180"/>
      <c r="N182" s="172"/>
      <c r="O182" s="172"/>
    </row>
    <row r="183" spans="1:15" ht="12.75" x14ac:dyDescent="0.2">
      <c r="A183" s="201" t="s">
        <v>793</v>
      </c>
      <c r="B183" s="161">
        <v>860</v>
      </c>
      <c r="C183" s="161">
        <v>1014573113954</v>
      </c>
      <c r="D183" s="201"/>
      <c r="E183" s="161"/>
      <c r="F183" s="161"/>
      <c r="G183" s="201" t="s">
        <v>793</v>
      </c>
      <c r="H183" s="169"/>
      <c r="I183" s="179">
        <v>3205.83</v>
      </c>
      <c r="J183" s="170">
        <v>3.74</v>
      </c>
      <c r="K183" s="170">
        <v>3.74</v>
      </c>
      <c r="L183" s="171"/>
      <c r="M183" s="180"/>
      <c r="N183" s="172"/>
      <c r="O183" s="172"/>
    </row>
    <row r="184" spans="1:15" ht="12.75" x14ac:dyDescent="0.2">
      <c r="A184" s="201" t="s">
        <v>794</v>
      </c>
      <c r="B184" s="161">
        <v>861</v>
      </c>
      <c r="C184" s="161">
        <v>1014572501466</v>
      </c>
      <c r="D184" s="201"/>
      <c r="E184" s="161"/>
      <c r="F184" s="161"/>
      <c r="G184" s="201" t="s">
        <v>794</v>
      </c>
      <c r="H184" s="169"/>
      <c r="I184" s="179">
        <v>6927.63</v>
      </c>
      <c r="J184" s="170">
        <v>5.6</v>
      </c>
      <c r="K184" s="170">
        <v>5.6</v>
      </c>
      <c r="L184" s="171"/>
      <c r="M184" s="180"/>
      <c r="N184" s="172"/>
      <c r="O184" s="172"/>
    </row>
    <row r="185" spans="1:15" ht="25.5" x14ac:dyDescent="0.2">
      <c r="A185" s="201" t="s">
        <v>795</v>
      </c>
      <c r="B185" s="161">
        <v>486</v>
      </c>
      <c r="C185" s="161" t="s">
        <v>1010</v>
      </c>
      <c r="D185" s="201"/>
      <c r="E185" s="161"/>
      <c r="F185" s="161"/>
      <c r="G185" s="201" t="s">
        <v>795</v>
      </c>
      <c r="H185" s="169"/>
      <c r="I185" s="179">
        <v>179.86</v>
      </c>
      <c r="J185" s="170">
        <v>3.03</v>
      </c>
      <c r="K185" s="170">
        <v>3.03</v>
      </c>
      <c r="L185" s="171"/>
      <c r="M185" s="180"/>
      <c r="N185" s="172"/>
      <c r="O185" s="172"/>
    </row>
    <row r="186" spans="1:15" ht="12.75" x14ac:dyDescent="0.2">
      <c r="A186" s="201" t="s">
        <v>925</v>
      </c>
      <c r="B186" s="161">
        <v>890</v>
      </c>
      <c r="C186" s="161">
        <v>1050000588206</v>
      </c>
      <c r="D186" s="201" t="s">
        <v>925</v>
      </c>
      <c r="E186" s="161">
        <v>764</v>
      </c>
      <c r="F186" s="161">
        <v>1050000588215</v>
      </c>
      <c r="G186" s="201" t="s">
        <v>925</v>
      </c>
      <c r="H186" s="169">
        <v>13.019</v>
      </c>
      <c r="I186" s="179">
        <v>28.16</v>
      </c>
      <c r="J186" s="170">
        <v>2.12</v>
      </c>
      <c r="K186" s="170">
        <v>2.12</v>
      </c>
      <c r="L186" s="171"/>
      <c r="M186" s="180">
        <v>513.89</v>
      </c>
      <c r="N186" s="172">
        <v>0.05</v>
      </c>
      <c r="O186" s="172">
        <v>0.05</v>
      </c>
    </row>
    <row r="187" spans="1:15" ht="25.5" x14ac:dyDescent="0.2">
      <c r="A187" s="201" t="s">
        <v>796</v>
      </c>
      <c r="B187" s="161">
        <v>487</v>
      </c>
      <c r="C187" s="161" t="s">
        <v>1011</v>
      </c>
      <c r="D187" s="201"/>
      <c r="E187" s="161"/>
      <c r="F187" s="161"/>
      <c r="G187" s="201" t="s">
        <v>796</v>
      </c>
      <c r="H187" s="169">
        <v>0.40200000000000002</v>
      </c>
      <c r="I187" s="179">
        <v>5241.03</v>
      </c>
      <c r="J187" s="170">
        <v>1.95</v>
      </c>
      <c r="K187" s="170">
        <v>1.95</v>
      </c>
      <c r="L187" s="171"/>
      <c r="M187" s="180"/>
      <c r="N187" s="172"/>
      <c r="O187" s="172"/>
    </row>
    <row r="188" spans="1:15" ht="12.75" x14ac:dyDescent="0.2">
      <c r="A188" s="201" t="s">
        <v>926</v>
      </c>
      <c r="B188" s="161">
        <v>525</v>
      </c>
      <c r="C188" s="161">
        <v>1050000890756</v>
      </c>
      <c r="D188" s="201" t="s">
        <v>926</v>
      </c>
      <c r="E188" s="161">
        <v>457</v>
      </c>
      <c r="F188" s="161">
        <v>1050000890765</v>
      </c>
      <c r="G188" s="201" t="s">
        <v>926</v>
      </c>
      <c r="H188" s="169">
        <v>0.40500000000000003</v>
      </c>
      <c r="I188" s="179">
        <v>13.12</v>
      </c>
      <c r="J188" s="170">
        <v>1.63</v>
      </c>
      <c r="K188" s="170">
        <v>1.63</v>
      </c>
      <c r="L188" s="171"/>
      <c r="M188" s="180">
        <v>244.87</v>
      </c>
      <c r="N188" s="172">
        <v>0.05</v>
      </c>
      <c r="O188" s="172">
        <v>0.05</v>
      </c>
    </row>
    <row r="189" spans="1:15" ht="12.75" x14ac:dyDescent="0.2">
      <c r="A189" s="201" t="s">
        <v>927</v>
      </c>
      <c r="B189" s="161">
        <v>554</v>
      </c>
      <c r="C189" s="161">
        <v>1050001028544</v>
      </c>
      <c r="D189" s="201" t="s">
        <v>927</v>
      </c>
      <c r="E189" s="161">
        <v>671</v>
      </c>
      <c r="F189" s="161">
        <v>1050001028553</v>
      </c>
      <c r="G189" s="201" t="s">
        <v>927</v>
      </c>
      <c r="H189" s="169">
        <v>2.3E-2</v>
      </c>
      <c r="I189" s="179">
        <v>2.2999999999999998</v>
      </c>
      <c r="J189" s="170">
        <v>14.22</v>
      </c>
      <c r="K189" s="170">
        <v>14.22</v>
      </c>
      <c r="L189" s="171"/>
      <c r="M189" s="180">
        <v>255.69</v>
      </c>
      <c r="N189" s="172">
        <v>0.05</v>
      </c>
      <c r="O189" s="172">
        <v>0.05</v>
      </c>
    </row>
    <row r="190" spans="1:15" ht="12.75" x14ac:dyDescent="0.2">
      <c r="A190" s="201" t="s">
        <v>928</v>
      </c>
      <c r="B190" s="161">
        <v>576</v>
      </c>
      <c r="C190" s="161">
        <v>1050001054190</v>
      </c>
      <c r="D190" s="201" t="s">
        <v>928</v>
      </c>
      <c r="E190" s="161">
        <v>672</v>
      </c>
      <c r="F190" s="161">
        <v>1050001054206</v>
      </c>
      <c r="G190" s="201" t="s">
        <v>928</v>
      </c>
      <c r="H190" s="169">
        <v>0.40200000000000002</v>
      </c>
      <c r="I190" s="179">
        <v>5.34</v>
      </c>
      <c r="J190" s="170">
        <v>1.67</v>
      </c>
      <c r="K190" s="170">
        <v>1.67</v>
      </c>
      <c r="L190" s="171"/>
      <c r="M190" s="180">
        <v>961.81</v>
      </c>
      <c r="N190" s="172">
        <v>0.05</v>
      </c>
      <c r="O190" s="172">
        <v>0.05</v>
      </c>
    </row>
    <row r="191" spans="1:15" ht="12.75" x14ac:dyDescent="0.2">
      <c r="A191" s="201" t="s">
        <v>2437</v>
      </c>
      <c r="B191" s="161">
        <v>316</v>
      </c>
      <c r="C191" s="161">
        <v>1050001368323</v>
      </c>
      <c r="D191" s="201" t="s">
        <v>2437</v>
      </c>
      <c r="E191" s="161">
        <v>447</v>
      </c>
      <c r="F191" s="161">
        <v>1050001368332</v>
      </c>
      <c r="G191" s="201" t="s">
        <v>2437</v>
      </c>
      <c r="H191" s="169"/>
      <c r="I191" s="179">
        <v>6.51</v>
      </c>
      <c r="J191" s="170">
        <v>1.47</v>
      </c>
      <c r="K191" s="170">
        <v>1.47</v>
      </c>
      <c r="L191" s="171"/>
      <c r="M191" s="180">
        <v>624.92999999999995</v>
      </c>
      <c r="N191" s="172">
        <v>0.05</v>
      </c>
      <c r="O191" s="172">
        <v>0.05</v>
      </c>
    </row>
    <row r="192" spans="1:15" ht="12.75" x14ac:dyDescent="0.2">
      <c r="A192" s="201" t="s">
        <v>929</v>
      </c>
      <c r="B192" s="161">
        <v>830</v>
      </c>
      <c r="C192" s="161">
        <v>1030030431071</v>
      </c>
      <c r="D192" s="201"/>
      <c r="E192" s="161"/>
      <c r="F192" s="161"/>
      <c r="G192" s="201" t="s">
        <v>929</v>
      </c>
      <c r="H192" s="169">
        <v>0.156</v>
      </c>
      <c r="I192" s="179">
        <v>6.76</v>
      </c>
      <c r="J192" s="170">
        <v>1.24</v>
      </c>
      <c r="K192" s="170">
        <v>1.24</v>
      </c>
      <c r="L192" s="171"/>
      <c r="M192" s="180"/>
      <c r="N192" s="172"/>
      <c r="O192" s="172"/>
    </row>
    <row r="193" spans="1:15" ht="25.5" x14ac:dyDescent="0.2">
      <c r="A193" s="201" t="s">
        <v>797</v>
      </c>
      <c r="B193" s="161">
        <v>831</v>
      </c>
      <c r="C193" s="161" t="s">
        <v>1012</v>
      </c>
      <c r="D193" s="201" t="s">
        <v>797</v>
      </c>
      <c r="E193" s="161">
        <v>434</v>
      </c>
      <c r="F193" s="161" t="s">
        <v>2420</v>
      </c>
      <c r="G193" s="201" t="s">
        <v>797</v>
      </c>
      <c r="H193" s="169">
        <v>0.32600000000000001</v>
      </c>
      <c r="I193" s="179">
        <v>1526.13</v>
      </c>
      <c r="J193" s="170">
        <v>3.35</v>
      </c>
      <c r="K193" s="170">
        <v>3.35</v>
      </c>
      <c r="L193" s="171">
        <v>-0.313</v>
      </c>
      <c r="M193" s="192">
        <v>847.85</v>
      </c>
      <c r="N193" s="172">
        <v>0.05</v>
      </c>
      <c r="O193" s="172">
        <v>0.05</v>
      </c>
    </row>
    <row r="194" spans="1:15" ht="12.75" x14ac:dyDescent="0.2">
      <c r="A194" s="201" t="s">
        <v>930</v>
      </c>
      <c r="B194" s="161">
        <v>577</v>
      </c>
      <c r="C194" s="161">
        <v>1050000903165</v>
      </c>
      <c r="D194" s="201" t="s">
        <v>930</v>
      </c>
      <c r="E194" s="161">
        <v>693</v>
      </c>
      <c r="F194" s="161">
        <v>1050000903174</v>
      </c>
      <c r="G194" s="201" t="s">
        <v>930</v>
      </c>
      <c r="H194" s="169">
        <v>6.8000000000000005E-2</v>
      </c>
      <c r="I194" s="179">
        <v>23.16</v>
      </c>
      <c r="J194" s="170">
        <v>1.97</v>
      </c>
      <c r="K194" s="170">
        <v>1.97</v>
      </c>
      <c r="L194" s="171"/>
      <c r="M194" s="180">
        <v>2315.6</v>
      </c>
      <c r="N194" s="172">
        <v>0.05</v>
      </c>
      <c r="O194" s="172">
        <v>0.05</v>
      </c>
    </row>
    <row r="195" spans="1:15" ht="12.75" x14ac:dyDescent="0.2">
      <c r="A195" s="201" t="s">
        <v>931</v>
      </c>
      <c r="B195" s="161">
        <v>565</v>
      </c>
      <c r="C195" s="161">
        <v>1050001118598</v>
      </c>
      <c r="D195" s="201" t="s">
        <v>931</v>
      </c>
      <c r="E195" s="161">
        <v>448</v>
      </c>
      <c r="F195" s="161">
        <v>1050001118490</v>
      </c>
      <c r="G195" s="201" t="s">
        <v>931</v>
      </c>
      <c r="H195" s="169"/>
      <c r="I195" s="179">
        <v>5.1100000000000003</v>
      </c>
      <c r="J195" s="170">
        <v>1.88</v>
      </c>
      <c r="K195" s="170">
        <v>1.88</v>
      </c>
      <c r="L195" s="171"/>
      <c r="M195" s="180">
        <v>510.86</v>
      </c>
      <c r="N195" s="172">
        <v>0.05</v>
      </c>
      <c r="O195" s="172">
        <v>0.05</v>
      </c>
    </row>
    <row r="196" spans="1:15" ht="12.75" x14ac:dyDescent="0.2">
      <c r="A196" s="201" t="s">
        <v>798</v>
      </c>
      <c r="B196" s="161">
        <v>832</v>
      </c>
      <c r="C196" s="161">
        <v>1014569523654</v>
      </c>
      <c r="D196" s="201"/>
      <c r="E196" s="161"/>
      <c r="F196" s="161"/>
      <c r="G196" s="201" t="s">
        <v>798</v>
      </c>
      <c r="H196" s="169"/>
      <c r="I196" s="179">
        <v>1031.95</v>
      </c>
      <c r="J196" s="170">
        <v>2.17</v>
      </c>
      <c r="K196" s="170">
        <v>2.17</v>
      </c>
      <c r="L196" s="171"/>
      <c r="M196" s="180"/>
      <c r="N196" s="172"/>
      <c r="O196" s="172"/>
    </row>
    <row r="197" spans="1:15" ht="25.5" x14ac:dyDescent="0.2">
      <c r="A197" s="201" t="s">
        <v>799</v>
      </c>
      <c r="B197" s="161">
        <v>488</v>
      </c>
      <c r="C197" s="161" t="s">
        <v>1013</v>
      </c>
      <c r="D197" s="201"/>
      <c r="E197" s="161"/>
      <c r="F197" s="161"/>
      <c r="G197" s="201" t="s">
        <v>799</v>
      </c>
      <c r="H197" s="169">
        <v>1.0309999999999999</v>
      </c>
      <c r="I197" s="179">
        <v>179.86</v>
      </c>
      <c r="J197" s="170">
        <v>8.17</v>
      </c>
      <c r="K197" s="170">
        <v>8.17</v>
      </c>
      <c r="L197" s="171"/>
      <c r="M197" s="180"/>
      <c r="N197" s="172"/>
      <c r="O197" s="172"/>
    </row>
    <row r="198" spans="1:15" ht="12.75" x14ac:dyDescent="0.2">
      <c r="A198" s="201" t="s">
        <v>932</v>
      </c>
      <c r="B198" s="161">
        <v>895</v>
      </c>
      <c r="C198" s="161">
        <v>1030085099084</v>
      </c>
      <c r="D198" s="201" t="s">
        <v>932</v>
      </c>
      <c r="E198" s="161">
        <v>777</v>
      </c>
      <c r="F198" s="161">
        <v>1030085040202</v>
      </c>
      <c r="G198" s="201" t="s">
        <v>932</v>
      </c>
      <c r="H198" s="169">
        <v>2.1179999999999999</v>
      </c>
      <c r="I198" s="179">
        <v>7.09</v>
      </c>
      <c r="J198" s="170">
        <v>11.48</v>
      </c>
      <c r="K198" s="170">
        <v>11.48</v>
      </c>
      <c r="L198" s="171"/>
      <c r="M198" s="180">
        <v>2125.84</v>
      </c>
      <c r="N198" s="172">
        <v>0.05</v>
      </c>
      <c r="O198" s="172">
        <v>0.05</v>
      </c>
    </row>
    <row r="199" spans="1:15" ht="25.5" x14ac:dyDescent="0.2">
      <c r="A199" s="201" t="s">
        <v>800</v>
      </c>
      <c r="B199" s="161">
        <v>489</v>
      </c>
      <c r="C199" s="161" t="s">
        <v>1014</v>
      </c>
      <c r="D199" s="201"/>
      <c r="E199" s="161"/>
      <c r="F199" s="161"/>
      <c r="G199" s="201" t="s">
        <v>800</v>
      </c>
      <c r="H199" s="169">
        <v>1.4970000000000001</v>
      </c>
      <c r="I199" s="179">
        <v>179.86</v>
      </c>
      <c r="J199" s="170">
        <v>6.41</v>
      </c>
      <c r="K199" s="170">
        <v>6.41</v>
      </c>
      <c r="L199" s="171"/>
      <c r="M199" s="180"/>
      <c r="N199" s="172"/>
      <c r="O199" s="172"/>
    </row>
    <row r="200" spans="1:15" ht="12.75" x14ac:dyDescent="0.2">
      <c r="A200" s="201" t="s">
        <v>933</v>
      </c>
      <c r="B200" s="161"/>
      <c r="C200" s="161" t="s">
        <v>982</v>
      </c>
      <c r="D200" s="201" t="s">
        <v>933</v>
      </c>
      <c r="E200" s="161"/>
      <c r="F200" s="161" t="s">
        <v>982</v>
      </c>
      <c r="G200" s="201" t="s">
        <v>933</v>
      </c>
      <c r="H200" s="169"/>
      <c r="I200" s="179">
        <v>19.52</v>
      </c>
      <c r="J200" s="170">
        <v>1.51</v>
      </c>
      <c r="K200" s="170">
        <v>1.51</v>
      </c>
      <c r="L200" s="171"/>
      <c r="M200" s="180">
        <v>1874.81</v>
      </c>
      <c r="N200" s="172">
        <v>0.05</v>
      </c>
      <c r="O200" s="172">
        <v>0.05</v>
      </c>
    </row>
    <row r="201" spans="1:15" ht="12.75" x14ac:dyDescent="0.2">
      <c r="A201" s="201" t="s">
        <v>801</v>
      </c>
      <c r="B201" s="161">
        <v>490</v>
      </c>
      <c r="C201" s="161">
        <v>1014572722956</v>
      </c>
      <c r="D201" s="201"/>
      <c r="E201" s="161"/>
      <c r="F201" s="161"/>
      <c r="G201" s="201" t="s">
        <v>801</v>
      </c>
      <c r="H201" s="169">
        <v>4.0000000000000001E-3</v>
      </c>
      <c r="I201" s="179">
        <v>89.93</v>
      </c>
      <c r="J201" s="170">
        <v>3</v>
      </c>
      <c r="K201" s="170">
        <v>3</v>
      </c>
      <c r="L201" s="171"/>
      <c r="M201" s="180"/>
      <c r="N201" s="172"/>
      <c r="O201" s="172"/>
    </row>
    <row r="202" spans="1:15" ht="12.75" x14ac:dyDescent="0.2">
      <c r="A202" s="201" t="s">
        <v>934</v>
      </c>
      <c r="B202" s="161">
        <v>526</v>
      </c>
      <c r="C202" s="161">
        <v>1050000768550</v>
      </c>
      <c r="D202" s="201" t="s">
        <v>934</v>
      </c>
      <c r="E202" s="161">
        <v>458</v>
      </c>
      <c r="F202" s="161">
        <v>1050000768693</v>
      </c>
      <c r="G202" s="201" t="s">
        <v>934</v>
      </c>
      <c r="H202" s="169">
        <v>1.698</v>
      </c>
      <c r="I202" s="179">
        <v>34.31</v>
      </c>
      <c r="J202" s="170">
        <v>6.65</v>
      </c>
      <c r="K202" s="170">
        <v>6.65</v>
      </c>
      <c r="L202" s="171"/>
      <c r="M202" s="180">
        <v>1029.3399999999999</v>
      </c>
      <c r="N202" s="172">
        <v>0.05</v>
      </c>
      <c r="O202" s="172">
        <v>0.05</v>
      </c>
    </row>
    <row r="203" spans="1:15" ht="12.75" x14ac:dyDescent="0.2">
      <c r="A203" s="201" t="s">
        <v>802</v>
      </c>
      <c r="B203" s="161">
        <v>491</v>
      </c>
      <c r="C203" s="161">
        <v>1014572929954</v>
      </c>
      <c r="D203" s="201"/>
      <c r="E203" s="161"/>
      <c r="F203" s="161"/>
      <c r="G203" s="201" t="s">
        <v>802</v>
      </c>
      <c r="H203" s="169">
        <v>0.99</v>
      </c>
      <c r="I203" s="179">
        <v>1199.3599999999999</v>
      </c>
      <c r="J203" s="170">
        <v>5.55</v>
      </c>
      <c r="K203" s="170">
        <v>5.55</v>
      </c>
      <c r="L203" s="171"/>
      <c r="M203" s="180"/>
      <c r="N203" s="172"/>
      <c r="O203" s="172"/>
    </row>
    <row r="204" spans="1:15" ht="25.5" x14ac:dyDescent="0.2">
      <c r="A204" s="201" t="s">
        <v>935</v>
      </c>
      <c r="B204" s="161">
        <v>862</v>
      </c>
      <c r="C204" s="161" t="s">
        <v>1027</v>
      </c>
      <c r="D204" s="201"/>
      <c r="E204" s="161"/>
      <c r="F204" s="161"/>
      <c r="G204" s="201" t="s">
        <v>935</v>
      </c>
      <c r="H204" s="169">
        <v>0.82</v>
      </c>
      <c r="I204" s="179">
        <v>23.25</v>
      </c>
      <c r="J204" s="170">
        <v>1.79</v>
      </c>
      <c r="K204" s="170">
        <v>1.79</v>
      </c>
      <c r="L204" s="171"/>
      <c r="M204" s="180"/>
      <c r="N204" s="172"/>
      <c r="O204" s="172"/>
    </row>
    <row r="205" spans="1:15" ht="12.75" x14ac:dyDescent="0.2">
      <c r="A205" s="201" t="s">
        <v>936</v>
      </c>
      <c r="B205" s="161">
        <v>555</v>
      </c>
      <c r="C205" s="161">
        <v>1050001041962</v>
      </c>
      <c r="D205" s="201" t="s">
        <v>936</v>
      </c>
      <c r="E205" s="161">
        <v>673</v>
      </c>
      <c r="F205" s="161">
        <v>1050001041935</v>
      </c>
      <c r="G205" s="201" t="s">
        <v>936</v>
      </c>
      <c r="H205" s="169"/>
      <c r="I205" s="179">
        <v>5.62</v>
      </c>
      <c r="J205" s="170">
        <v>3.15</v>
      </c>
      <c r="K205" s="170">
        <v>3.15</v>
      </c>
      <c r="L205" s="171"/>
      <c r="M205" s="180">
        <v>1292.75</v>
      </c>
      <c r="N205" s="172">
        <v>0.05</v>
      </c>
      <c r="O205" s="172">
        <v>0.05</v>
      </c>
    </row>
    <row r="206" spans="1:15" ht="12.75" x14ac:dyDescent="0.2">
      <c r="A206" s="201" t="s">
        <v>803</v>
      </c>
      <c r="B206" s="161">
        <v>492</v>
      </c>
      <c r="C206" s="161">
        <v>1014712345991</v>
      </c>
      <c r="D206" s="201"/>
      <c r="E206" s="161"/>
      <c r="F206" s="161"/>
      <c r="G206" s="201" t="s">
        <v>803</v>
      </c>
      <c r="H206" s="169">
        <v>0.124</v>
      </c>
      <c r="I206" s="179">
        <v>89.93</v>
      </c>
      <c r="J206" s="170">
        <v>3.1</v>
      </c>
      <c r="K206" s="170">
        <v>3.1</v>
      </c>
      <c r="L206" s="171"/>
      <c r="M206" s="180"/>
      <c r="N206" s="172"/>
      <c r="O206" s="172"/>
    </row>
    <row r="207" spans="1:15" ht="12.75" x14ac:dyDescent="0.2">
      <c r="A207" s="201" t="s">
        <v>937</v>
      </c>
      <c r="B207" s="161">
        <v>834</v>
      </c>
      <c r="C207" s="161">
        <v>1030034117745</v>
      </c>
      <c r="D207" s="201"/>
      <c r="E207" s="161"/>
      <c r="F207" s="161"/>
      <c r="G207" s="201" t="s">
        <v>937</v>
      </c>
      <c r="H207" s="169"/>
      <c r="I207" s="179">
        <v>2.5</v>
      </c>
      <c r="J207" s="170">
        <v>1.65</v>
      </c>
      <c r="K207" s="170">
        <v>1.65</v>
      </c>
      <c r="L207" s="171"/>
      <c r="M207" s="180"/>
      <c r="N207" s="172"/>
      <c r="O207" s="172"/>
    </row>
    <row r="208" spans="1:15" ht="25.5" x14ac:dyDescent="0.2">
      <c r="A208" s="201" t="s">
        <v>938</v>
      </c>
      <c r="B208" s="161">
        <v>815</v>
      </c>
      <c r="C208" s="161" t="s">
        <v>2424</v>
      </c>
      <c r="D208" s="201" t="s">
        <v>938</v>
      </c>
      <c r="E208" s="161">
        <v>708</v>
      </c>
      <c r="F208" s="161" t="s">
        <v>1031</v>
      </c>
      <c r="G208" s="201" t="s">
        <v>938</v>
      </c>
      <c r="H208" s="169">
        <v>0.13200000000000001</v>
      </c>
      <c r="I208" s="179">
        <v>155.13999999999999</v>
      </c>
      <c r="J208" s="170">
        <v>2.71</v>
      </c>
      <c r="K208" s="170">
        <v>2.71</v>
      </c>
      <c r="L208" s="171"/>
      <c r="M208" s="180">
        <v>8083.63</v>
      </c>
      <c r="N208" s="172">
        <v>0.05</v>
      </c>
      <c r="O208" s="172">
        <v>0.05</v>
      </c>
    </row>
    <row r="209" spans="1:15" ht="12.75" x14ac:dyDescent="0.2">
      <c r="A209" s="201" t="s">
        <v>939</v>
      </c>
      <c r="B209" s="161">
        <v>896</v>
      </c>
      <c r="C209" s="161">
        <v>1050000612816</v>
      </c>
      <c r="D209" s="201" t="s">
        <v>939</v>
      </c>
      <c r="E209" s="161">
        <v>776</v>
      </c>
      <c r="F209" s="161">
        <v>1050000612807</v>
      </c>
      <c r="G209" s="201" t="s">
        <v>939</v>
      </c>
      <c r="H209" s="169">
        <v>3.9E-2</v>
      </c>
      <c r="I209" s="179">
        <v>3.53</v>
      </c>
      <c r="J209" s="170">
        <v>2.85</v>
      </c>
      <c r="K209" s="170">
        <v>2.85</v>
      </c>
      <c r="L209" s="171"/>
      <c r="M209" s="180">
        <v>564.6</v>
      </c>
      <c r="N209" s="172">
        <v>0.05</v>
      </c>
      <c r="O209" s="172">
        <v>0.05</v>
      </c>
    </row>
    <row r="210" spans="1:15" ht="12.75" x14ac:dyDescent="0.2">
      <c r="A210" s="201" t="s">
        <v>940</v>
      </c>
      <c r="B210" s="161">
        <v>556</v>
      </c>
      <c r="C210" s="161">
        <v>1050001036651</v>
      </c>
      <c r="D210" s="201" t="s">
        <v>940</v>
      </c>
      <c r="E210" s="161">
        <v>674</v>
      </c>
      <c r="F210" s="161">
        <v>1050001036660</v>
      </c>
      <c r="G210" s="201" t="s">
        <v>940</v>
      </c>
      <c r="H210" s="169">
        <v>0.35499999999999998</v>
      </c>
      <c r="I210" s="179">
        <v>206.06</v>
      </c>
      <c r="J210" s="170">
        <v>1.87</v>
      </c>
      <c r="K210" s="170">
        <v>1.87</v>
      </c>
      <c r="L210" s="171"/>
      <c r="M210" s="180">
        <v>2549.98</v>
      </c>
      <c r="N210" s="172">
        <v>0.05</v>
      </c>
      <c r="O210" s="172">
        <v>0.05</v>
      </c>
    </row>
    <row r="211" spans="1:15" ht="12.75" x14ac:dyDescent="0.2">
      <c r="A211" s="201" t="s">
        <v>941</v>
      </c>
      <c r="B211" s="161">
        <v>557</v>
      </c>
      <c r="C211" s="161">
        <v>1050000811220</v>
      </c>
      <c r="D211" s="201" t="s">
        <v>941</v>
      </c>
      <c r="E211" s="161">
        <v>675</v>
      </c>
      <c r="F211" s="161">
        <v>1050000811230</v>
      </c>
      <c r="G211" s="201" t="s">
        <v>941</v>
      </c>
      <c r="H211" s="169">
        <v>0.114</v>
      </c>
      <c r="I211" s="179">
        <v>9.59</v>
      </c>
      <c r="J211" s="170">
        <v>1.63</v>
      </c>
      <c r="K211" s="170">
        <v>1.63</v>
      </c>
      <c r="L211" s="171"/>
      <c r="M211" s="180">
        <v>767.18</v>
      </c>
      <c r="N211" s="172">
        <v>0.05</v>
      </c>
      <c r="O211" s="172">
        <v>0.05</v>
      </c>
    </row>
    <row r="212" spans="1:15" ht="12.75" x14ac:dyDescent="0.2">
      <c r="A212" s="201" t="s">
        <v>804</v>
      </c>
      <c r="B212" s="161">
        <v>493</v>
      </c>
      <c r="C212" s="161">
        <v>1014571768453</v>
      </c>
      <c r="D212" s="201"/>
      <c r="E212" s="161"/>
      <c r="F212" s="161"/>
      <c r="G212" s="201" t="s">
        <v>804</v>
      </c>
      <c r="H212" s="169">
        <v>0.04</v>
      </c>
      <c r="I212" s="179">
        <v>89.93</v>
      </c>
      <c r="J212" s="170">
        <v>1.93</v>
      </c>
      <c r="K212" s="170">
        <v>1.93</v>
      </c>
      <c r="L212" s="171"/>
      <c r="M212" s="180"/>
      <c r="N212" s="172"/>
      <c r="O212" s="172"/>
    </row>
    <row r="213" spans="1:15" ht="12.75" x14ac:dyDescent="0.2">
      <c r="A213" s="201" t="s">
        <v>942</v>
      </c>
      <c r="B213" s="161">
        <v>558</v>
      </c>
      <c r="C213" s="161">
        <v>1050001028465</v>
      </c>
      <c r="D213" s="201" t="s">
        <v>942</v>
      </c>
      <c r="E213" s="161">
        <v>676</v>
      </c>
      <c r="F213" s="161">
        <v>1050001028474</v>
      </c>
      <c r="G213" s="201" t="s">
        <v>942</v>
      </c>
      <c r="H213" s="169">
        <v>1.845</v>
      </c>
      <c r="I213" s="179">
        <v>5.89</v>
      </c>
      <c r="J213" s="170">
        <v>1.69</v>
      </c>
      <c r="K213" s="170">
        <v>1.69</v>
      </c>
      <c r="L213" s="171"/>
      <c r="M213" s="180">
        <v>252.09</v>
      </c>
      <c r="N213" s="172">
        <v>0.05</v>
      </c>
      <c r="O213" s="172">
        <v>0.05</v>
      </c>
    </row>
    <row r="214" spans="1:15" ht="12.75" x14ac:dyDescent="0.2">
      <c r="A214" s="201" t="s">
        <v>943</v>
      </c>
      <c r="B214" s="161">
        <v>559</v>
      </c>
      <c r="C214" s="161">
        <v>1050000996105</v>
      </c>
      <c r="D214" s="201" t="s">
        <v>943</v>
      </c>
      <c r="E214" s="161">
        <v>677</v>
      </c>
      <c r="F214" s="161">
        <v>1050000996114</v>
      </c>
      <c r="G214" s="201" t="s">
        <v>943</v>
      </c>
      <c r="H214" s="169"/>
      <c r="I214" s="179">
        <v>4.8</v>
      </c>
      <c r="J214" s="170">
        <v>3.54</v>
      </c>
      <c r="K214" s="170">
        <v>3.54</v>
      </c>
      <c r="L214" s="171"/>
      <c r="M214" s="180">
        <v>719.81</v>
      </c>
      <c r="N214" s="172">
        <v>0.05</v>
      </c>
      <c r="O214" s="172">
        <v>0.05</v>
      </c>
    </row>
    <row r="215" spans="1:15" ht="12.75" x14ac:dyDescent="0.2">
      <c r="A215" s="201" t="s">
        <v>805</v>
      </c>
      <c r="B215" s="161">
        <v>494</v>
      </c>
      <c r="C215" s="161">
        <v>1014569969627</v>
      </c>
      <c r="D215" s="201"/>
      <c r="E215" s="161"/>
      <c r="F215" s="161"/>
      <c r="G215" s="201" t="s">
        <v>805</v>
      </c>
      <c r="H215" s="169">
        <v>0.877</v>
      </c>
      <c r="I215" s="179">
        <v>179.86</v>
      </c>
      <c r="J215" s="170">
        <v>2.46</v>
      </c>
      <c r="K215" s="170">
        <v>2.46</v>
      </c>
      <c r="L215" s="171"/>
      <c r="M215" s="180"/>
      <c r="N215" s="172"/>
      <c r="O215" s="172"/>
    </row>
    <row r="216" spans="1:15" ht="12.75" x14ac:dyDescent="0.2">
      <c r="A216" s="201" t="s">
        <v>944</v>
      </c>
      <c r="B216" s="161">
        <v>317</v>
      </c>
      <c r="C216" s="161">
        <v>1050000946025</v>
      </c>
      <c r="D216" s="201" t="s">
        <v>944</v>
      </c>
      <c r="E216" s="161">
        <v>678</v>
      </c>
      <c r="F216" s="161">
        <v>1050000946034</v>
      </c>
      <c r="G216" s="201" t="s">
        <v>944</v>
      </c>
      <c r="H216" s="169">
        <v>0.28799999999999998</v>
      </c>
      <c r="I216" s="179">
        <v>9.18</v>
      </c>
      <c r="J216" s="170">
        <v>4.93</v>
      </c>
      <c r="K216" s="170">
        <v>4.93</v>
      </c>
      <c r="L216" s="171"/>
      <c r="M216" s="180">
        <v>764.78</v>
      </c>
      <c r="N216" s="172">
        <v>0.05</v>
      </c>
      <c r="O216" s="172">
        <v>0.05</v>
      </c>
    </row>
    <row r="217" spans="1:15" ht="63.75" x14ac:dyDescent="0.2">
      <c r="A217" s="201" t="s">
        <v>945</v>
      </c>
      <c r="B217" s="161">
        <v>578</v>
      </c>
      <c r="C217" s="161" t="s">
        <v>1028</v>
      </c>
      <c r="D217" s="201" t="s">
        <v>945</v>
      </c>
      <c r="E217" s="161">
        <v>694</v>
      </c>
      <c r="F217" s="161" t="s">
        <v>1032</v>
      </c>
      <c r="G217" s="201" t="s">
        <v>945</v>
      </c>
      <c r="H217" s="169">
        <v>0.05</v>
      </c>
      <c r="I217" s="179">
        <v>60.79</v>
      </c>
      <c r="J217" s="170">
        <v>5.45</v>
      </c>
      <c r="K217" s="170">
        <v>5.45</v>
      </c>
      <c r="L217" s="171"/>
      <c r="M217" s="180">
        <v>3039.5</v>
      </c>
      <c r="N217" s="172">
        <v>0.05</v>
      </c>
      <c r="O217" s="172">
        <v>0.05</v>
      </c>
    </row>
    <row r="218" spans="1:15" ht="12.75" x14ac:dyDescent="0.2">
      <c r="A218" s="201" t="s">
        <v>946</v>
      </c>
      <c r="B218" s="161">
        <v>836</v>
      </c>
      <c r="C218" s="161">
        <v>1023545564889</v>
      </c>
      <c r="D218" s="201"/>
      <c r="E218" s="161"/>
      <c r="F218" s="161"/>
      <c r="G218" s="201" t="s">
        <v>946</v>
      </c>
      <c r="H218" s="169">
        <v>0.28000000000000003</v>
      </c>
      <c r="I218" s="179">
        <v>20.54</v>
      </c>
      <c r="J218" s="170">
        <v>1.86</v>
      </c>
      <c r="K218" s="170">
        <v>1.86</v>
      </c>
      <c r="L218" s="171"/>
      <c r="M218" s="180"/>
      <c r="N218" s="172"/>
      <c r="O218" s="172"/>
    </row>
    <row r="219" spans="1:15" ht="12.75" x14ac:dyDescent="0.2">
      <c r="A219" s="201" t="s">
        <v>947</v>
      </c>
      <c r="B219" s="161">
        <v>527</v>
      </c>
      <c r="C219" s="161">
        <v>1050000841935</v>
      </c>
      <c r="D219" s="201" t="s">
        <v>947</v>
      </c>
      <c r="E219" s="161">
        <v>459</v>
      </c>
      <c r="F219" s="161">
        <v>1050000841971</v>
      </c>
      <c r="G219" s="201" t="s">
        <v>947</v>
      </c>
      <c r="H219" s="169">
        <v>0.13900000000000001</v>
      </c>
      <c r="I219" s="179">
        <v>43.92</v>
      </c>
      <c r="J219" s="170">
        <v>3.69</v>
      </c>
      <c r="K219" s="170">
        <v>3.69</v>
      </c>
      <c r="L219" s="171"/>
      <c r="M219" s="180">
        <v>1515.25</v>
      </c>
      <c r="N219" s="172">
        <v>0.05</v>
      </c>
      <c r="O219" s="172">
        <v>0.05</v>
      </c>
    </row>
    <row r="220" spans="1:15" ht="25.5" x14ac:dyDescent="0.2">
      <c r="A220" s="201" t="s">
        <v>806</v>
      </c>
      <c r="B220" s="161">
        <v>612</v>
      </c>
      <c r="C220" s="161" t="s">
        <v>1015</v>
      </c>
      <c r="D220" s="201"/>
      <c r="E220" s="161"/>
      <c r="F220" s="161"/>
      <c r="G220" s="201" t="s">
        <v>806</v>
      </c>
      <c r="H220" s="169"/>
      <c r="I220" s="179">
        <v>3071.4</v>
      </c>
      <c r="J220" s="170">
        <v>2.2200000000000002</v>
      </c>
      <c r="K220" s="170">
        <v>2.2200000000000002</v>
      </c>
      <c r="L220" s="171"/>
      <c r="M220" s="180"/>
      <c r="N220" s="172"/>
      <c r="O220" s="172"/>
    </row>
    <row r="221" spans="1:15" ht="12.75" x14ac:dyDescent="0.2">
      <c r="A221" s="201" t="s">
        <v>948</v>
      </c>
      <c r="B221" s="161">
        <v>502</v>
      </c>
      <c r="C221" s="161">
        <v>1050000628009</v>
      </c>
      <c r="D221" s="201" t="s">
        <v>948</v>
      </c>
      <c r="E221" s="161">
        <v>470</v>
      </c>
      <c r="F221" s="161">
        <v>1050000628018</v>
      </c>
      <c r="G221" s="201" t="s">
        <v>948</v>
      </c>
      <c r="H221" s="169"/>
      <c r="I221" s="179">
        <v>765.14</v>
      </c>
      <c r="J221" s="170">
        <v>1.7</v>
      </c>
      <c r="K221" s="170">
        <v>1.7</v>
      </c>
      <c r="L221" s="171">
        <v>-0.26</v>
      </c>
      <c r="M221" s="180">
        <v>5313.48</v>
      </c>
      <c r="N221" s="172">
        <v>0.05</v>
      </c>
      <c r="O221" s="172">
        <v>0.05</v>
      </c>
    </row>
    <row r="222" spans="1:15" ht="25.5" x14ac:dyDescent="0.2">
      <c r="A222" s="201" t="s">
        <v>807</v>
      </c>
      <c r="B222" s="161">
        <v>837</v>
      </c>
      <c r="C222" s="161" t="s">
        <v>1016</v>
      </c>
      <c r="D222" s="201"/>
      <c r="E222" s="161"/>
      <c r="F222" s="161"/>
      <c r="G222" s="201" t="s">
        <v>807</v>
      </c>
      <c r="H222" s="169">
        <v>2.4159999999999999</v>
      </c>
      <c r="I222" s="179">
        <v>515.97</v>
      </c>
      <c r="J222" s="170">
        <v>2.06</v>
      </c>
      <c r="K222" s="170">
        <v>2.06</v>
      </c>
      <c r="L222" s="171"/>
      <c r="M222" s="180"/>
      <c r="N222" s="172"/>
      <c r="O222" s="172"/>
    </row>
    <row r="223" spans="1:15" ht="12.75" x14ac:dyDescent="0.2">
      <c r="A223" s="201" t="s">
        <v>949</v>
      </c>
      <c r="B223" s="161"/>
      <c r="C223" s="161" t="s">
        <v>983</v>
      </c>
      <c r="D223" s="201" t="s">
        <v>949</v>
      </c>
      <c r="E223" s="161"/>
      <c r="F223" s="161" t="s">
        <v>983</v>
      </c>
      <c r="G223" s="201" t="s">
        <v>949</v>
      </c>
      <c r="H223" s="169"/>
      <c r="I223" s="179">
        <v>453.69</v>
      </c>
      <c r="J223" s="170">
        <v>1.31</v>
      </c>
      <c r="K223" s="170">
        <v>1.31</v>
      </c>
      <c r="L223" s="171"/>
      <c r="M223" s="180">
        <v>1253.6400000000001</v>
      </c>
      <c r="N223" s="172">
        <v>0.05</v>
      </c>
      <c r="O223" s="172">
        <v>0.05</v>
      </c>
    </row>
    <row r="224" spans="1:15" ht="12.75" x14ac:dyDescent="0.2">
      <c r="A224" s="201" t="s">
        <v>950</v>
      </c>
      <c r="B224" s="161">
        <v>579</v>
      </c>
      <c r="C224" s="161">
        <v>1050001084200</v>
      </c>
      <c r="D224" s="201" t="s">
        <v>950</v>
      </c>
      <c r="E224" s="161">
        <v>695</v>
      </c>
      <c r="F224" s="161">
        <v>1050001084229</v>
      </c>
      <c r="G224" s="201" t="s">
        <v>950</v>
      </c>
      <c r="H224" s="169">
        <v>2.423</v>
      </c>
      <c r="I224" s="179">
        <v>1068.26</v>
      </c>
      <c r="J224" s="170">
        <v>1.94</v>
      </c>
      <c r="K224" s="170">
        <v>1.94</v>
      </c>
      <c r="L224" s="171">
        <v>-2.7839999999999998</v>
      </c>
      <c r="M224" s="180">
        <v>12819.1</v>
      </c>
      <c r="N224" s="172">
        <v>0.05</v>
      </c>
      <c r="O224" s="172">
        <v>0.05</v>
      </c>
    </row>
    <row r="225" spans="1:15" ht="12.75" x14ac:dyDescent="0.2">
      <c r="A225" s="201" t="s">
        <v>951</v>
      </c>
      <c r="B225" s="161">
        <v>897</v>
      </c>
      <c r="C225" s="161">
        <v>1050000540019</v>
      </c>
      <c r="D225" s="201" t="s">
        <v>951</v>
      </c>
      <c r="E225" s="161">
        <v>778</v>
      </c>
      <c r="F225" s="161">
        <v>1050000540028</v>
      </c>
      <c r="G225" s="201" t="s">
        <v>951</v>
      </c>
      <c r="H225" s="169">
        <v>0.27800000000000002</v>
      </c>
      <c r="I225" s="179">
        <v>3.82</v>
      </c>
      <c r="J225" s="170">
        <v>3.44</v>
      </c>
      <c r="K225" s="170">
        <v>3.44</v>
      </c>
      <c r="L225" s="171"/>
      <c r="M225" s="180">
        <v>916.19</v>
      </c>
      <c r="N225" s="172">
        <v>0.05</v>
      </c>
      <c r="O225" s="172">
        <v>0.05</v>
      </c>
    </row>
    <row r="226" spans="1:15" ht="12.75" x14ac:dyDescent="0.2">
      <c r="A226" s="201" t="s">
        <v>952</v>
      </c>
      <c r="B226" s="161">
        <v>838</v>
      </c>
      <c r="C226" s="161">
        <v>1030037478730</v>
      </c>
      <c r="D226" s="201" t="s">
        <v>952</v>
      </c>
      <c r="E226" s="161">
        <v>717</v>
      </c>
      <c r="F226" s="161">
        <v>1030037478509</v>
      </c>
      <c r="G226" s="201" t="s">
        <v>952</v>
      </c>
      <c r="H226" s="169"/>
      <c r="I226" s="179">
        <v>186.02</v>
      </c>
      <c r="J226" s="170">
        <v>1.17</v>
      </c>
      <c r="K226" s="170">
        <v>1.17</v>
      </c>
      <c r="L226" s="171"/>
      <c r="M226" s="180">
        <v>3720.35</v>
      </c>
      <c r="N226" s="172">
        <v>0.05</v>
      </c>
      <c r="O226" s="172">
        <v>0.05</v>
      </c>
    </row>
    <row r="227" spans="1:15" ht="25.5" x14ac:dyDescent="0.2">
      <c r="A227" s="201" t="s">
        <v>808</v>
      </c>
      <c r="B227" s="161">
        <v>802</v>
      </c>
      <c r="C227" s="161" t="s">
        <v>1017</v>
      </c>
      <c r="D227" s="201"/>
      <c r="E227" s="161"/>
      <c r="F227" s="161"/>
      <c r="G227" s="201" t="s">
        <v>808</v>
      </c>
      <c r="H227" s="169">
        <v>1.7999999999999999E-2</v>
      </c>
      <c r="I227" s="179">
        <v>15115.13</v>
      </c>
      <c r="J227" s="170">
        <v>2.74</v>
      </c>
      <c r="K227" s="170">
        <v>2.74</v>
      </c>
      <c r="L227" s="171"/>
      <c r="M227" s="180"/>
      <c r="N227" s="172"/>
      <c r="O227" s="172"/>
    </row>
    <row r="228" spans="1:15" ht="12.75" x14ac:dyDescent="0.2">
      <c r="A228" s="201" t="s">
        <v>809</v>
      </c>
      <c r="B228" s="161">
        <v>801</v>
      </c>
      <c r="C228" s="161">
        <v>1015685338293</v>
      </c>
      <c r="D228" s="201"/>
      <c r="E228" s="161"/>
      <c r="F228" s="161"/>
      <c r="G228" s="201" t="s">
        <v>809</v>
      </c>
      <c r="H228" s="169">
        <v>0.43</v>
      </c>
      <c r="I228" s="179">
        <v>179.86</v>
      </c>
      <c r="J228" s="170">
        <v>2.71</v>
      </c>
      <c r="K228" s="170">
        <v>2.71</v>
      </c>
      <c r="L228" s="171"/>
      <c r="M228" s="180"/>
      <c r="N228" s="172"/>
      <c r="O228" s="172"/>
    </row>
    <row r="229" spans="1:15" ht="12.75" x14ac:dyDescent="0.2">
      <c r="A229" s="201" t="s">
        <v>810</v>
      </c>
      <c r="B229" s="161"/>
      <c r="C229" s="161" t="s">
        <v>977</v>
      </c>
      <c r="D229" s="201"/>
      <c r="E229" s="161"/>
      <c r="F229" s="161"/>
      <c r="G229" s="201" t="s">
        <v>810</v>
      </c>
      <c r="H229" s="169"/>
      <c r="I229" s="179"/>
      <c r="J229" s="170">
        <v>4.12</v>
      </c>
      <c r="K229" s="170">
        <v>4.12</v>
      </c>
      <c r="L229" s="171"/>
      <c r="M229" s="180"/>
      <c r="N229" s="172"/>
      <c r="O229" s="172"/>
    </row>
    <row r="230" spans="1:15" ht="12.75" x14ac:dyDescent="0.2">
      <c r="A230" s="201" t="s">
        <v>953</v>
      </c>
      <c r="B230" s="161">
        <v>581</v>
      </c>
      <c r="C230" s="161">
        <v>1050001232428</v>
      </c>
      <c r="D230" s="201" t="s">
        <v>953</v>
      </c>
      <c r="E230" s="161">
        <v>697</v>
      </c>
      <c r="F230" s="161">
        <v>1050001232437</v>
      </c>
      <c r="G230" s="201" t="s">
        <v>953</v>
      </c>
      <c r="H230" s="169">
        <v>0.123</v>
      </c>
      <c r="I230" s="179">
        <v>3.72</v>
      </c>
      <c r="J230" s="170">
        <v>1.99</v>
      </c>
      <c r="K230" s="170">
        <v>1.99</v>
      </c>
      <c r="L230" s="171"/>
      <c r="M230" s="180">
        <v>668.74</v>
      </c>
      <c r="N230" s="172">
        <v>0.05</v>
      </c>
      <c r="O230" s="172">
        <v>0.05</v>
      </c>
    </row>
    <row r="231" spans="1:15" ht="12.75" x14ac:dyDescent="0.2">
      <c r="A231" s="201" t="s">
        <v>954</v>
      </c>
      <c r="B231" s="161">
        <v>528</v>
      </c>
      <c r="C231" s="161">
        <v>1050000783238</v>
      </c>
      <c r="D231" s="201" t="s">
        <v>954</v>
      </c>
      <c r="E231" s="161">
        <v>460</v>
      </c>
      <c r="F231" s="161">
        <v>1050000759740</v>
      </c>
      <c r="G231" s="201" t="s">
        <v>954</v>
      </c>
      <c r="H231" s="169">
        <v>4.8000000000000001E-2</v>
      </c>
      <c r="I231" s="179">
        <v>10.87</v>
      </c>
      <c r="J231" s="170">
        <v>2.14</v>
      </c>
      <c r="K231" s="170">
        <v>2.14</v>
      </c>
      <c r="L231" s="171"/>
      <c r="M231" s="180">
        <v>1304.71</v>
      </c>
      <c r="N231" s="172">
        <v>0.05</v>
      </c>
      <c r="O231" s="172">
        <v>0.05</v>
      </c>
    </row>
    <row r="232" spans="1:15" ht="12.75" x14ac:dyDescent="0.2">
      <c r="A232" s="201" t="s">
        <v>955</v>
      </c>
      <c r="B232" s="161">
        <v>500</v>
      </c>
      <c r="C232" s="161">
        <v>1050000563372</v>
      </c>
      <c r="D232" s="201" t="s">
        <v>955</v>
      </c>
      <c r="E232" s="161">
        <v>775</v>
      </c>
      <c r="F232" s="161">
        <v>1050000563381</v>
      </c>
      <c r="G232" s="201" t="s">
        <v>955</v>
      </c>
      <c r="H232" s="169">
        <v>3.6999999999999998E-2</v>
      </c>
      <c r="I232" s="179">
        <v>2.48</v>
      </c>
      <c r="J232" s="170">
        <v>7.62</v>
      </c>
      <c r="K232" s="170">
        <v>7.62</v>
      </c>
      <c r="L232" s="171"/>
      <c r="M232" s="180">
        <v>542.17999999999995</v>
      </c>
      <c r="N232" s="172">
        <v>0.05</v>
      </c>
      <c r="O232" s="172">
        <v>0.05</v>
      </c>
    </row>
    <row r="233" spans="1:15" ht="12.75" x14ac:dyDescent="0.2">
      <c r="A233" s="201" t="s">
        <v>956</v>
      </c>
      <c r="B233" s="161">
        <v>898</v>
      </c>
      <c r="C233" s="161">
        <v>1050000613847</v>
      </c>
      <c r="D233" s="201" t="s">
        <v>956</v>
      </c>
      <c r="E233" s="161">
        <v>732</v>
      </c>
      <c r="F233" s="161">
        <v>1050000613856</v>
      </c>
      <c r="G233" s="201" t="s">
        <v>956</v>
      </c>
      <c r="H233" s="169"/>
      <c r="I233" s="179">
        <v>5.91</v>
      </c>
      <c r="J233" s="170">
        <v>2.88</v>
      </c>
      <c r="K233" s="170">
        <v>2.88</v>
      </c>
      <c r="L233" s="171"/>
      <c r="M233" s="180">
        <v>1240.31</v>
      </c>
      <c r="N233" s="172">
        <v>0.05</v>
      </c>
      <c r="O233" s="172">
        <v>0.05</v>
      </c>
    </row>
    <row r="234" spans="1:15" ht="12.75" x14ac:dyDescent="0.2">
      <c r="A234" s="201" t="s">
        <v>957</v>
      </c>
      <c r="B234" s="161">
        <v>580</v>
      </c>
      <c r="C234" s="161">
        <v>1050001290011</v>
      </c>
      <c r="D234" s="201" t="s">
        <v>957</v>
      </c>
      <c r="E234" s="161">
        <v>696</v>
      </c>
      <c r="F234" s="161">
        <v>1050001290020</v>
      </c>
      <c r="G234" s="201" t="s">
        <v>957</v>
      </c>
      <c r="H234" s="169">
        <v>3.2509999999999999</v>
      </c>
      <c r="I234" s="179">
        <v>7.42</v>
      </c>
      <c r="J234" s="170">
        <v>1.52</v>
      </c>
      <c r="K234" s="170">
        <v>1.52</v>
      </c>
      <c r="L234" s="171"/>
      <c r="M234" s="180">
        <v>607.65</v>
      </c>
      <c r="N234" s="172">
        <v>0.05</v>
      </c>
      <c r="O234" s="172">
        <v>0.05</v>
      </c>
    </row>
    <row r="235" spans="1:15" ht="51" x14ac:dyDescent="0.2">
      <c r="A235" s="201" t="s">
        <v>2511</v>
      </c>
      <c r="B235" s="161">
        <v>833</v>
      </c>
      <c r="C235" s="161" t="s">
        <v>2532</v>
      </c>
      <c r="D235" s="201"/>
      <c r="E235" s="161"/>
      <c r="F235" s="161"/>
      <c r="G235" s="201" t="s">
        <v>2511</v>
      </c>
      <c r="H235" s="169">
        <v>6.0999999999999999E-2</v>
      </c>
      <c r="I235" s="179">
        <v>0</v>
      </c>
      <c r="J235" s="170">
        <v>0</v>
      </c>
      <c r="K235" s="170">
        <v>0</v>
      </c>
      <c r="L235" s="171"/>
      <c r="M235" s="180"/>
      <c r="N235" s="172"/>
      <c r="O235" s="172"/>
    </row>
    <row r="236" spans="1:15" ht="38.25" x14ac:dyDescent="0.2">
      <c r="A236" s="201" t="s">
        <v>811</v>
      </c>
      <c r="B236" s="161">
        <v>833</v>
      </c>
      <c r="C236" s="161" t="s">
        <v>1018</v>
      </c>
      <c r="D236" s="201" t="s">
        <v>811</v>
      </c>
      <c r="E236" s="161">
        <v>733</v>
      </c>
      <c r="F236" s="161" t="s">
        <v>1030</v>
      </c>
      <c r="G236" s="201" t="s">
        <v>811</v>
      </c>
      <c r="H236" s="169">
        <v>6.0999999999999999E-2</v>
      </c>
      <c r="I236" s="179">
        <v>2394.25</v>
      </c>
      <c r="J236" s="170">
        <v>3.53</v>
      </c>
      <c r="K236" s="170">
        <v>3.53</v>
      </c>
      <c r="L236" s="171"/>
      <c r="M236" s="180">
        <v>786.68</v>
      </c>
      <c r="N236" s="172">
        <v>0.05</v>
      </c>
      <c r="O236" s="172">
        <v>0.05</v>
      </c>
    </row>
    <row r="237" spans="1:15" ht="12.75" x14ac:dyDescent="0.2">
      <c r="A237" s="201" t="s">
        <v>958</v>
      </c>
      <c r="B237" s="161">
        <v>582</v>
      </c>
      <c r="C237" s="161">
        <v>1050001109352</v>
      </c>
      <c r="D237" s="201" t="s">
        <v>958</v>
      </c>
      <c r="E237" s="161"/>
      <c r="F237" s="161" t="s">
        <v>984</v>
      </c>
      <c r="G237" s="201" t="s">
        <v>958</v>
      </c>
      <c r="H237" s="169">
        <v>0.40799999999999997</v>
      </c>
      <c r="I237" s="179">
        <v>1970.36</v>
      </c>
      <c r="J237" s="170">
        <v>1.52</v>
      </c>
      <c r="K237" s="170">
        <v>1.52</v>
      </c>
      <c r="L237" s="171">
        <v>-0.56100000000000005</v>
      </c>
      <c r="M237" s="180">
        <v>16590.41</v>
      </c>
      <c r="N237" s="172">
        <v>0.05</v>
      </c>
      <c r="O237" s="172">
        <v>0.05</v>
      </c>
    </row>
    <row r="238" spans="1:15" ht="12.75" x14ac:dyDescent="0.2">
      <c r="A238" s="201" t="s">
        <v>959</v>
      </c>
      <c r="B238" s="161">
        <v>560</v>
      </c>
      <c r="C238" s="161">
        <v>1050001059393</v>
      </c>
      <c r="D238" s="201" t="s">
        <v>959</v>
      </c>
      <c r="E238" s="161">
        <v>679</v>
      </c>
      <c r="F238" s="161">
        <v>1050001059384</v>
      </c>
      <c r="G238" s="201" t="s">
        <v>959</v>
      </c>
      <c r="H238" s="169">
        <v>1.008</v>
      </c>
      <c r="I238" s="179">
        <v>36.450000000000003</v>
      </c>
      <c r="J238" s="170">
        <v>2.11</v>
      </c>
      <c r="K238" s="170">
        <v>2.11</v>
      </c>
      <c r="L238" s="171"/>
      <c r="M238" s="180">
        <v>3867.1</v>
      </c>
      <c r="N238" s="172">
        <v>0.05</v>
      </c>
      <c r="O238" s="172">
        <v>0.05</v>
      </c>
    </row>
    <row r="239" spans="1:15" ht="12.75" x14ac:dyDescent="0.2">
      <c r="A239" s="201" t="s">
        <v>960</v>
      </c>
      <c r="B239" s="161">
        <v>561</v>
      </c>
      <c r="C239" s="161">
        <v>1050000903217</v>
      </c>
      <c r="D239" s="201" t="s">
        <v>960</v>
      </c>
      <c r="E239" s="161">
        <v>680</v>
      </c>
      <c r="F239" s="161">
        <v>1050000903226</v>
      </c>
      <c r="G239" s="201" t="s">
        <v>960</v>
      </c>
      <c r="H239" s="169">
        <v>0.38</v>
      </c>
      <c r="I239" s="179">
        <v>17.28</v>
      </c>
      <c r="J239" s="170">
        <v>4.0999999999999996</v>
      </c>
      <c r="K239" s="170">
        <v>4.0999999999999996</v>
      </c>
      <c r="L239" s="171"/>
      <c r="M239" s="180">
        <v>863.82</v>
      </c>
      <c r="N239" s="172">
        <v>0.05</v>
      </c>
      <c r="O239" s="172">
        <v>0.05</v>
      </c>
    </row>
    <row r="240" spans="1:15" ht="12.75" x14ac:dyDescent="0.2">
      <c r="A240" s="201" t="s">
        <v>961</v>
      </c>
      <c r="B240" s="161">
        <v>583</v>
      </c>
      <c r="C240" s="161">
        <v>1050001078642</v>
      </c>
      <c r="D240" s="201" t="s">
        <v>961</v>
      </c>
      <c r="E240" s="161">
        <v>698</v>
      </c>
      <c r="F240" s="161">
        <v>1050001078651</v>
      </c>
      <c r="G240" s="201" t="s">
        <v>961</v>
      </c>
      <c r="H240" s="169"/>
      <c r="I240" s="179">
        <v>99.31</v>
      </c>
      <c r="J240" s="170">
        <v>1.29</v>
      </c>
      <c r="K240" s="170">
        <v>1.29</v>
      </c>
      <c r="L240" s="171"/>
      <c r="M240" s="180">
        <v>9228.8799999999992</v>
      </c>
      <c r="N240" s="172">
        <v>0.05</v>
      </c>
      <c r="O240" s="172">
        <v>0.05</v>
      </c>
    </row>
    <row r="241" spans="1:15" ht="25.5" x14ac:dyDescent="0.2">
      <c r="A241" s="201" t="s">
        <v>812</v>
      </c>
      <c r="B241" s="161">
        <v>495</v>
      </c>
      <c r="C241" s="161" t="s">
        <v>1019</v>
      </c>
      <c r="D241" s="201"/>
      <c r="E241" s="161"/>
      <c r="F241" s="161"/>
      <c r="G241" s="201" t="s">
        <v>812</v>
      </c>
      <c r="H241" s="169">
        <v>0.25</v>
      </c>
      <c r="I241" s="179">
        <v>179.86</v>
      </c>
      <c r="J241" s="170">
        <v>4.41</v>
      </c>
      <c r="K241" s="170">
        <v>4.41</v>
      </c>
      <c r="L241" s="171"/>
      <c r="M241" s="180"/>
      <c r="N241" s="172"/>
      <c r="O241" s="172"/>
    </row>
    <row r="242" spans="1:15" ht="25.5" x14ac:dyDescent="0.2">
      <c r="A242" s="201" t="s">
        <v>813</v>
      </c>
      <c r="B242" s="161">
        <v>496</v>
      </c>
      <c r="C242" s="161" t="s">
        <v>1020</v>
      </c>
      <c r="D242" s="201"/>
      <c r="E242" s="161"/>
      <c r="F242" s="161"/>
      <c r="G242" s="201" t="s">
        <v>813</v>
      </c>
      <c r="H242" s="169">
        <v>0.17299999999999999</v>
      </c>
      <c r="I242" s="179">
        <v>5522.69</v>
      </c>
      <c r="J242" s="170">
        <v>1.21</v>
      </c>
      <c r="K242" s="170">
        <v>1.21</v>
      </c>
      <c r="L242" s="171"/>
      <c r="M242" s="180"/>
      <c r="N242" s="172"/>
      <c r="O242" s="172"/>
    </row>
    <row r="243" spans="1:15" ht="12.75" x14ac:dyDescent="0.2">
      <c r="A243" s="201" t="s">
        <v>962</v>
      </c>
      <c r="B243" s="161">
        <v>584</v>
      </c>
      <c r="C243" s="161">
        <v>1050001052193</v>
      </c>
      <c r="D243" s="201" t="s">
        <v>962</v>
      </c>
      <c r="E243" s="161">
        <v>699</v>
      </c>
      <c r="F243" s="161">
        <v>1050001052184</v>
      </c>
      <c r="G243" s="201" t="s">
        <v>962</v>
      </c>
      <c r="H243" s="169">
        <v>0.252</v>
      </c>
      <c r="I243" s="179">
        <v>6.29</v>
      </c>
      <c r="J243" s="170">
        <v>2.35</v>
      </c>
      <c r="K243" s="170">
        <v>2.35</v>
      </c>
      <c r="L243" s="171">
        <v>-0.32</v>
      </c>
      <c r="M243" s="180">
        <v>251.69</v>
      </c>
      <c r="N243" s="172">
        <v>0.05</v>
      </c>
      <c r="O243" s="172">
        <v>0.05</v>
      </c>
    </row>
    <row r="244" spans="1:15" ht="12.75" x14ac:dyDescent="0.2">
      <c r="A244" s="201" t="s">
        <v>963</v>
      </c>
      <c r="B244" s="161">
        <v>562</v>
      </c>
      <c r="C244" s="161">
        <v>1050000996141</v>
      </c>
      <c r="D244" s="201" t="s">
        <v>963</v>
      </c>
      <c r="E244" s="161">
        <v>681</v>
      </c>
      <c r="F244" s="161">
        <v>1050000996150</v>
      </c>
      <c r="G244" s="201" t="s">
        <v>963</v>
      </c>
      <c r="H244" s="169"/>
      <c r="I244" s="179">
        <v>54.62</v>
      </c>
      <c r="J244" s="170">
        <v>4.16</v>
      </c>
      <c r="K244" s="170">
        <v>4.16</v>
      </c>
      <c r="L244" s="171"/>
      <c r="M244" s="180">
        <v>21846.87</v>
      </c>
      <c r="N244" s="172">
        <v>0.05</v>
      </c>
      <c r="O244" s="172">
        <v>0.05</v>
      </c>
    </row>
    <row r="245" spans="1:15" ht="51" x14ac:dyDescent="0.2">
      <c r="A245" s="201" t="s">
        <v>814</v>
      </c>
      <c r="B245" s="161">
        <v>497</v>
      </c>
      <c r="C245" s="161" t="s">
        <v>1021</v>
      </c>
      <c r="D245" s="201"/>
      <c r="E245" s="161"/>
      <c r="F245" s="161"/>
      <c r="G245" s="201" t="s">
        <v>814</v>
      </c>
      <c r="H245" s="169">
        <v>0.94199999999999995</v>
      </c>
      <c r="I245" s="179">
        <v>4797.4399999999996</v>
      </c>
      <c r="J245" s="170">
        <v>4.43</v>
      </c>
      <c r="K245" s="170">
        <v>4.43</v>
      </c>
      <c r="L245" s="171"/>
      <c r="M245" s="180"/>
      <c r="N245" s="172"/>
      <c r="O245" s="172"/>
    </row>
    <row r="246" spans="1:15" ht="12.75" x14ac:dyDescent="0.2">
      <c r="A246" s="201" t="s">
        <v>964</v>
      </c>
      <c r="B246" s="161">
        <v>501</v>
      </c>
      <c r="C246" s="161">
        <v>1050000529637</v>
      </c>
      <c r="D246" s="201" t="s">
        <v>964</v>
      </c>
      <c r="E246" s="161">
        <v>779</v>
      </c>
      <c r="F246" s="161">
        <v>1050000529664</v>
      </c>
      <c r="G246" s="201" t="s">
        <v>964</v>
      </c>
      <c r="H246" s="169">
        <v>8.4000000000000005E-2</v>
      </c>
      <c r="I246" s="179">
        <v>16.25</v>
      </c>
      <c r="J246" s="170">
        <v>3.48</v>
      </c>
      <c r="K246" s="170">
        <v>3.48</v>
      </c>
      <c r="L246" s="171"/>
      <c r="M246" s="180">
        <v>893.74</v>
      </c>
      <c r="N246" s="172">
        <v>0.05</v>
      </c>
      <c r="O246" s="172">
        <v>0.05</v>
      </c>
    </row>
    <row r="247" spans="1:15" ht="25.5" x14ac:dyDescent="0.2">
      <c r="A247" s="201" t="s">
        <v>815</v>
      </c>
      <c r="B247" s="161">
        <v>498</v>
      </c>
      <c r="C247" s="161" t="s">
        <v>1022</v>
      </c>
      <c r="D247" s="201"/>
      <c r="E247" s="161"/>
      <c r="F247" s="161"/>
      <c r="G247" s="201" t="s">
        <v>815</v>
      </c>
      <c r="H247" s="169">
        <v>2.9000000000000001E-2</v>
      </c>
      <c r="I247" s="179">
        <v>4972.3100000000004</v>
      </c>
      <c r="J247" s="170">
        <v>6.17</v>
      </c>
      <c r="K247" s="170">
        <v>6.17</v>
      </c>
      <c r="L247" s="171"/>
      <c r="M247" s="180"/>
      <c r="N247" s="172"/>
      <c r="O247" s="172"/>
    </row>
    <row r="248" spans="1:15" ht="12.75" x14ac:dyDescent="0.2">
      <c r="A248" s="201" t="s">
        <v>965</v>
      </c>
      <c r="B248" s="161">
        <v>867</v>
      </c>
      <c r="C248" s="161">
        <v>1030078016464</v>
      </c>
      <c r="D248" s="201" t="s">
        <v>965</v>
      </c>
      <c r="E248" s="161">
        <v>742</v>
      </c>
      <c r="F248" s="161">
        <v>1030078016924</v>
      </c>
      <c r="G248" s="201" t="s">
        <v>965</v>
      </c>
      <c r="H248" s="169"/>
      <c r="I248" s="179">
        <v>4.03</v>
      </c>
      <c r="J248" s="170">
        <v>2.25</v>
      </c>
      <c r="K248" s="170">
        <v>2.25</v>
      </c>
      <c r="L248" s="171"/>
      <c r="M248" s="180">
        <v>669.15</v>
      </c>
      <c r="N248" s="172">
        <v>0.05</v>
      </c>
      <c r="O248" s="172">
        <v>0.05</v>
      </c>
    </row>
    <row r="249" spans="1:15" ht="12.75" x14ac:dyDescent="0.2">
      <c r="A249" s="201" t="s">
        <v>966</v>
      </c>
      <c r="B249" s="161">
        <v>430</v>
      </c>
      <c r="C249" s="161">
        <v>1030078016696</v>
      </c>
      <c r="D249" s="201" t="s">
        <v>966</v>
      </c>
      <c r="E249" s="161">
        <v>650</v>
      </c>
      <c r="F249" s="161">
        <v>1030078017157</v>
      </c>
      <c r="G249" s="201" t="s">
        <v>966</v>
      </c>
      <c r="H249" s="169">
        <v>3.6999999999999998E-2</v>
      </c>
      <c r="I249" s="179">
        <v>4.71</v>
      </c>
      <c r="J249" s="170">
        <v>1.49</v>
      </c>
      <c r="K249" s="170">
        <v>1.49</v>
      </c>
      <c r="L249" s="171"/>
      <c r="M249" s="180">
        <v>666.91</v>
      </c>
      <c r="N249" s="172">
        <v>0.05</v>
      </c>
      <c r="O249" s="172">
        <v>0.05</v>
      </c>
    </row>
    <row r="250" spans="1:15" ht="12.75" x14ac:dyDescent="0.2">
      <c r="A250" s="201" t="s">
        <v>967</v>
      </c>
      <c r="B250" s="161">
        <v>868</v>
      </c>
      <c r="C250" s="161">
        <v>1030079196591</v>
      </c>
      <c r="D250" s="201" t="s">
        <v>967</v>
      </c>
      <c r="E250" s="161">
        <v>743</v>
      </c>
      <c r="F250" s="161">
        <v>1030079196820</v>
      </c>
      <c r="G250" s="201" t="s">
        <v>967</v>
      </c>
      <c r="H250" s="169"/>
      <c r="I250" s="179">
        <v>79.8</v>
      </c>
      <c r="J250" s="170">
        <v>1.48</v>
      </c>
      <c r="K250" s="170">
        <v>1.48</v>
      </c>
      <c r="L250" s="171"/>
      <c r="M250" s="180">
        <v>2942.66</v>
      </c>
      <c r="N250" s="172">
        <v>0.05</v>
      </c>
      <c r="O250" s="172">
        <v>0.05</v>
      </c>
    </row>
    <row r="251" spans="1:15" ht="12.75" x14ac:dyDescent="0.2">
      <c r="A251" s="201" t="s">
        <v>968</v>
      </c>
      <c r="B251" s="161">
        <v>529</v>
      </c>
      <c r="C251" s="161">
        <v>1050000769145</v>
      </c>
      <c r="D251" s="201" t="s">
        <v>968</v>
      </c>
      <c r="E251" s="161">
        <v>461</v>
      </c>
      <c r="F251" s="161">
        <v>1050000769154</v>
      </c>
      <c r="G251" s="201" t="s">
        <v>968</v>
      </c>
      <c r="H251" s="169">
        <v>0.183</v>
      </c>
      <c r="I251" s="179">
        <v>12.86</v>
      </c>
      <c r="J251" s="170">
        <v>2.62</v>
      </c>
      <c r="K251" s="170">
        <v>2.62</v>
      </c>
      <c r="L251" s="171"/>
      <c r="M251" s="180">
        <v>1285.52</v>
      </c>
      <c r="N251" s="172">
        <v>0.05</v>
      </c>
      <c r="O251" s="172">
        <v>0.05</v>
      </c>
    </row>
    <row r="252" spans="1:15" ht="12.75" x14ac:dyDescent="0.2">
      <c r="A252" s="201" t="s">
        <v>816</v>
      </c>
      <c r="B252" s="161">
        <v>819</v>
      </c>
      <c r="C252" s="161">
        <v>1030027859903</v>
      </c>
      <c r="D252" s="201"/>
      <c r="E252" s="161"/>
      <c r="F252" s="161"/>
      <c r="G252" s="201" t="s">
        <v>816</v>
      </c>
      <c r="H252" s="169"/>
      <c r="I252" s="179">
        <v>1191.24</v>
      </c>
      <c r="J252" s="170">
        <v>2.0499999999999998</v>
      </c>
      <c r="K252" s="170">
        <v>2.0499999999999998</v>
      </c>
      <c r="L252" s="171"/>
      <c r="M252" s="180"/>
      <c r="N252" s="172"/>
      <c r="O252" s="172"/>
    </row>
    <row r="253" spans="1:15" ht="12.75" x14ac:dyDescent="0.2">
      <c r="A253" s="201" t="s">
        <v>969</v>
      </c>
      <c r="B253" s="161">
        <v>530</v>
      </c>
      <c r="C253" s="161">
        <v>1050000714155</v>
      </c>
      <c r="D253" s="201" t="s">
        <v>969</v>
      </c>
      <c r="E253" s="161">
        <v>462</v>
      </c>
      <c r="F253" s="161">
        <v>1050000714164</v>
      </c>
      <c r="G253" s="201" t="s">
        <v>969</v>
      </c>
      <c r="H253" s="169">
        <v>0.127</v>
      </c>
      <c r="I253" s="179">
        <v>9.5399999999999991</v>
      </c>
      <c r="J253" s="170">
        <v>10.050000000000001</v>
      </c>
      <c r="K253" s="170">
        <v>10.050000000000001</v>
      </c>
      <c r="L253" s="171"/>
      <c r="M253" s="180">
        <v>5722.43</v>
      </c>
      <c r="N253" s="172">
        <v>0.05</v>
      </c>
      <c r="O253" s="172">
        <v>0.05</v>
      </c>
    </row>
    <row r="254" spans="1:15" ht="12.75" x14ac:dyDescent="0.2">
      <c r="A254" s="201" t="s">
        <v>970</v>
      </c>
      <c r="B254" s="161">
        <v>532</v>
      </c>
      <c r="C254" s="161">
        <v>1050000555920</v>
      </c>
      <c r="D254" s="201" t="s">
        <v>970</v>
      </c>
      <c r="E254" s="161">
        <v>464</v>
      </c>
      <c r="F254" s="161">
        <v>1050000555910</v>
      </c>
      <c r="G254" s="201" t="s">
        <v>970</v>
      </c>
      <c r="H254" s="169">
        <v>0.47299999999999998</v>
      </c>
      <c r="I254" s="179">
        <v>56.72</v>
      </c>
      <c r="J254" s="170">
        <v>4.9000000000000004</v>
      </c>
      <c r="K254" s="170">
        <v>4.9000000000000004</v>
      </c>
      <c r="L254" s="171"/>
      <c r="M254" s="180">
        <v>5672.43</v>
      </c>
      <c r="N254" s="172">
        <v>0.05</v>
      </c>
      <c r="O254" s="172">
        <v>0.05</v>
      </c>
    </row>
    <row r="255" spans="1:15" ht="12.75" x14ac:dyDescent="0.2">
      <c r="A255" s="201" t="s">
        <v>971</v>
      </c>
      <c r="B255" s="161">
        <v>839</v>
      </c>
      <c r="C255" s="161">
        <v>1023479303448</v>
      </c>
      <c r="D255" s="201"/>
      <c r="E255" s="161"/>
      <c r="F255" s="161"/>
      <c r="G255" s="201" t="s">
        <v>971</v>
      </c>
      <c r="H255" s="169">
        <v>8.9999999999999993E-3</v>
      </c>
      <c r="I255" s="179">
        <v>96.51</v>
      </c>
      <c r="J255" s="170">
        <v>1.1599999999999999</v>
      </c>
      <c r="K255" s="170">
        <v>1.1599999999999999</v>
      </c>
      <c r="L255" s="171"/>
      <c r="M255" s="180"/>
      <c r="N255" s="172"/>
      <c r="O255" s="172"/>
    </row>
    <row r="256" spans="1:15" ht="12.75" x14ac:dyDescent="0.2">
      <c r="A256" s="201" t="s">
        <v>972</v>
      </c>
      <c r="B256" s="161">
        <v>563</v>
      </c>
      <c r="C256" s="161">
        <v>1050000948110</v>
      </c>
      <c r="D256" s="201" t="s">
        <v>972</v>
      </c>
      <c r="E256" s="161">
        <v>682</v>
      </c>
      <c r="F256" s="161">
        <v>1050000948120</v>
      </c>
      <c r="G256" s="201" t="s">
        <v>972</v>
      </c>
      <c r="H256" s="169"/>
      <c r="I256" s="179">
        <v>22.45</v>
      </c>
      <c r="J256" s="170">
        <v>1.77</v>
      </c>
      <c r="K256" s="170">
        <v>1.77</v>
      </c>
      <c r="L256" s="171"/>
      <c r="M256" s="180">
        <v>5838.21</v>
      </c>
      <c r="N256" s="172">
        <v>0.05</v>
      </c>
      <c r="O256" s="172">
        <v>0.05</v>
      </c>
    </row>
    <row r="257" spans="1:15" ht="12.75" x14ac:dyDescent="0.2">
      <c r="A257" s="201" t="s">
        <v>973</v>
      </c>
      <c r="B257" s="161">
        <v>531</v>
      </c>
      <c r="C257" s="161">
        <v>1050000650690</v>
      </c>
      <c r="D257" s="201" t="s">
        <v>973</v>
      </c>
      <c r="E257" s="161">
        <v>463</v>
      </c>
      <c r="F257" s="161">
        <v>1050000650680</v>
      </c>
      <c r="G257" s="201" t="s">
        <v>973</v>
      </c>
      <c r="H257" s="169">
        <v>0.47099999999999997</v>
      </c>
      <c r="I257" s="179">
        <v>8.5</v>
      </c>
      <c r="J257" s="170">
        <v>7.73</v>
      </c>
      <c r="K257" s="170">
        <v>7.73</v>
      </c>
      <c r="L257" s="171"/>
      <c r="M257" s="180">
        <v>679.61</v>
      </c>
      <c r="N257" s="172">
        <v>0.05</v>
      </c>
      <c r="O257" s="172">
        <v>0.05</v>
      </c>
    </row>
    <row r="258" spans="1:15" ht="12.75" x14ac:dyDescent="0.2">
      <c r="A258" s="201" t="s">
        <v>974</v>
      </c>
      <c r="B258" s="161">
        <v>538</v>
      </c>
      <c r="C258" s="161">
        <v>1050000811596</v>
      </c>
      <c r="D258" s="201" t="s">
        <v>974</v>
      </c>
      <c r="E258" s="161">
        <v>471</v>
      </c>
      <c r="F258" s="161">
        <v>1050000811601</v>
      </c>
      <c r="G258" s="201" t="s">
        <v>974</v>
      </c>
      <c r="H258" s="169">
        <v>8.4000000000000005E-2</v>
      </c>
      <c r="I258" s="179">
        <v>9.75</v>
      </c>
      <c r="J258" s="170">
        <v>3.98</v>
      </c>
      <c r="K258" s="170">
        <v>3.98</v>
      </c>
      <c r="L258" s="171"/>
      <c r="M258" s="180">
        <v>714.86</v>
      </c>
      <c r="N258" s="172">
        <v>0.05</v>
      </c>
      <c r="O258" s="172">
        <v>0.05</v>
      </c>
    </row>
    <row r="259" spans="1:15" ht="12.75" x14ac:dyDescent="0.2">
      <c r="A259" s="201" t="s">
        <v>975</v>
      </c>
      <c r="B259" s="161">
        <v>533</v>
      </c>
      <c r="C259" s="161">
        <v>1050000769163</v>
      </c>
      <c r="D259" s="201" t="s">
        <v>975</v>
      </c>
      <c r="E259" s="161">
        <v>465</v>
      </c>
      <c r="F259" s="161">
        <v>1050000769172</v>
      </c>
      <c r="G259" s="201" t="s">
        <v>975</v>
      </c>
      <c r="H259" s="169"/>
      <c r="I259" s="179">
        <v>6.92</v>
      </c>
      <c r="J259" s="170">
        <v>3.39</v>
      </c>
      <c r="K259" s="170">
        <v>3.39</v>
      </c>
      <c r="L259" s="171"/>
      <c r="M259" s="180">
        <v>691.62</v>
      </c>
      <c r="N259" s="172">
        <v>0.05</v>
      </c>
      <c r="O259" s="172">
        <v>0.05</v>
      </c>
    </row>
    <row r="260" spans="1:15" ht="25.5" x14ac:dyDescent="0.2">
      <c r="A260" s="201" t="s">
        <v>817</v>
      </c>
      <c r="B260" s="161">
        <v>863</v>
      </c>
      <c r="C260" s="161" t="s">
        <v>1023</v>
      </c>
      <c r="D260" s="201"/>
      <c r="E260" s="161"/>
      <c r="F260" s="161"/>
      <c r="G260" s="201" t="s">
        <v>817</v>
      </c>
      <c r="H260" s="169"/>
      <c r="I260" s="179">
        <v>20051.48</v>
      </c>
      <c r="J260" s="170">
        <v>5</v>
      </c>
      <c r="K260" s="170">
        <v>5</v>
      </c>
      <c r="L260" s="171"/>
      <c r="M260" s="180"/>
      <c r="N260" s="172"/>
      <c r="O260" s="172"/>
    </row>
  </sheetData>
  <sortState xmlns:xlrd2="http://schemas.microsoft.com/office/spreadsheetml/2017/richdata2" ref="A10:O259">
    <sortCondition ref="A10"/>
  </sortState>
  <mergeCells count="10">
    <mergeCell ref="D6:F6"/>
    <mergeCell ref="D7:F7"/>
    <mergeCell ref="A5:C5"/>
    <mergeCell ref="A6:C6"/>
    <mergeCell ref="A7:C7"/>
    <mergeCell ref="A4:F4"/>
    <mergeCell ref="D5:F5"/>
    <mergeCell ref="F1:O1"/>
    <mergeCell ref="A2:O2"/>
    <mergeCell ref="C1:D1"/>
  </mergeCells>
  <hyperlinks>
    <hyperlink ref="A1" location="Overview!A1" display="Back to Overview" xr:uid="{00000000-0004-0000-0200-000000000000}"/>
  </hyperlinks>
  <pageMargins left="0.25" right="0.25" top="0.75" bottom="0.75" header="0.3" footer="0.3"/>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9"/>
  <sheetViews>
    <sheetView zoomScale="90" zoomScaleNormal="90" zoomScaleSheetLayoutView="100" workbookViewId="0">
      <selection sqref="A1:H1"/>
    </sheetView>
  </sheetViews>
  <sheetFormatPr defaultRowHeight="12.75" x14ac:dyDescent="0.2"/>
  <cols>
    <col min="1" max="1" width="14.7109375" style="46" customWidth="1"/>
    <col min="2" max="2" width="8.7109375" style="46" customWidth="1"/>
    <col min="3" max="3" width="16.7109375" style="52" customWidth="1"/>
    <col min="4" max="4" width="50.7109375" style="52" customWidth="1"/>
    <col min="5" max="5" width="14.7109375" style="53" customWidth="1"/>
    <col min="6" max="7" width="14.7109375" style="54" customWidth="1"/>
    <col min="8" max="8" width="14.7109375" style="46" customWidth="1"/>
    <col min="9" max="9" width="15.5703125" style="46" customWidth="1"/>
    <col min="10" max="13" width="9.140625" style="46"/>
    <col min="14" max="14" width="9.42578125" style="46" bestFit="1" customWidth="1"/>
    <col min="15" max="16384" width="9.140625" style="46"/>
  </cols>
  <sheetData>
    <row r="1" spans="1:14" ht="66.75" customHeight="1" x14ac:dyDescent="0.2">
      <c r="A1" s="249" t="s">
        <v>509</v>
      </c>
      <c r="B1" s="249"/>
      <c r="C1" s="249"/>
      <c r="D1" s="249"/>
      <c r="E1" s="249"/>
      <c r="F1" s="249"/>
      <c r="G1" s="249"/>
      <c r="H1" s="249"/>
    </row>
    <row r="2" spans="1:14" s="47" customFormat="1" ht="25.5" customHeight="1" x14ac:dyDescent="0.2">
      <c r="A2" s="259" t="str">
        <f>Overview!B4&amp; " - Effective from "&amp;Overview!D4&amp;" - "&amp;Overview!E4&amp;" EDCM import charges"</f>
        <v>Eastern Power Networks - Effective from 1 April 2020 - Final EDCM import charges</v>
      </c>
      <c r="B2" s="260"/>
      <c r="C2" s="260"/>
      <c r="D2" s="260"/>
      <c r="E2" s="260"/>
      <c r="F2" s="260"/>
      <c r="G2" s="260"/>
      <c r="H2" s="261"/>
    </row>
    <row r="3" spans="1:14" s="78" customFormat="1" ht="18" x14ac:dyDescent="0.2">
      <c r="A3" s="84"/>
      <c r="B3" s="84"/>
      <c r="C3" s="84"/>
      <c r="D3" s="85"/>
      <c r="E3" s="86"/>
      <c r="F3" s="86"/>
      <c r="G3" s="87"/>
      <c r="H3" s="87"/>
      <c r="I3" s="75"/>
      <c r="J3" s="75"/>
      <c r="K3" s="75"/>
      <c r="L3" s="75"/>
      <c r="M3" s="75"/>
      <c r="N3" s="75"/>
    </row>
    <row r="4" spans="1:14" ht="60.75" customHeight="1" x14ac:dyDescent="0.2">
      <c r="A4" s="48" t="s">
        <v>480</v>
      </c>
      <c r="B4" s="49" t="s">
        <v>468</v>
      </c>
      <c r="C4" s="48" t="s">
        <v>469</v>
      </c>
      <c r="D4" s="50" t="s">
        <v>179</v>
      </c>
      <c r="E4" s="130" t="str">
        <f>'Annex 2 EHV charges'!H9</f>
        <v>Import
Super Red
unit charge
(p/kWh)</v>
      </c>
      <c r="F4" s="130" t="str">
        <f>'Annex 2 EHV charges'!I9</f>
        <v>Import
fixed charge
(p/day)</v>
      </c>
      <c r="G4" s="130" t="str">
        <f>'Annex 2 EHV charges'!J9</f>
        <v>Import
capacity charge
(p/kVA/day)</v>
      </c>
      <c r="H4" s="130" t="str">
        <f>'Annex 2 EHV charges'!K9</f>
        <v>Import
exceeded capacity charge
(p/kVA/day)</v>
      </c>
    </row>
    <row r="5" spans="1:14" ht="12.75" customHeight="1" x14ac:dyDescent="0.2">
      <c r="A5" s="93" t="str">
        <f t="array" ref="A5">IFERROR(INDEX('Annex 2 EHV charges'!$A$10:$A$301, MATCH(0, IF(ISBLANK('Annex 2 EHV charges'!$A$10:$A$301),1, COUNTIF(A$4:$A4, 'Annex 2 EHV charges'!$A$10:$A$301)), 0)),"")</f>
        <v>3VALSW</v>
      </c>
      <c r="B5" s="93">
        <f>IF($A5="","",VLOOKUP($A5,'Annex 2 EHV charges'!$A:$O,2,0))</f>
        <v>585</v>
      </c>
      <c r="C5" s="94">
        <f>IF($A5="","",VLOOKUP($A5,'Annex 2 EHV charges'!$A:$O,3,0))</f>
        <v>1014569699836</v>
      </c>
      <c r="D5" s="93" t="str">
        <f>IF($A5="","",VLOOKUP($A5,'Annex 2 EHV charges'!$A:$O,7,0))</f>
        <v>3VALSW</v>
      </c>
      <c r="E5" s="173" t="str">
        <f>IFERROR(IF(VLOOKUP($A5,'Annex 2 EHV charges'!$A:$O,8,FALSE)=0,"",VLOOKUP($A5,'Annex 2 EHV charges'!$A:$O,8,FALSE)),"")</f>
        <v/>
      </c>
      <c r="F5" s="175">
        <f>IFERROR(IF(VLOOKUP($A5,'Annex 2 EHV charges'!$A:$O,9,FALSE)=0,"",VLOOKUP($A5,'Annex 2 EHV charges'!$A:$O,9,FALSE)),"")</f>
        <v>2914.69</v>
      </c>
      <c r="G5" s="174">
        <f>IFERROR(IF(VLOOKUP($A5,'Annex 2 EHV charges'!$A:$O,10,FALSE)=0,"",VLOOKUP($A5,'Annex 2 EHV charges'!$A:$O,10,FALSE)),"")</f>
        <v>5.3</v>
      </c>
      <c r="H5" s="174">
        <f>IFERROR(IF(VLOOKUP($A5,'Annex 2 EHV charges'!$A:$O,11,FALSE)=0,"",VLOOKUP($A5,'Annex 2 EHV charges'!$A:$O,11,FALSE)),"")</f>
        <v>5.3</v>
      </c>
    </row>
    <row r="6" spans="1:14" ht="12.75" customHeight="1" x14ac:dyDescent="0.2">
      <c r="A6" s="93" t="str">
        <f t="array" ref="A6">IFERROR(INDEX('Annex 2 EHV charges'!$A$10:$A$301, MATCH(0, IF(ISBLANK('Annex 2 EHV charges'!$A$10:$A$301),1, COUNTIF(A$4:$A5, 'Annex 2 EHV charges'!$A$10:$A$301)), 0)),"")</f>
        <v>ABSRSF</v>
      </c>
      <c r="B6" s="93">
        <f>IF($A6="","",VLOOKUP($A6,'Annex 2 EHV charges'!$A:$O,2,0))</f>
        <v>869</v>
      </c>
      <c r="C6" s="94">
        <f>IF($A6="","",VLOOKUP($A6,'Annex 2 EHV charges'!$A:$O,3,0))</f>
        <v>1050000574685</v>
      </c>
      <c r="D6" s="93" t="str">
        <f>IF($A6="","",VLOOKUP($A6,'Annex 2 EHV charges'!$A:$O,7,0))</f>
        <v>ABSRSF</v>
      </c>
      <c r="E6" s="173">
        <f>IFERROR(IF(VLOOKUP($A6,'Annex 2 EHV charges'!$A:$O,8,FALSE)=0,"",VLOOKUP($A6,'Annex 2 EHV charges'!$A:$O,8,FALSE)),"")</f>
        <v>0.17299999999999999</v>
      </c>
      <c r="F6" s="175">
        <f>IFERROR(IF(VLOOKUP($A6,'Annex 2 EHV charges'!$A:$O,9,FALSE)=0,"",VLOOKUP($A6,'Annex 2 EHV charges'!$A:$O,9,FALSE)),"")</f>
        <v>18.399999999999999</v>
      </c>
      <c r="G6" s="174">
        <f>IFERROR(IF(VLOOKUP($A6,'Annex 2 EHV charges'!$A:$O,10,FALSE)=0,"",VLOOKUP($A6,'Annex 2 EHV charges'!$A:$O,10,FALSE)),"")</f>
        <v>1.73</v>
      </c>
      <c r="H6" s="174">
        <f>IFERROR(IF(VLOOKUP($A6,'Annex 2 EHV charges'!$A:$O,11,FALSE)=0,"",VLOOKUP($A6,'Annex 2 EHV charges'!$A:$O,11,FALSE)),"")</f>
        <v>1.73</v>
      </c>
    </row>
    <row r="7" spans="1:14" ht="12.75" customHeight="1" x14ac:dyDescent="0.2">
      <c r="A7" s="93" t="str">
        <f t="array" ref="A7">IFERROR(INDEX('Annex 2 EHV charges'!$A$10:$A$301, MATCH(0, IF(ISBLANK('Annex 2 EHV charges'!$A$10:$A$301),1, COUNTIF(A$4:$A6, 'Annex 2 EHV charges'!$A$10:$A$301)), 0)),"")</f>
        <v>ADBRKS</v>
      </c>
      <c r="B7" s="93">
        <f>IF($A7="","",VLOOKUP($A7,'Annex 2 EHV charges'!$A:$O,2,0))</f>
        <v>586</v>
      </c>
      <c r="C7" s="94">
        <f>IF($A7="","",VLOOKUP($A7,'Annex 2 EHV charges'!$A:$O,3,0))</f>
        <v>1023529546480</v>
      </c>
      <c r="D7" s="93" t="str">
        <f>IF($A7="","",VLOOKUP($A7,'Annex 2 EHV charges'!$A:$O,7,0))</f>
        <v>ADBRKS</v>
      </c>
      <c r="E7" s="173">
        <f>IFERROR(IF(VLOOKUP($A7,'Annex 2 EHV charges'!$A:$O,8,FALSE)=0,"",VLOOKUP($A7,'Annex 2 EHV charges'!$A:$O,8,FALSE)),"")</f>
        <v>0.16200000000000001</v>
      </c>
      <c r="F7" s="175">
        <f>IFERROR(IF(VLOOKUP($A7,'Annex 2 EHV charges'!$A:$O,9,FALSE)=0,"",VLOOKUP($A7,'Annex 2 EHV charges'!$A:$O,9,FALSE)),"")</f>
        <v>3094.55</v>
      </c>
      <c r="G7" s="174">
        <f>IFERROR(IF(VLOOKUP($A7,'Annex 2 EHV charges'!$A:$O,10,FALSE)=0,"",VLOOKUP($A7,'Annex 2 EHV charges'!$A:$O,10,FALSE)),"")</f>
        <v>3.51</v>
      </c>
      <c r="H7" s="174">
        <f>IFERROR(IF(VLOOKUP($A7,'Annex 2 EHV charges'!$A:$O,11,FALSE)=0,"",VLOOKUP($A7,'Annex 2 EHV charges'!$A:$O,11,FALSE)),"")</f>
        <v>3.51</v>
      </c>
    </row>
    <row r="8" spans="1:14" ht="12.75" customHeight="1" x14ac:dyDescent="0.2">
      <c r="A8" s="93" t="str">
        <f t="array" ref="A8">IFERROR(INDEX('Annex 2 EHV charges'!$A$10:$A$301, MATCH(0, IF(ISBLANK('Annex 2 EHV charges'!$A$10:$A$301),1, COUNTIF(A$4:$A7, 'Annex 2 EHV charges'!$A$10:$A$301)), 0)),"")</f>
        <v>AIAMAN</v>
      </c>
      <c r="B8" s="93">
        <f>IF($A8="","",VLOOKUP($A8,'Annex 2 EHV charges'!$A:$O,2,0))</f>
        <v>499</v>
      </c>
      <c r="C8" s="94">
        <f>IF($A8="","",VLOOKUP($A8,'Annex 2 EHV charges'!$A:$O,3,0))</f>
        <v>1014569292506</v>
      </c>
      <c r="D8" s="93" t="str">
        <f>IF($A8="","",VLOOKUP($A8,'Annex 2 EHV charges'!$A:$O,7,0))</f>
        <v>AIAMAN</v>
      </c>
      <c r="E8" s="173">
        <f>IFERROR(IF(VLOOKUP($A8,'Annex 2 EHV charges'!$A:$O,8,FALSE)=0,"",VLOOKUP($A8,'Annex 2 EHV charges'!$A:$O,8,FALSE)),"")</f>
        <v>0.65200000000000002</v>
      </c>
      <c r="F8" s="175">
        <f>IFERROR(IF(VLOOKUP($A8,'Annex 2 EHV charges'!$A:$O,9,FALSE)=0,"",VLOOKUP($A8,'Annex 2 EHV charges'!$A:$O,9,FALSE)),"")</f>
        <v>8.56</v>
      </c>
      <c r="G8" s="174">
        <f>IFERROR(IF(VLOOKUP($A8,'Annex 2 EHV charges'!$A:$O,10,FALSE)=0,"",VLOOKUP($A8,'Annex 2 EHV charges'!$A:$O,10,FALSE)),"")</f>
        <v>8.9</v>
      </c>
      <c r="H8" s="174">
        <f>IFERROR(IF(VLOOKUP($A8,'Annex 2 EHV charges'!$A:$O,11,FALSE)=0,"",VLOOKUP($A8,'Annex 2 EHV charges'!$A:$O,11,FALSE)),"")</f>
        <v>8.9</v>
      </c>
    </row>
    <row r="9" spans="1:14" ht="12.75" customHeight="1" x14ac:dyDescent="0.2">
      <c r="A9" s="93" t="str">
        <f t="array" ref="A9">IFERROR(INDEX('Annex 2 EHV charges'!$A$10:$A$301, MATCH(0, IF(ISBLANK('Annex 2 EHV charges'!$A$10:$A$301),1, COUNTIF(A$4:$A8, 'Annex 2 EHV charges'!$A$10:$A$301)), 0)),"")</f>
        <v>ALCORG</v>
      </c>
      <c r="B9" s="93">
        <f>IF($A9="","",VLOOKUP($A9,'Annex 2 EHV charges'!$A:$O,2,0))</f>
        <v>300</v>
      </c>
      <c r="C9" s="94">
        <f>IF($A9="","",VLOOKUP($A9,'Annex 2 EHV charges'!$A:$O,3,0))</f>
        <v>1050001015545</v>
      </c>
      <c r="D9" s="93" t="str">
        <f>IF($A9="","",VLOOKUP($A9,'Annex 2 EHV charges'!$A:$O,7,0))</f>
        <v>ALCORG</v>
      </c>
      <c r="E9" s="173" t="str">
        <f>IFERROR(IF(VLOOKUP($A9,'Annex 2 EHV charges'!$A:$O,8,FALSE)=0,"",VLOOKUP($A9,'Annex 2 EHV charges'!$A:$O,8,FALSE)),"")</f>
        <v/>
      </c>
      <c r="F9" s="175">
        <f>IFERROR(IF(VLOOKUP($A9,'Annex 2 EHV charges'!$A:$O,9,FALSE)=0,"",VLOOKUP($A9,'Annex 2 EHV charges'!$A:$O,9,FALSE)),"")</f>
        <v>5.1100000000000003</v>
      </c>
      <c r="G9" s="174">
        <f>IFERROR(IF(VLOOKUP($A9,'Annex 2 EHV charges'!$A:$O,10,FALSE)=0,"",VLOOKUP($A9,'Annex 2 EHV charges'!$A:$O,10,FALSE)),"")</f>
        <v>2.2599999999999998</v>
      </c>
      <c r="H9" s="174">
        <f>IFERROR(IF(VLOOKUP($A9,'Annex 2 EHV charges'!$A:$O,11,FALSE)=0,"",VLOOKUP($A9,'Annex 2 EHV charges'!$A:$O,11,FALSE)),"")</f>
        <v>2.2599999999999998</v>
      </c>
    </row>
    <row r="10" spans="1:14" ht="12.75" customHeight="1" x14ac:dyDescent="0.2">
      <c r="A10" s="93" t="str">
        <f t="array" ref="A10">IFERROR(INDEX('Annex 2 EHV charges'!$A$10:$A$301, MATCH(0, IF(ISBLANK('Annex 2 EHV charges'!$A$10:$A$301),1, COUNTIF(A$4:$A9, 'Annex 2 EHV charges'!$A$10:$A$301)), 0)),"")</f>
        <v>ARAMAN</v>
      </c>
      <c r="B10" s="93">
        <f>IF($A10="","",VLOOKUP($A10,'Annex 2 EHV charges'!$A:$O,2,0))</f>
        <v>800</v>
      </c>
      <c r="C10" s="94">
        <f>IF($A10="","",VLOOKUP($A10,'Annex 2 EHV charges'!$A:$O,3,0))</f>
        <v>1023483097981</v>
      </c>
      <c r="D10" s="93" t="str">
        <f>IF($A10="","",VLOOKUP($A10,'Annex 2 EHV charges'!$A:$O,7,0))</f>
        <v>ARAMAN</v>
      </c>
      <c r="E10" s="173" t="str">
        <f>IFERROR(IF(VLOOKUP($A10,'Annex 2 EHV charges'!$A:$O,8,FALSE)=0,"",VLOOKUP($A10,'Annex 2 EHV charges'!$A:$O,8,FALSE)),"")</f>
        <v/>
      </c>
      <c r="F10" s="175">
        <f>IFERROR(IF(VLOOKUP($A10,'Annex 2 EHV charges'!$A:$O,9,FALSE)=0,"",VLOOKUP($A10,'Annex 2 EHV charges'!$A:$O,9,FALSE)),"")</f>
        <v>6701.37</v>
      </c>
      <c r="G10" s="174">
        <f>IFERROR(IF(VLOOKUP($A10,'Annex 2 EHV charges'!$A:$O,10,FALSE)=0,"",VLOOKUP($A10,'Annex 2 EHV charges'!$A:$O,10,FALSE)),"")</f>
        <v>1</v>
      </c>
      <c r="H10" s="174">
        <f>IFERROR(IF(VLOOKUP($A10,'Annex 2 EHV charges'!$A:$O,11,FALSE)=0,"",VLOOKUP($A10,'Annex 2 EHV charges'!$A:$O,11,FALSE)),"")</f>
        <v>1</v>
      </c>
    </row>
    <row r="11" spans="1:14" ht="12.75" customHeight="1" x14ac:dyDescent="0.2">
      <c r="A11" s="93" t="str">
        <f t="array" ref="A11">IFERROR(INDEX('Annex 2 EHV charges'!$A$10:$A$301, MATCH(0, IF(ISBLANK('Annex 2 EHV charges'!$A$10:$A$301),1, COUNTIF(A$4:$A10, 'Annex 2 EHV charges'!$A$10:$A$301)), 0)),"")</f>
        <v>ARDLGH</v>
      </c>
      <c r="B11" s="93">
        <f>IF($A11="","",VLOOKUP($A11,'Annex 2 EHV charges'!$A:$O,2,0))</f>
        <v>564</v>
      </c>
      <c r="C11" s="94">
        <f>IF($A11="","",VLOOKUP($A11,'Annex 2 EHV charges'!$A:$O,3,0))</f>
        <v>1050001061597</v>
      </c>
      <c r="D11" s="93" t="str">
        <f>IF($A11="","",VLOOKUP($A11,'Annex 2 EHV charges'!$A:$O,7,0))</f>
        <v>ARDLGH</v>
      </c>
      <c r="E11" s="173">
        <f>IFERROR(IF(VLOOKUP($A11,'Annex 2 EHV charges'!$A:$O,8,FALSE)=0,"",VLOOKUP($A11,'Annex 2 EHV charges'!$A:$O,8,FALSE)),"")</f>
        <v>0.27500000000000002</v>
      </c>
      <c r="F11" s="175">
        <f>IFERROR(IF(VLOOKUP($A11,'Annex 2 EHV charges'!$A:$O,9,FALSE)=0,"",VLOOKUP($A11,'Annex 2 EHV charges'!$A:$O,9,FALSE)),"")</f>
        <v>1.99</v>
      </c>
      <c r="G11" s="174">
        <f>IFERROR(IF(VLOOKUP($A11,'Annex 2 EHV charges'!$A:$O,10,FALSE)=0,"",VLOOKUP($A11,'Annex 2 EHV charges'!$A:$O,10,FALSE)),"")</f>
        <v>4</v>
      </c>
      <c r="H11" s="174">
        <f>IFERROR(IF(VLOOKUP($A11,'Annex 2 EHV charges'!$A:$O,11,FALSE)=0,"",VLOOKUP($A11,'Annex 2 EHV charges'!$A:$O,11,FALSE)),"")</f>
        <v>4</v>
      </c>
    </row>
    <row r="12" spans="1:14" ht="12.75" customHeight="1" x14ac:dyDescent="0.2">
      <c r="A12" s="93" t="str">
        <f t="array" ref="A12">IFERROR(INDEX('Annex 2 EHV charges'!$A$10:$A$301, MATCH(0, IF(ISBLANK('Annex 2 EHV charges'!$A$10:$A$301),1, COUNTIF(A$4:$A11, 'Annex 2 EHV charges'!$A$10:$A$301)), 0)),"")</f>
        <v>ARLAFD</v>
      </c>
      <c r="B12" s="93">
        <f>IF($A12="","",VLOOKUP($A12,'Annex 2 EHV charges'!$A:$O,2,0))</f>
        <v>587</v>
      </c>
      <c r="C12" s="94" t="str">
        <f>IF($A12="","",VLOOKUP($A12,'Annex 2 EHV charges'!$A:$O,3,0))</f>
        <v>1030081553176
1030081553404</v>
      </c>
      <c r="D12" s="93" t="str">
        <f>IF($A12="","",VLOOKUP($A12,'Annex 2 EHV charges'!$A:$O,7,0))</f>
        <v>ARLAFD</v>
      </c>
      <c r="E12" s="173" t="str">
        <f>IFERROR(IF(VLOOKUP($A12,'Annex 2 EHV charges'!$A:$O,8,FALSE)=0,"",VLOOKUP($A12,'Annex 2 EHV charges'!$A:$O,8,FALSE)),"")</f>
        <v/>
      </c>
      <c r="F12" s="175">
        <f>IFERROR(IF(VLOOKUP($A12,'Annex 2 EHV charges'!$A:$O,9,FALSE)=0,"",VLOOKUP($A12,'Annex 2 EHV charges'!$A:$O,9,FALSE)),"")</f>
        <v>3312.05</v>
      </c>
      <c r="G12" s="174">
        <f>IFERROR(IF(VLOOKUP($A12,'Annex 2 EHV charges'!$A:$O,10,FALSE)=0,"",VLOOKUP($A12,'Annex 2 EHV charges'!$A:$O,10,FALSE)),"")</f>
        <v>1.7</v>
      </c>
      <c r="H12" s="174">
        <f>IFERROR(IF(VLOOKUP($A12,'Annex 2 EHV charges'!$A:$O,11,FALSE)=0,"",VLOOKUP($A12,'Annex 2 EHV charges'!$A:$O,11,FALSE)),"")</f>
        <v>1.7</v>
      </c>
    </row>
    <row r="13" spans="1:14" ht="12.75" customHeight="1" x14ac:dyDescent="0.2">
      <c r="A13" s="93" t="str">
        <f t="array" ref="A13">IFERROR(INDEX('Annex 2 EHV charges'!$A$10:$A$301, MATCH(0, IF(ISBLANK('Annex 2 EHV charges'!$A$10:$A$301),1, COUNTIF(A$4:$A12, 'Annex 2 EHV charges'!$A$10:$A$301)), 0)),"")</f>
        <v>ASTONC</v>
      </c>
      <c r="B13" s="93">
        <f>IF($A13="","",VLOOKUP($A13,'Annex 2 EHV charges'!$A:$O,2,0))</f>
        <v>503</v>
      </c>
      <c r="C13" s="94">
        <f>IF($A13="","",VLOOKUP($A13,'Annex 2 EHV charges'!$A:$O,3,0))</f>
        <v>1050000834246</v>
      </c>
      <c r="D13" s="93" t="str">
        <f>IF($A13="","",VLOOKUP($A13,'Annex 2 EHV charges'!$A:$O,7,0))</f>
        <v>ASTONC</v>
      </c>
      <c r="E13" s="173">
        <f>IFERROR(IF(VLOOKUP($A13,'Annex 2 EHV charges'!$A:$O,8,FALSE)=0,"",VLOOKUP($A13,'Annex 2 EHV charges'!$A:$O,8,FALSE)),"")</f>
        <v>1.7969999999999999</v>
      </c>
      <c r="F13" s="175">
        <f>IFERROR(IF(VLOOKUP($A13,'Annex 2 EHV charges'!$A:$O,9,FALSE)=0,"",VLOOKUP($A13,'Annex 2 EHV charges'!$A:$O,9,FALSE)),"")</f>
        <v>2.6</v>
      </c>
      <c r="G13" s="174">
        <f>IFERROR(IF(VLOOKUP($A13,'Annex 2 EHV charges'!$A:$O,10,FALSE)=0,"",VLOOKUP($A13,'Annex 2 EHV charges'!$A:$O,10,FALSE)),"")</f>
        <v>3.6</v>
      </c>
      <c r="H13" s="174">
        <f>IFERROR(IF(VLOOKUP($A13,'Annex 2 EHV charges'!$A:$O,11,FALSE)=0,"",VLOOKUP($A13,'Annex 2 EHV charges'!$A:$O,11,FALSE)),"")</f>
        <v>3.6</v>
      </c>
    </row>
    <row r="14" spans="1:14" ht="12.75" customHeight="1" x14ac:dyDescent="0.2">
      <c r="A14" s="93" t="str">
        <f t="array" ref="A14">IFERROR(INDEX('Annex 2 EHV charges'!$A$10:$A$301, MATCH(0, IF(ISBLANK('Annex 2 EHV charges'!$A$10:$A$301),1, COUNTIF(A$4:$A13, 'Annex 2 EHV charges'!$A$10:$A$301)), 0)),"")</f>
        <v>AVENUE</v>
      </c>
      <c r="B14" s="93">
        <f>IF($A14="","",VLOOKUP($A14,'Annex 2 EHV charges'!$A:$O,2,0))</f>
        <v>504</v>
      </c>
      <c r="C14" s="94">
        <f>IF($A14="","",VLOOKUP($A14,'Annex 2 EHV charges'!$A:$O,3,0))</f>
        <v>1050000774970</v>
      </c>
      <c r="D14" s="93" t="str">
        <f>IF($A14="","",VLOOKUP($A14,'Annex 2 EHV charges'!$A:$O,7,0))</f>
        <v>AVENUE</v>
      </c>
      <c r="E14" s="173">
        <f>IFERROR(IF(VLOOKUP($A14,'Annex 2 EHV charges'!$A:$O,8,FALSE)=0,"",VLOOKUP($A14,'Annex 2 EHV charges'!$A:$O,8,FALSE)),"")</f>
        <v>7.0999999999999994E-2</v>
      </c>
      <c r="F14" s="175">
        <f>IFERROR(IF(VLOOKUP($A14,'Annex 2 EHV charges'!$A:$O,9,FALSE)=0,"",VLOOKUP($A14,'Annex 2 EHV charges'!$A:$O,9,FALSE)),"")</f>
        <v>17.3</v>
      </c>
      <c r="G14" s="174">
        <f>IFERROR(IF(VLOOKUP($A14,'Annex 2 EHV charges'!$A:$O,10,FALSE)=0,"",VLOOKUP($A14,'Annex 2 EHV charges'!$A:$O,10,FALSE)),"")</f>
        <v>3.24</v>
      </c>
      <c r="H14" s="174">
        <f>IFERROR(IF(VLOOKUP($A14,'Annex 2 EHV charges'!$A:$O,11,FALSE)=0,"",VLOOKUP($A14,'Annex 2 EHV charges'!$A:$O,11,FALSE)),"")</f>
        <v>3.24</v>
      </c>
    </row>
    <row r="15" spans="1:14" ht="12.75" customHeight="1" x14ac:dyDescent="0.2">
      <c r="A15" s="93" t="str">
        <f t="array" ref="A15">IFERROR(INDEX('Annex 2 EHV charges'!$A$10:$A$301, MATCH(0, IF(ISBLANK('Annex 2 EHV charges'!$A$10:$A$301),1, COUNTIF(A$4:$A14, 'Annex 2 EHV charges'!$A$10:$A$301)), 0)),"")</f>
        <v>AWOUSE</v>
      </c>
      <c r="B15" s="93">
        <f>IF($A15="","",VLOOKUP($A15,'Annex 2 EHV charges'!$A:$O,2,0))</f>
        <v>589</v>
      </c>
      <c r="C15" s="94" t="str">
        <f>IF($A15="","",VLOOKUP($A15,'Annex 2 EHV charges'!$A:$O,3,0))</f>
        <v>1023475403798
1014571965793</v>
      </c>
      <c r="D15" s="93" t="str">
        <f>IF($A15="","",VLOOKUP($A15,'Annex 2 EHV charges'!$A:$O,7,0))</f>
        <v>AWOUSE</v>
      </c>
      <c r="E15" s="173">
        <f>IFERROR(IF(VLOOKUP($A15,'Annex 2 EHV charges'!$A:$O,8,FALSE)=0,"",VLOOKUP($A15,'Annex 2 EHV charges'!$A:$O,8,FALSE)),"")</f>
        <v>3.024</v>
      </c>
      <c r="F15" s="175">
        <f>IFERROR(IF(VLOOKUP($A15,'Annex 2 EHV charges'!$A:$O,9,FALSE)=0,"",VLOOKUP($A15,'Annex 2 EHV charges'!$A:$O,9,FALSE)),"")</f>
        <v>179.86</v>
      </c>
      <c r="G15" s="174">
        <f>IFERROR(IF(VLOOKUP($A15,'Annex 2 EHV charges'!$A:$O,10,FALSE)=0,"",VLOOKUP($A15,'Annex 2 EHV charges'!$A:$O,10,FALSE)),"")</f>
        <v>2.19</v>
      </c>
      <c r="H15" s="174">
        <f>IFERROR(IF(VLOOKUP($A15,'Annex 2 EHV charges'!$A:$O,11,FALSE)=0,"",VLOOKUP($A15,'Annex 2 EHV charges'!$A:$O,11,FALSE)),"")</f>
        <v>2.19</v>
      </c>
    </row>
    <row r="16" spans="1:14" ht="12.75" customHeight="1" x14ac:dyDescent="0.2">
      <c r="A16" s="93" t="str">
        <f t="array" ref="A16">IFERROR(INDEX('Annex 2 EHV charges'!$A$10:$A$301, MATCH(0, IF(ISBLANK('Annex 2 EHV charges'!$A$10:$A$301),1, COUNTIF(A$4:$A15, 'Annex 2 EHV charges'!$A$10:$A$301)), 0)),"")</f>
        <v>BARNFM</v>
      </c>
      <c r="B16" s="93">
        <f>IF($A16="","",VLOOKUP($A16,'Annex 2 EHV charges'!$A:$O,2,0))</f>
        <v>301</v>
      </c>
      <c r="C16" s="94">
        <f>IF($A16="","",VLOOKUP($A16,'Annex 2 EHV charges'!$A:$O,3,0))</f>
        <v>1050000774999</v>
      </c>
      <c r="D16" s="93" t="str">
        <f>IF($A16="","",VLOOKUP($A16,'Annex 2 EHV charges'!$A:$O,7,0))</f>
        <v>BARNFM</v>
      </c>
      <c r="E16" s="173">
        <f>IFERROR(IF(VLOOKUP($A16,'Annex 2 EHV charges'!$A:$O,8,FALSE)=0,"",VLOOKUP($A16,'Annex 2 EHV charges'!$A:$O,8,FALSE)),"")</f>
        <v>0.33400000000000002</v>
      </c>
      <c r="F16" s="175">
        <f>IFERROR(IF(VLOOKUP($A16,'Annex 2 EHV charges'!$A:$O,9,FALSE)=0,"",VLOOKUP($A16,'Annex 2 EHV charges'!$A:$O,9,FALSE)),"")</f>
        <v>51.03</v>
      </c>
      <c r="G16" s="174">
        <f>IFERROR(IF(VLOOKUP($A16,'Annex 2 EHV charges'!$A:$O,10,FALSE)=0,"",VLOOKUP($A16,'Annex 2 EHV charges'!$A:$O,10,FALSE)),"")</f>
        <v>4.18</v>
      </c>
      <c r="H16" s="174">
        <f>IFERROR(IF(VLOOKUP($A16,'Annex 2 EHV charges'!$A:$O,11,FALSE)=0,"",VLOOKUP($A16,'Annex 2 EHV charges'!$A:$O,11,FALSE)),"")</f>
        <v>4.18</v>
      </c>
    </row>
    <row r="17" spans="1:8" ht="12.75" customHeight="1" x14ac:dyDescent="0.2">
      <c r="A17" s="93" t="str">
        <f t="array" ref="A17">IFERROR(INDEX('Annex 2 EHV charges'!$A$10:$A$301, MATCH(0, IF(ISBLANK('Annex 2 EHV charges'!$A$10:$A$301),1, COUNTIF(A$4:$A16, 'Annex 2 EHV charges'!$A$10:$A$301)), 0)),"")</f>
        <v>BAYFMS</v>
      </c>
      <c r="B17" s="93">
        <f>IF($A17="","",VLOOKUP($A17,'Annex 2 EHV charges'!$A:$O,2,0))</f>
        <v>870</v>
      </c>
      <c r="C17" s="94">
        <f>IF($A17="","",VLOOKUP($A17,'Annex 2 EHV charges'!$A:$O,3,0))</f>
        <v>1050000579318</v>
      </c>
      <c r="D17" s="93" t="str">
        <f>IF($A17="","",VLOOKUP($A17,'Annex 2 EHV charges'!$A:$O,7,0))</f>
        <v>BAYFMS</v>
      </c>
      <c r="E17" s="173">
        <f>IFERROR(IF(VLOOKUP($A17,'Annex 2 EHV charges'!$A:$O,8,FALSE)=0,"",VLOOKUP($A17,'Annex 2 EHV charges'!$A:$O,8,FALSE)),"")</f>
        <v>0.107</v>
      </c>
      <c r="F17" s="175">
        <f>IFERROR(IF(VLOOKUP($A17,'Annex 2 EHV charges'!$A:$O,9,FALSE)=0,"",VLOOKUP($A17,'Annex 2 EHV charges'!$A:$O,9,FALSE)),"")</f>
        <v>35.35</v>
      </c>
      <c r="G17" s="174">
        <f>IFERROR(IF(VLOOKUP($A17,'Annex 2 EHV charges'!$A:$O,10,FALSE)=0,"",VLOOKUP($A17,'Annex 2 EHV charges'!$A:$O,10,FALSE)),"")</f>
        <v>1.55</v>
      </c>
      <c r="H17" s="174">
        <f>IFERROR(IF(VLOOKUP($A17,'Annex 2 EHV charges'!$A:$O,11,FALSE)=0,"",VLOOKUP($A17,'Annex 2 EHV charges'!$A:$O,11,FALSE)),"")</f>
        <v>1.55</v>
      </c>
    </row>
    <row r="18" spans="1:8" ht="12.75" customHeight="1" x14ac:dyDescent="0.2">
      <c r="A18" s="93" t="str">
        <f t="array" ref="A18">IFERROR(INDEX('Annex 2 EHV charges'!$A$10:$A$301, MATCH(0, IF(ISBLANK('Annex 2 EHV charges'!$A$10:$A$301),1, COUNTIF(A$4:$A17, 'Annex 2 EHV charges'!$A$10:$A$301)), 0)),"")</f>
        <v>BDGHSE</v>
      </c>
      <c r="B18" s="93">
        <f>IF($A18="","",VLOOKUP($A18,'Annex 2 EHV charges'!$A:$O,2,0))</f>
        <v>505</v>
      </c>
      <c r="C18" s="94">
        <f>IF($A18="","",VLOOKUP($A18,'Annex 2 EHV charges'!$A:$O,3,0))</f>
        <v>1050000669548</v>
      </c>
      <c r="D18" s="93" t="str">
        <f>IF($A18="","",VLOOKUP($A18,'Annex 2 EHV charges'!$A:$O,7,0))</f>
        <v>BDGHSE</v>
      </c>
      <c r="E18" s="173" t="str">
        <f>IFERROR(IF(VLOOKUP($A18,'Annex 2 EHV charges'!$A:$O,8,FALSE)=0,"",VLOOKUP($A18,'Annex 2 EHV charges'!$A:$O,8,FALSE)),"")</f>
        <v/>
      </c>
      <c r="F18" s="175">
        <f>IFERROR(IF(VLOOKUP($A18,'Annex 2 EHV charges'!$A:$O,9,FALSE)=0,"",VLOOKUP($A18,'Annex 2 EHV charges'!$A:$O,9,FALSE)),"")</f>
        <v>28.47</v>
      </c>
      <c r="G18" s="174">
        <f>IFERROR(IF(VLOOKUP($A18,'Annex 2 EHV charges'!$A:$O,10,FALSE)=0,"",VLOOKUP($A18,'Annex 2 EHV charges'!$A:$O,10,FALSE)),"")</f>
        <v>1.48</v>
      </c>
      <c r="H18" s="174">
        <f>IFERROR(IF(VLOOKUP($A18,'Annex 2 EHV charges'!$A:$O,11,FALSE)=0,"",VLOOKUP($A18,'Annex 2 EHV charges'!$A:$O,11,FALSE)),"")</f>
        <v>1.48</v>
      </c>
    </row>
    <row r="19" spans="1:8" ht="12.75" customHeight="1" x14ac:dyDescent="0.2">
      <c r="A19" s="93" t="str">
        <f t="array" ref="A19">IFERROR(INDEX('Annex 2 EHV charges'!$A$10:$A$301, MATCH(0, IF(ISBLANK('Annex 2 EHV charges'!$A$10:$A$301),1, COUNTIF(A$4:$A18, 'Annex 2 EHV charges'!$A$10:$A$301)), 0)),"")</f>
        <v>BDWLWF</v>
      </c>
      <c r="B19" s="93">
        <f>IF($A19="","",VLOOKUP($A19,'Annex 2 EHV charges'!$A:$O,2,0))</f>
        <v>827</v>
      </c>
      <c r="C19" s="94">
        <f>IF($A19="","",VLOOKUP($A19,'Annex 2 EHV charges'!$A:$O,3,0))</f>
        <v>1030082700415</v>
      </c>
      <c r="D19" s="93" t="str">
        <f>IF($A19="","",VLOOKUP($A19,'Annex 2 EHV charges'!$A:$O,7,0))</f>
        <v>BDWLWF</v>
      </c>
      <c r="E19" s="173">
        <f>IFERROR(IF(VLOOKUP($A19,'Annex 2 EHV charges'!$A:$O,8,FALSE)=0,"",VLOOKUP($A19,'Annex 2 EHV charges'!$A:$O,8,FALSE)),"")</f>
        <v>1.2999999999999999E-2</v>
      </c>
      <c r="F19" s="175">
        <f>IFERROR(IF(VLOOKUP($A19,'Annex 2 EHV charges'!$A:$O,9,FALSE)=0,"",VLOOKUP($A19,'Annex 2 EHV charges'!$A:$O,9,FALSE)),"")</f>
        <v>33.479999999999997</v>
      </c>
      <c r="G19" s="174">
        <f>IFERROR(IF(VLOOKUP($A19,'Annex 2 EHV charges'!$A:$O,10,FALSE)=0,"",VLOOKUP($A19,'Annex 2 EHV charges'!$A:$O,10,FALSE)),"")</f>
        <v>1.97</v>
      </c>
      <c r="H19" s="174">
        <f>IFERROR(IF(VLOOKUP($A19,'Annex 2 EHV charges'!$A:$O,11,FALSE)=0,"",VLOOKUP($A19,'Annex 2 EHV charges'!$A:$O,11,FALSE)),"")</f>
        <v>1.97</v>
      </c>
    </row>
    <row r="20" spans="1:8" ht="12.75" customHeight="1" x14ac:dyDescent="0.2">
      <c r="A20" s="93" t="str">
        <f t="array" ref="A20">IFERROR(INDEX('Annex 2 EHV charges'!$A$10:$A$301, MATCH(0, IF(ISBLANK('Annex 2 EHV charges'!$A$10:$A$301),1, COUNTIF(A$4:$A19, 'Annex 2 EHV charges'!$A$10:$A$301)), 0)),"")</f>
        <v>BERDHF</v>
      </c>
      <c r="B20" s="93">
        <f>IF($A20="","",VLOOKUP($A20,'Annex 2 EHV charges'!$A:$O,2,0))</f>
        <v>302</v>
      </c>
      <c r="C20" s="94">
        <f>IF($A20="","",VLOOKUP($A20,'Annex 2 EHV charges'!$A:$O,3,0))</f>
        <v>1050001382522</v>
      </c>
      <c r="D20" s="93" t="str">
        <f>IF($A20="","",VLOOKUP($A20,'Annex 2 EHV charges'!$A:$O,7,0))</f>
        <v>BERDHF</v>
      </c>
      <c r="E20" s="173" t="str">
        <f>IFERROR(IF(VLOOKUP($A20,'Annex 2 EHV charges'!$A:$O,8,FALSE)=0,"",VLOOKUP($A20,'Annex 2 EHV charges'!$A:$O,8,FALSE)),"")</f>
        <v/>
      </c>
      <c r="F20" s="175">
        <f>IFERROR(IF(VLOOKUP($A20,'Annex 2 EHV charges'!$A:$O,9,FALSE)=0,"",VLOOKUP($A20,'Annex 2 EHV charges'!$A:$O,9,FALSE)),"")</f>
        <v>1326</v>
      </c>
      <c r="G20" s="174">
        <f>IFERROR(IF(VLOOKUP($A20,'Annex 2 EHV charges'!$A:$O,10,FALSE)=0,"",VLOOKUP($A20,'Annex 2 EHV charges'!$A:$O,10,FALSE)),"")</f>
        <v>1.1399999999999999</v>
      </c>
      <c r="H20" s="174">
        <f>IFERROR(IF(VLOOKUP($A20,'Annex 2 EHV charges'!$A:$O,11,FALSE)=0,"",VLOOKUP($A20,'Annex 2 EHV charges'!$A:$O,11,FALSE)),"")</f>
        <v>1.1399999999999999</v>
      </c>
    </row>
    <row r="21" spans="1:8" ht="12.75" customHeight="1" x14ac:dyDescent="0.2">
      <c r="A21" s="93" t="str">
        <f t="array" ref="A21">IFERROR(INDEX('Annex 2 EHV charges'!$A$10:$A$301, MATCH(0, IF(ISBLANK('Annex 2 EHV charges'!$A$10:$A$301),1, COUNTIF(A$4:$A20, 'Annex 2 EHV charges'!$A$10:$A$301)), 0)),"")</f>
        <v>BERMAT</v>
      </c>
      <c r="B21" s="93">
        <f>IF($A21="","",VLOOKUP($A21,'Annex 2 EHV charges'!$A:$O,2,0))</f>
        <v>590</v>
      </c>
      <c r="C21" s="94">
        <f>IF($A21="","",VLOOKUP($A21,'Annex 2 EHV charges'!$A:$O,3,0))</f>
        <v>1014571751895</v>
      </c>
      <c r="D21" s="93" t="str">
        <f>IF($A21="","",VLOOKUP($A21,'Annex 2 EHV charges'!$A:$O,7,0))</f>
        <v>BERMAT</v>
      </c>
      <c r="E21" s="173" t="str">
        <f>IFERROR(IF(VLOOKUP($A21,'Annex 2 EHV charges'!$A:$O,8,FALSE)=0,"",VLOOKUP($A21,'Annex 2 EHV charges'!$A:$O,8,FALSE)),"")</f>
        <v/>
      </c>
      <c r="F21" s="175">
        <f>IFERROR(IF(VLOOKUP($A21,'Annex 2 EHV charges'!$A:$O,9,FALSE)=0,"",VLOOKUP($A21,'Annex 2 EHV charges'!$A:$O,9,FALSE)),"")</f>
        <v>89.93</v>
      </c>
      <c r="G21" s="174">
        <f>IFERROR(IF(VLOOKUP($A21,'Annex 2 EHV charges'!$A:$O,10,FALSE)=0,"",VLOOKUP($A21,'Annex 2 EHV charges'!$A:$O,10,FALSE)),"")</f>
        <v>5.38</v>
      </c>
      <c r="H21" s="174">
        <f>IFERROR(IF(VLOOKUP($A21,'Annex 2 EHV charges'!$A:$O,11,FALSE)=0,"",VLOOKUP($A21,'Annex 2 EHV charges'!$A:$O,11,FALSE)),"")</f>
        <v>5.38</v>
      </c>
    </row>
    <row r="22" spans="1:8" ht="12.75" customHeight="1" x14ac:dyDescent="0.2">
      <c r="A22" s="93" t="str">
        <f t="array" ref="A22">IFERROR(INDEX('Annex 2 EHV charges'!$A$10:$A$301, MATCH(0, IF(ISBLANK('Annex 2 EHV charges'!$A$10:$A$301),1, COUNTIF(A$4:$A21, 'Annex 2 EHV charges'!$A$10:$A$301)), 0)),"")</f>
        <v>BGWDWF</v>
      </c>
      <c r="B22" s="93">
        <f>IF($A22="","",VLOOKUP($A22,'Annex 2 EHV charges'!$A:$O,2,0))</f>
        <v>871</v>
      </c>
      <c r="C22" s="94">
        <f>IF($A22="","",VLOOKUP($A22,'Annex 2 EHV charges'!$A:$O,3,0))</f>
        <v>1030083931374</v>
      </c>
      <c r="D22" s="93" t="str">
        <f>IF($A22="","",VLOOKUP($A22,'Annex 2 EHV charges'!$A:$O,7,0))</f>
        <v>BGWDWF</v>
      </c>
      <c r="E22" s="173" t="str">
        <f>IFERROR(IF(VLOOKUP($A22,'Annex 2 EHV charges'!$A:$O,8,FALSE)=0,"",VLOOKUP($A22,'Annex 2 EHV charges'!$A:$O,8,FALSE)),"")</f>
        <v/>
      </c>
      <c r="F22" s="175">
        <f>IFERROR(IF(VLOOKUP($A22,'Annex 2 EHV charges'!$A:$O,9,FALSE)=0,"",VLOOKUP($A22,'Annex 2 EHV charges'!$A:$O,9,FALSE)),"")</f>
        <v>3.42</v>
      </c>
      <c r="G22" s="174">
        <f>IFERROR(IF(VLOOKUP($A22,'Annex 2 EHV charges'!$A:$O,10,FALSE)=0,"",VLOOKUP($A22,'Annex 2 EHV charges'!$A:$O,10,FALSE)),"")</f>
        <v>2.33</v>
      </c>
      <c r="H22" s="174">
        <f>IFERROR(IF(VLOOKUP($A22,'Annex 2 EHV charges'!$A:$O,11,FALSE)=0,"",VLOOKUP($A22,'Annex 2 EHV charges'!$A:$O,11,FALSE)),"")</f>
        <v>2.33</v>
      </c>
    </row>
    <row r="23" spans="1:8" ht="12.75" customHeight="1" x14ac:dyDescent="0.2">
      <c r="A23" s="93" t="str">
        <f t="array" ref="A23">IFERROR(INDEX('Annex 2 EHV charges'!$A$10:$A$301, MATCH(0, IF(ISBLANK('Annex 2 EHV charges'!$A$10:$A$301),1, COUNTIF(A$4:$A22, 'Annex 2 EHV charges'!$A$10:$A$301)), 0)),"")</f>
        <v>BLCAMB</v>
      </c>
      <c r="B23" s="93">
        <f>IF($A23="","",VLOOKUP($A23,'Annex 2 EHV charges'!$A:$O,2,0))</f>
        <v>539</v>
      </c>
      <c r="C23" s="94">
        <f>IF($A23="","",VLOOKUP($A23,'Annex 2 EHV charges'!$A:$O,3,0))</f>
        <v>1050001036615</v>
      </c>
      <c r="D23" s="93" t="str">
        <f>IF($A23="","",VLOOKUP($A23,'Annex 2 EHV charges'!$A:$O,7,0))</f>
        <v>BLCAMB</v>
      </c>
      <c r="E23" s="173" t="str">
        <f>IFERROR(IF(VLOOKUP($A23,'Annex 2 EHV charges'!$A:$O,8,FALSE)=0,"",VLOOKUP($A23,'Annex 2 EHV charges'!$A:$O,8,FALSE)),"")</f>
        <v/>
      </c>
      <c r="F23" s="175">
        <f>IFERROR(IF(VLOOKUP($A23,'Annex 2 EHV charges'!$A:$O,9,FALSE)=0,"",VLOOKUP($A23,'Annex 2 EHV charges'!$A:$O,9,FALSE)),"")</f>
        <v>5.0599999999999996</v>
      </c>
      <c r="G23" s="174">
        <f>IFERROR(IF(VLOOKUP($A23,'Annex 2 EHV charges'!$A:$O,10,FALSE)=0,"",VLOOKUP($A23,'Annex 2 EHV charges'!$A:$O,10,FALSE)),"")</f>
        <v>1.68</v>
      </c>
      <c r="H23" s="174">
        <f>IFERROR(IF(VLOOKUP($A23,'Annex 2 EHV charges'!$A:$O,11,FALSE)=0,"",VLOOKUP($A23,'Annex 2 EHV charges'!$A:$O,11,FALSE)),"")</f>
        <v>1.68</v>
      </c>
    </row>
    <row r="24" spans="1:8" ht="12.75" customHeight="1" x14ac:dyDescent="0.2">
      <c r="A24" s="93" t="str">
        <f t="array" ref="A24">IFERROR(INDEX('Annex 2 EHV charges'!$A$10:$A$301, MATCH(0, IF(ISBLANK('Annex 2 EHV charges'!$A$10:$A$301),1, COUNTIF(A$4:$A23, 'Annex 2 EHV charges'!$A$10:$A$301)), 0)),"")</f>
        <v>BLDOCK</v>
      </c>
      <c r="B24" s="93">
        <f>IF($A24="","",VLOOKUP($A24,'Annex 2 EHV charges'!$A:$O,2,0))</f>
        <v>0</v>
      </c>
      <c r="C24" s="94" t="str">
        <f>IF($A24="","",VLOOKUP($A24,'Annex 2 EHV charges'!$A:$O,3,0))</f>
        <v>MSID: 7308</v>
      </c>
      <c r="D24" s="93" t="str">
        <f>IF($A24="","",VLOOKUP($A24,'Annex 2 EHV charges'!$A:$O,7,0))</f>
        <v>BLDOCK</v>
      </c>
      <c r="E24" s="173">
        <f>IFERROR(IF(VLOOKUP($A24,'Annex 2 EHV charges'!$A:$O,8,FALSE)=0,"",VLOOKUP($A24,'Annex 2 EHV charges'!$A:$O,8,FALSE)),"")</f>
        <v>1.2110000000000001</v>
      </c>
      <c r="F24" s="175">
        <f>IFERROR(IF(VLOOKUP($A24,'Annex 2 EHV charges'!$A:$O,9,FALSE)=0,"",VLOOKUP($A24,'Annex 2 EHV charges'!$A:$O,9,FALSE)),"")</f>
        <v>37.6</v>
      </c>
      <c r="G24" s="174">
        <f>IFERROR(IF(VLOOKUP($A24,'Annex 2 EHV charges'!$A:$O,10,FALSE)=0,"",VLOOKUP($A24,'Annex 2 EHV charges'!$A:$O,10,FALSE)),"")</f>
        <v>1.34</v>
      </c>
      <c r="H24" s="174">
        <f>IFERROR(IF(VLOOKUP($A24,'Annex 2 EHV charges'!$A:$O,11,FALSE)=0,"",VLOOKUP($A24,'Annex 2 EHV charges'!$A:$O,11,FALSE)),"")</f>
        <v>1.34</v>
      </c>
    </row>
    <row r="25" spans="1:8" ht="12.75" customHeight="1" x14ac:dyDescent="0.2">
      <c r="A25" s="93" t="str">
        <f t="array" ref="A25">IFERROR(INDEX('Annex 2 EHV charges'!$A$10:$A$301, MATCH(0, IF(ISBLANK('Annex 2 EHV charges'!$A$10:$A$301),1, COUNTIF(A$4:$A24, 'Annex 2 EHV charges'!$A$10:$A$301)), 0)),"")</f>
        <v>BLGTSF</v>
      </c>
      <c r="B25" s="93">
        <f>IF($A25="","",VLOOKUP($A25,'Annex 2 EHV charges'!$A:$O,2,0))</f>
        <v>534</v>
      </c>
      <c r="C25" s="94">
        <f>IF($A25="","",VLOOKUP($A25,'Annex 2 EHV charges'!$A:$O,3,0))</f>
        <v>1050000769039</v>
      </c>
      <c r="D25" s="93" t="str">
        <f>IF($A25="","",VLOOKUP($A25,'Annex 2 EHV charges'!$A:$O,7,0))</f>
        <v>BLGTSF</v>
      </c>
      <c r="E25" s="173" t="str">
        <f>IFERROR(IF(VLOOKUP($A25,'Annex 2 EHV charges'!$A:$O,8,FALSE)=0,"",VLOOKUP($A25,'Annex 2 EHV charges'!$A:$O,8,FALSE)),"")</f>
        <v/>
      </c>
      <c r="F25" s="175">
        <f>IFERROR(IF(VLOOKUP($A25,'Annex 2 EHV charges'!$A:$O,9,FALSE)=0,"",VLOOKUP($A25,'Annex 2 EHV charges'!$A:$O,9,FALSE)),"")</f>
        <v>11.87</v>
      </c>
      <c r="G25" s="174">
        <f>IFERROR(IF(VLOOKUP($A25,'Annex 2 EHV charges'!$A:$O,10,FALSE)=0,"",VLOOKUP($A25,'Annex 2 EHV charges'!$A:$O,10,FALSE)),"")</f>
        <v>2.52</v>
      </c>
      <c r="H25" s="174">
        <f>IFERROR(IF(VLOOKUP($A25,'Annex 2 EHV charges'!$A:$O,11,FALSE)=0,"",VLOOKUP($A25,'Annex 2 EHV charges'!$A:$O,11,FALSE)),"")</f>
        <v>2.52</v>
      </c>
    </row>
    <row r="26" spans="1:8" ht="12.75" customHeight="1" x14ac:dyDescent="0.2">
      <c r="A26" s="93" t="str">
        <f t="array" ref="A26">IFERROR(INDEX('Annex 2 EHV charges'!$A$10:$A$301, MATCH(0, IF(ISBLANK('Annex 2 EHV charges'!$A$10:$A$301),1, COUNTIF(A$4:$A25, 'Annex 2 EHV charges'!$A$10:$A$301)), 0)),"")</f>
        <v>BNNSHL</v>
      </c>
      <c r="B26" s="93">
        <f>IF($A26="","",VLOOKUP($A26,'Annex 2 EHV charges'!$A:$O,2,0))</f>
        <v>540</v>
      </c>
      <c r="C26" s="94">
        <f>IF($A26="","",VLOOKUP($A26,'Annex 2 EHV charges'!$A:$O,3,0))</f>
        <v>1050001021414</v>
      </c>
      <c r="D26" s="93" t="str">
        <f>IF($A26="","",VLOOKUP($A26,'Annex 2 EHV charges'!$A:$O,7,0))</f>
        <v>BNNSHL</v>
      </c>
      <c r="E26" s="173">
        <f>IFERROR(IF(VLOOKUP($A26,'Annex 2 EHV charges'!$A:$O,8,FALSE)=0,"",VLOOKUP($A26,'Annex 2 EHV charges'!$A:$O,8,FALSE)),"")</f>
        <v>9.4130000000000003</v>
      </c>
      <c r="F26" s="175">
        <f>IFERROR(IF(VLOOKUP($A26,'Annex 2 EHV charges'!$A:$O,9,FALSE)=0,"",VLOOKUP($A26,'Annex 2 EHV charges'!$A:$O,9,FALSE)),"")</f>
        <v>35.549999999999997</v>
      </c>
      <c r="G26" s="174">
        <f>IFERROR(IF(VLOOKUP($A26,'Annex 2 EHV charges'!$A:$O,10,FALSE)=0,"",VLOOKUP($A26,'Annex 2 EHV charges'!$A:$O,10,FALSE)),"")</f>
        <v>1.74</v>
      </c>
      <c r="H26" s="174">
        <f>IFERROR(IF(VLOOKUP($A26,'Annex 2 EHV charges'!$A:$O,11,FALSE)=0,"",VLOOKUP($A26,'Annex 2 EHV charges'!$A:$O,11,FALSE)),"")</f>
        <v>1.74</v>
      </c>
    </row>
    <row r="27" spans="1:8" ht="12.75" customHeight="1" x14ac:dyDescent="0.2">
      <c r="A27" s="93" t="str">
        <f t="array" ref="A27">IFERROR(INDEX('Annex 2 EHV charges'!$A$10:$A$301, MATCH(0, IF(ISBLANK('Annex 2 EHV charges'!$A$10:$A$301),1, COUNTIF(A$4:$A26, 'Annex 2 EHV charges'!$A$10:$A$301)), 0)),"")</f>
        <v>BOCTHA</v>
      </c>
      <c r="B27" s="93">
        <f>IF($A27="","",VLOOKUP($A27,'Annex 2 EHV charges'!$A:$O,2,0))</f>
        <v>803</v>
      </c>
      <c r="C27" s="94">
        <f>IF($A27="","",VLOOKUP($A27,'Annex 2 EHV charges'!$A:$O,3,0))</f>
        <v>1014572608412</v>
      </c>
      <c r="D27" s="93" t="str">
        <f>IF($A27="","",VLOOKUP($A27,'Annex 2 EHV charges'!$A:$O,7,0))</f>
        <v>BOCTHA</v>
      </c>
      <c r="E27" s="173">
        <f>IFERROR(IF(VLOOKUP($A27,'Annex 2 EHV charges'!$A:$O,8,FALSE)=0,"",VLOOKUP($A27,'Annex 2 EHV charges'!$A:$O,8,FALSE)),"")</f>
        <v>0.65400000000000003</v>
      </c>
      <c r="F27" s="175">
        <f>IFERROR(IF(VLOOKUP($A27,'Annex 2 EHV charges'!$A:$O,9,FALSE)=0,"",VLOOKUP($A27,'Annex 2 EHV charges'!$A:$O,9,FALSE)),"")</f>
        <v>973.99</v>
      </c>
      <c r="G27" s="174">
        <f>IFERROR(IF(VLOOKUP($A27,'Annex 2 EHV charges'!$A:$O,10,FALSE)=0,"",VLOOKUP($A27,'Annex 2 EHV charges'!$A:$O,10,FALSE)),"")</f>
        <v>5.37</v>
      </c>
      <c r="H27" s="174">
        <f>IFERROR(IF(VLOOKUP($A27,'Annex 2 EHV charges'!$A:$O,11,FALSE)=0,"",VLOOKUP($A27,'Annex 2 EHV charges'!$A:$O,11,FALSE)),"")</f>
        <v>5.37</v>
      </c>
    </row>
    <row r="28" spans="1:8" ht="12.75" customHeight="1" x14ac:dyDescent="0.2">
      <c r="A28" s="93" t="str">
        <f t="array" ref="A28">IFERROR(INDEX('Annex 2 EHV charges'!$A$10:$A$301, MATCH(0, IF(ISBLANK('Annex 2 EHV charges'!$A$10:$A$301),1, COUNTIF(A$4:$A27, 'Annex 2 EHV charges'!$A$10:$A$301)), 0)),"")</f>
        <v>BOXTED</v>
      </c>
      <c r="B28" s="93">
        <f>IF($A28="","",VLOOKUP($A28,'Annex 2 EHV charges'!$A:$O,2,0))</f>
        <v>506</v>
      </c>
      <c r="C28" s="94">
        <f>IF($A28="","",VLOOKUP($A28,'Annex 2 EHV charges'!$A:$O,3,0))</f>
        <v>1050000774270</v>
      </c>
      <c r="D28" s="93" t="str">
        <f>IF($A28="","",VLOOKUP($A28,'Annex 2 EHV charges'!$A:$O,7,0))</f>
        <v>BOXTED</v>
      </c>
      <c r="E28" s="173">
        <f>IFERROR(IF(VLOOKUP($A28,'Annex 2 EHV charges'!$A:$O,8,FALSE)=0,"",VLOOKUP($A28,'Annex 2 EHV charges'!$A:$O,8,FALSE)),"")</f>
        <v>2.5000000000000001E-2</v>
      </c>
      <c r="F28" s="175">
        <f>IFERROR(IF(VLOOKUP($A28,'Annex 2 EHV charges'!$A:$O,9,FALSE)=0,"",VLOOKUP($A28,'Annex 2 EHV charges'!$A:$O,9,FALSE)),"")</f>
        <v>1.58</v>
      </c>
      <c r="G28" s="174">
        <f>IFERROR(IF(VLOOKUP($A28,'Annex 2 EHV charges'!$A:$O,10,FALSE)=0,"",VLOOKUP($A28,'Annex 2 EHV charges'!$A:$O,10,FALSE)),"")</f>
        <v>2.27</v>
      </c>
      <c r="H28" s="174">
        <f>IFERROR(IF(VLOOKUP($A28,'Annex 2 EHV charges'!$A:$O,11,FALSE)=0,"",VLOOKUP($A28,'Annex 2 EHV charges'!$A:$O,11,FALSE)),"")</f>
        <v>2.27</v>
      </c>
    </row>
    <row r="29" spans="1:8" ht="12.75" customHeight="1" x14ac:dyDescent="0.2">
      <c r="A29" s="93" t="str">
        <f t="array" ref="A29">IFERROR(INDEX('Annex 2 EHV charges'!$A$10:$A$301, MATCH(0, IF(ISBLANK('Annex 2 EHV charges'!$A$10:$A$301),1, COUNTIF(A$4:$A28, 'Annex 2 EHV charges'!$A$10:$A$301)), 0)),"")</f>
        <v>BPA_CO</v>
      </c>
      <c r="B29" s="93">
        <f>IF($A29="","",VLOOKUP($A29,'Annex 2 EHV charges'!$A:$O,2,0))</f>
        <v>804</v>
      </c>
      <c r="C29" s="94">
        <f>IF($A29="","",VLOOKUP($A29,'Annex 2 EHV charges'!$A:$O,3,0))</f>
        <v>1014572578282</v>
      </c>
      <c r="D29" s="93" t="str">
        <f>IF($A29="","",VLOOKUP($A29,'Annex 2 EHV charges'!$A:$O,7,0))</f>
        <v>BPA_CO</v>
      </c>
      <c r="E29" s="173">
        <f>IFERROR(IF(VLOOKUP($A29,'Annex 2 EHV charges'!$A:$O,8,FALSE)=0,"",VLOOKUP($A29,'Annex 2 EHV charges'!$A:$O,8,FALSE)),"")</f>
        <v>0.16800000000000001</v>
      </c>
      <c r="F29" s="175">
        <f>IFERROR(IF(VLOOKUP($A29,'Annex 2 EHV charges'!$A:$O,9,FALSE)=0,"",VLOOKUP($A29,'Annex 2 EHV charges'!$A:$O,9,FALSE)),"")</f>
        <v>515.97</v>
      </c>
      <c r="G29" s="174">
        <f>IFERROR(IF(VLOOKUP($A29,'Annex 2 EHV charges'!$A:$O,10,FALSE)=0,"",VLOOKUP($A29,'Annex 2 EHV charges'!$A:$O,10,FALSE)),"")</f>
        <v>2.64</v>
      </c>
      <c r="H29" s="174">
        <f>IFERROR(IF(VLOOKUP($A29,'Annex 2 EHV charges'!$A:$O,11,FALSE)=0,"",VLOOKUP($A29,'Annex 2 EHV charges'!$A:$O,11,FALSE)),"")</f>
        <v>2.64</v>
      </c>
    </row>
    <row r="30" spans="1:8" ht="12.75" customHeight="1" x14ac:dyDescent="0.2">
      <c r="A30" s="93" t="str">
        <f t="array" ref="A30">IFERROR(INDEX('Annex 2 EHV charges'!$A$10:$A$301, MATCH(0, IF(ISBLANK('Annex 2 EHV charges'!$A$10:$A$301),1, COUNTIF(A$4:$A29, 'Annex 2 EHV charges'!$A$10:$A$301)), 0)),"")</f>
        <v>BPTLTD</v>
      </c>
      <c r="B30" s="93">
        <f>IF($A30="","",VLOOKUP($A30,'Annex 2 EHV charges'!$A:$O,2,0))</f>
        <v>591</v>
      </c>
      <c r="C30" s="94" t="str">
        <f>IF($A30="","",VLOOKUP($A30,'Annex 2 EHV charges'!$A:$O,3,0))</f>
        <v>1023475256360
1014572502380</v>
      </c>
      <c r="D30" s="93" t="str">
        <f>IF($A30="","",VLOOKUP($A30,'Annex 2 EHV charges'!$A:$O,7,0))</f>
        <v>BPTLTD</v>
      </c>
      <c r="E30" s="173">
        <f>IFERROR(IF(VLOOKUP($A30,'Annex 2 EHV charges'!$A:$O,8,FALSE)=0,"",VLOOKUP($A30,'Annex 2 EHV charges'!$A:$O,8,FALSE)),"")</f>
        <v>1.03</v>
      </c>
      <c r="F30" s="175">
        <f>IFERROR(IF(VLOOKUP($A30,'Annex 2 EHV charges'!$A:$O,9,FALSE)=0,"",VLOOKUP($A30,'Annex 2 EHV charges'!$A:$O,9,FALSE)),"")</f>
        <v>269.79000000000002</v>
      </c>
      <c r="G30" s="174">
        <f>IFERROR(IF(VLOOKUP($A30,'Annex 2 EHV charges'!$A:$O,10,FALSE)=0,"",VLOOKUP($A30,'Annex 2 EHV charges'!$A:$O,10,FALSE)),"")</f>
        <v>1.99</v>
      </c>
      <c r="H30" s="174">
        <f>IFERROR(IF(VLOOKUP($A30,'Annex 2 EHV charges'!$A:$O,11,FALSE)=0,"",VLOOKUP($A30,'Annex 2 EHV charges'!$A:$O,11,FALSE)),"")</f>
        <v>1.99</v>
      </c>
    </row>
    <row r="31" spans="1:8" ht="12.75" customHeight="1" x14ac:dyDescent="0.2">
      <c r="A31" s="93" t="str">
        <f t="array" ref="A31">IFERROR(INDEX('Annex 2 EHV charges'!$A$10:$A$301, MATCH(0, IF(ISBLANK('Annex 2 EHV charges'!$A$10:$A$301),1, COUNTIF(A$4:$A30, 'Annex 2 EHV charges'!$A$10:$A$301)), 0)),"")</f>
        <v>BRCHGP</v>
      </c>
      <c r="B31" s="93">
        <f>IF($A31="","",VLOOKUP($A31,'Annex 2 EHV charges'!$A:$O,2,0))</f>
        <v>525</v>
      </c>
      <c r="C31" s="94">
        <f>IF($A31="","",VLOOKUP($A31,'Annex 2 EHV charges'!$A:$O,3,0))</f>
        <v>1050000961956</v>
      </c>
      <c r="D31" s="93" t="str">
        <f>IF($A31="","",VLOOKUP($A31,'Annex 2 EHV charges'!$A:$O,7,0))</f>
        <v>BRCHGP</v>
      </c>
      <c r="E31" s="173">
        <f>IFERROR(IF(VLOOKUP($A31,'Annex 2 EHV charges'!$A:$O,8,FALSE)=0,"",VLOOKUP($A31,'Annex 2 EHV charges'!$A:$O,8,FALSE)),"")</f>
        <v>0.40500000000000003</v>
      </c>
      <c r="F31" s="175">
        <f>IFERROR(IF(VLOOKUP($A31,'Annex 2 EHV charges'!$A:$O,9,FALSE)=0,"",VLOOKUP($A31,'Annex 2 EHV charges'!$A:$O,9,FALSE)),"")</f>
        <v>35.840000000000003</v>
      </c>
      <c r="G31" s="174">
        <f>IFERROR(IF(VLOOKUP($A31,'Annex 2 EHV charges'!$A:$O,10,FALSE)=0,"",VLOOKUP($A31,'Annex 2 EHV charges'!$A:$O,10,FALSE)),"")</f>
        <v>1.67</v>
      </c>
      <c r="H31" s="174">
        <f>IFERROR(IF(VLOOKUP($A31,'Annex 2 EHV charges'!$A:$O,11,FALSE)=0,"",VLOOKUP($A31,'Annex 2 EHV charges'!$A:$O,11,FALSE)),"")</f>
        <v>1.67</v>
      </c>
    </row>
    <row r="32" spans="1:8" ht="12.75" customHeight="1" x14ac:dyDescent="0.2">
      <c r="A32" s="93" t="str">
        <f t="array" ref="A32">IFERROR(INDEX('Annex 2 EHV charges'!$A$10:$A$301, MATCH(0, IF(ISBLANK('Annex 2 EHV charges'!$A$10:$A$301),1, COUNTIF(A$4:$A31, 'Annex 2 EHV charges'!$A$10:$A$301)), 0)),"")</f>
        <v>BROGB_</v>
      </c>
      <c r="B32" s="93">
        <f>IF($A32="","",VLOOKUP($A32,'Annex 2 EHV charges'!$A:$O,2,0))</f>
        <v>821</v>
      </c>
      <c r="C32" s="94" t="str">
        <f>IF($A32="","",VLOOKUP($A32,'Annex 2 EHV charges'!$A:$O,3,0))</f>
        <v>1030041592510
1030041592742
1030041592974
1030041593203</v>
      </c>
      <c r="D32" s="93" t="str">
        <f>IF($A32="","",VLOOKUP($A32,'Annex 2 EHV charges'!$A:$O,7,0))</f>
        <v>BROGB_</v>
      </c>
      <c r="E32" s="173">
        <f>IFERROR(IF(VLOOKUP($A32,'Annex 2 EHV charges'!$A:$O,8,FALSE)=0,"",VLOOKUP($A32,'Annex 2 EHV charges'!$A:$O,8,FALSE)),"")</f>
        <v>2E-3</v>
      </c>
      <c r="F32" s="175">
        <f>IFERROR(IF(VLOOKUP($A32,'Annex 2 EHV charges'!$A:$O,9,FALSE)=0,"",VLOOKUP($A32,'Annex 2 EHV charges'!$A:$O,9,FALSE)),"")</f>
        <v>246.8</v>
      </c>
      <c r="G32" s="174">
        <f>IFERROR(IF(VLOOKUP($A32,'Annex 2 EHV charges'!$A:$O,10,FALSE)=0,"",VLOOKUP($A32,'Annex 2 EHV charges'!$A:$O,10,FALSE)),"")</f>
        <v>1.54</v>
      </c>
      <c r="H32" s="174">
        <f>IFERROR(IF(VLOOKUP($A32,'Annex 2 EHV charges'!$A:$O,11,FALSE)=0,"",VLOOKUP($A32,'Annex 2 EHV charges'!$A:$O,11,FALSE)),"")</f>
        <v>1.54</v>
      </c>
    </row>
    <row r="33" spans="1:8" ht="12.75" customHeight="1" x14ac:dyDescent="0.2">
      <c r="A33" s="93" t="str">
        <f t="array" ref="A33">IFERROR(INDEX('Annex 2 EHV charges'!$A$10:$A$301, MATCH(0, IF(ISBLANK('Annex 2 EHV charges'!$A$10:$A$301),1, COUNTIF(A$4:$A32, 'Annex 2 EHV charges'!$A$10:$A$301)), 0)),"")</f>
        <v>BROXSF</v>
      </c>
      <c r="B33" s="93">
        <f>IF($A33="","",VLOOKUP($A33,'Annex 2 EHV charges'!$A:$O,2,0))</f>
        <v>872</v>
      </c>
      <c r="C33" s="94">
        <f>IF($A33="","",VLOOKUP($A33,'Annex 2 EHV charges'!$A:$O,3,0))</f>
        <v>1050000521610</v>
      </c>
      <c r="D33" s="93" t="str">
        <f>IF($A33="","",VLOOKUP($A33,'Annex 2 EHV charges'!$A:$O,7,0))</f>
        <v>BROXSF</v>
      </c>
      <c r="E33" s="173">
        <f>IFERROR(IF(VLOOKUP($A33,'Annex 2 EHV charges'!$A:$O,8,FALSE)=0,"",VLOOKUP($A33,'Annex 2 EHV charges'!$A:$O,8,FALSE)),"")</f>
        <v>1.395</v>
      </c>
      <c r="F33" s="175">
        <f>IFERROR(IF(VLOOKUP($A33,'Annex 2 EHV charges'!$A:$O,9,FALSE)=0,"",VLOOKUP($A33,'Annex 2 EHV charges'!$A:$O,9,FALSE)),"")</f>
        <v>11.29</v>
      </c>
      <c r="G33" s="174">
        <f>IFERROR(IF(VLOOKUP($A33,'Annex 2 EHV charges'!$A:$O,10,FALSE)=0,"",VLOOKUP($A33,'Annex 2 EHV charges'!$A:$O,10,FALSE)),"")</f>
        <v>6.4</v>
      </c>
      <c r="H33" s="174">
        <f>IFERROR(IF(VLOOKUP($A33,'Annex 2 EHV charges'!$A:$O,11,FALSE)=0,"",VLOOKUP($A33,'Annex 2 EHV charges'!$A:$O,11,FALSE)),"")</f>
        <v>6.4</v>
      </c>
    </row>
    <row r="34" spans="1:8" ht="12.75" customHeight="1" x14ac:dyDescent="0.2">
      <c r="A34" s="93" t="str">
        <f t="array" ref="A34">IFERROR(INDEX('Annex 2 EHV charges'!$A$10:$A$301, MATCH(0, IF(ISBLANK('Annex 2 EHV charges'!$A$10:$A$301),1, COUNTIF(A$4:$A33, 'Annex 2 EHV charges'!$A$10:$A$301)), 0)),"")</f>
        <v>BRTHS2</v>
      </c>
      <c r="B34" s="93">
        <f>IF($A34="","",VLOOKUP($A34,'Annex 2 EHV charges'!$A:$O,2,0))</f>
        <v>508</v>
      </c>
      <c r="C34" s="94">
        <f>IF($A34="","",VLOOKUP($A34,'Annex 2 EHV charges'!$A:$O,3,0))</f>
        <v>1050000782944</v>
      </c>
      <c r="D34" s="93" t="str">
        <f>IF($A34="","",VLOOKUP($A34,'Annex 2 EHV charges'!$A:$O,7,0))</f>
        <v>BRTHS2</v>
      </c>
      <c r="E34" s="173">
        <f>IFERROR(IF(VLOOKUP($A34,'Annex 2 EHV charges'!$A:$O,8,FALSE)=0,"",VLOOKUP($A34,'Annex 2 EHV charges'!$A:$O,8,FALSE)),"")</f>
        <v>0.02</v>
      </c>
      <c r="F34" s="175">
        <f>IFERROR(IF(VLOOKUP($A34,'Annex 2 EHV charges'!$A:$O,9,FALSE)=0,"",VLOOKUP($A34,'Annex 2 EHV charges'!$A:$O,9,FALSE)),"")</f>
        <v>1.28</v>
      </c>
      <c r="G34" s="174">
        <f>IFERROR(IF(VLOOKUP($A34,'Annex 2 EHV charges'!$A:$O,10,FALSE)=0,"",VLOOKUP($A34,'Annex 2 EHV charges'!$A:$O,10,FALSE)),"")</f>
        <v>2.73</v>
      </c>
      <c r="H34" s="174">
        <f>IFERROR(IF(VLOOKUP($A34,'Annex 2 EHV charges'!$A:$O,11,FALSE)=0,"",VLOOKUP($A34,'Annex 2 EHV charges'!$A:$O,11,FALSE)),"")</f>
        <v>2.73</v>
      </c>
    </row>
    <row r="35" spans="1:8" ht="12.75" customHeight="1" x14ac:dyDescent="0.2">
      <c r="A35" s="93" t="str">
        <f t="array" ref="A35">IFERROR(INDEX('Annex 2 EHV charges'!$A$10:$A$301, MATCH(0, IF(ISBLANK('Annex 2 EHV charges'!$A$10:$A$301),1, COUNTIF(A$4:$A34, 'Annex 2 EHV charges'!$A$10:$A$301)), 0)),"")</f>
        <v>BRTHSS</v>
      </c>
      <c r="B35" s="93">
        <f>IF($A35="","",VLOOKUP($A35,'Annex 2 EHV charges'!$A:$O,2,0))</f>
        <v>873</v>
      </c>
      <c r="C35" s="94">
        <f>IF($A35="","",VLOOKUP($A35,'Annex 2 EHV charges'!$A:$O,3,0))</f>
        <v>1030083941266</v>
      </c>
      <c r="D35" s="93" t="str">
        <f>IF($A35="","",VLOOKUP($A35,'Annex 2 EHV charges'!$A:$O,7,0))</f>
        <v>BRTHSS</v>
      </c>
      <c r="E35" s="173">
        <f>IFERROR(IF(VLOOKUP($A35,'Annex 2 EHV charges'!$A:$O,8,FALSE)=0,"",VLOOKUP($A35,'Annex 2 EHV charges'!$A:$O,8,FALSE)),"")</f>
        <v>7.0000000000000001E-3</v>
      </c>
      <c r="F35" s="175">
        <f>IFERROR(IF(VLOOKUP($A35,'Annex 2 EHV charges'!$A:$O,9,FALSE)=0,"",VLOOKUP($A35,'Annex 2 EHV charges'!$A:$O,9,FALSE)),"")</f>
        <v>2.85</v>
      </c>
      <c r="G35" s="174">
        <f>IFERROR(IF(VLOOKUP($A35,'Annex 2 EHV charges'!$A:$O,10,FALSE)=0,"",VLOOKUP($A35,'Annex 2 EHV charges'!$A:$O,10,FALSE)),"")</f>
        <v>2.09</v>
      </c>
      <c r="H35" s="174">
        <f>IFERROR(IF(VLOOKUP($A35,'Annex 2 EHV charges'!$A:$O,11,FALSE)=0,"",VLOOKUP($A35,'Annex 2 EHV charges'!$A:$O,11,FALSE)),"")</f>
        <v>2.09</v>
      </c>
    </row>
    <row r="36" spans="1:8" ht="12.75" customHeight="1" x14ac:dyDescent="0.2">
      <c r="A36" s="93" t="str">
        <f t="array" ref="A36">IFERROR(INDEX('Annex 2 EHV charges'!$A$10:$A$301, MATCH(0, IF(ISBLANK('Annex 2 EHV charges'!$A$10:$A$301),1, COUNTIF(A$4:$A35, 'Annex 2 EHV charges'!$A$10:$A$301)), 0)),"")</f>
        <v>BRTHSW</v>
      </c>
      <c r="B36" s="93">
        <f>IF($A36="","",VLOOKUP($A36,'Annex 2 EHV charges'!$A:$O,2,0))</f>
        <v>874</v>
      </c>
      <c r="C36" s="94">
        <f>IF($A36="","",VLOOKUP($A36,'Annex 2 EHV charges'!$A:$O,3,0))</f>
        <v>1030083918035</v>
      </c>
      <c r="D36" s="93" t="str">
        <f>IF($A36="","",VLOOKUP($A36,'Annex 2 EHV charges'!$A:$O,7,0))</f>
        <v>BRTHSW</v>
      </c>
      <c r="E36" s="173">
        <f>IFERROR(IF(VLOOKUP($A36,'Annex 2 EHV charges'!$A:$O,8,FALSE)=0,"",VLOOKUP($A36,'Annex 2 EHV charges'!$A:$O,8,FALSE)),"")</f>
        <v>0.02</v>
      </c>
      <c r="F36" s="175">
        <f>IFERROR(IF(VLOOKUP($A36,'Annex 2 EHV charges'!$A:$O,9,FALSE)=0,"",VLOOKUP($A36,'Annex 2 EHV charges'!$A:$O,9,FALSE)),"")</f>
        <v>7.3</v>
      </c>
      <c r="G36" s="174">
        <f>IFERROR(IF(VLOOKUP($A36,'Annex 2 EHV charges'!$A:$O,10,FALSE)=0,"",VLOOKUP($A36,'Annex 2 EHV charges'!$A:$O,10,FALSE)),"")</f>
        <v>1.5</v>
      </c>
      <c r="H36" s="174">
        <f>IFERROR(IF(VLOOKUP($A36,'Annex 2 EHV charges'!$A:$O,11,FALSE)=0,"",VLOOKUP($A36,'Annex 2 EHV charges'!$A:$O,11,FALSE)),"")</f>
        <v>1.5</v>
      </c>
    </row>
    <row r="37" spans="1:8" ht="12.75" customHeight="1" x14ac:dyDescent="0.2">
      <c r="A37" s="93" t="str">
        <f t="array" ref="A37">IFERROR(INDEX('Annex 2 EHV charges'!$A$10:$A$301, MATCH(0, IF(ISBLANK('Annex 2 EHV charges'!$A$10:$A$301),1, COUNTIF(A$4:$A36, 'Annex 2 EHV charges'!$A$10:$A$301)), 0)),"")</f>
        <v>BS_BUR</v>
      </c>
      <c r="B37" s="93">
        <f>IF($A37="","",VLOOKUP($A37,'Annex 2 EHV charges'!$A:$O,2,0))</f>
        <v>805</v>
      </c>
      <c r="C37" s="94" t="str">
        <f>IF($A37="","",VLOOKUP($A37,'Annex 2 EHV charges'!$A:$O,3,0))</f>
        <v>1023485782314
1050000914910</v>
      </c>
      <c r="D37" s="93" t="str">
        <f>IF($A37="","",VLOOKUP($A37,'Annex 2 EHV charges'!$A:$O,7,0))</f>
        <v>BS_BUR</v>
      </c>
      <c r="E37" s="173">
        <f>IFERROR(IF(VLOOKUP($A37,'Annex 2 EHV charges'!$A:$O,8,FALSE)=0,"",VLOOKUP($A37,'Annex 2 EHV charges'!$A:$O,8,FALSE)),"")</f>
        <v>1.2490000000000001</v>
      </c>
      <c r="F37" s="175">
        <f>IFERROR(IF(VLOOKUP($A37,'Annex 2 EHV charges'!$A:$O,9,FALSE)=0,"",VLOOKUP($A37,'Annex 2 EHV charges'!$A:$O,9,FALSE)),"")</f>
        <v>94.86</v>
      </c>
      <c r="G37" s="174">
        <f>IFERROR(IF(VLOOKUP($A37,'Annex 2 EHV charges'!$A:$O,10,FALSE)=0,"",VLOOKUP($A37,'Annex 2 EHV charges'!$A:$O,10,FALSE)),"")</f>
        <v>1.41</v>
      </c>
      <c r="H37" s="174">
        <f>IFERROR(IF(VLOOKUP($A37,'Annex 2 EHV charges'!$A:$O,11,FALSE)=0,"",VLOOKUP($A37,'Annex 2 EHV charges'!$A:$O,11,FALSE)),"")</f>
        <v>1.41</v>
      </c>
    </row>
    <row r="38" spans="1:8" ht="12.75" customHeight="1" x14ac:dyDescent="0.2">
      <c r="A38" s="93" t="str">
        <f t="array" ref="A38">IFERROR(INDEX('Annex 2 EHV charges'!$A$10:$A$301, MATCH(0, IF(ISBLANK('Annex 2 EHV charges'!$A$10:$A$301),1, COUNTIF(A$4:$A37, 'Annex 2 EHV charges'!$A$10:$A$301)), 0)),"")</f>
        <v>BS_WIS</v>
      </c>
      <c r="B38" s="93">
        <f>IF($A38="","",VLOOKUP($A38,'Annex 2 EHV charges'!$A:$O,2,0))</f>
        <v>806</v>
      </c>
      <c r="C38" s="94">
        <f>IF($A38="","",VLOOKUP($A38,'Annex 2 EHV charges'!$A:$O,3,0))</f>
        <v>1014568635628</v>
      </c>
      <c r="D38" s="93" t="str">
        <f>IF($A38="","",VLOOKUP($A38,'Annex 2 EHV charges'!$A:$O,7,0))</f>
        <v>BS_WIS</v>
      </c>
      <c r="E38" s="173">
        <f>IFERROR(IF(VLOOKUP($A38,'Annex 2 EHV charges'!$A:$O,8,FALSE)=0,"",VLOOKUP($A38,'Annex 2 EHV charges'!$A:$O,8,FALSE)),"")</f>
        <v>4.0000000000000001E-3</v>
      </c>
      <c r="F38" s="175">
        <f>IFERROR(IF(VLOOKUP($A38,'Annex 2 EHV charges'!$A:$O,9,FALSE)=0,"",VLOOKUP($A38,'Annex 2 EHV charges'!$A:$O,9,FALSE)),"")</f>
        <v>25.8</v>
      </c>
      <c r="G38" s="174">
        <f>IFERROR(IF(VLOOKUP($A38,'Annex 2 EHV charges'!$A:$O,10,FALSE)=0,"",VLOOKUP($A38,'Annex 2 EHV charges'!$A:$O,10,FALSE)),"")</f>
        <v>1.7</v>
      </c>
      <c r="H38" s="174">
        <f>IFERROR(IF(VLOOKUP($A38,'Annex 2 EHV charges'!$A:$O,11,FALSE)=0,"",VLOOKUP($A38,'Annex 2 EHV charges'!$A:$O,11,FALSE)),"")</f>
        <v>1.7</v>
      </c>
    </row>
    <row r="39" spans="1:8" ht="12.75" customHeight="1" x14ac:dyDescent="0.2">
      <c r="A39" s="93" t="str">
        <f t="array" ref="A39">IFERROR(INDEX('Annex 2 EHV charges'!$A$10:$A$301, MATCH(0, IF(ISBLANK('Annex 2 EHV charges'!$A$10:$A$301),1, COUNTIF(A$4:$A38, 'Annex 2 EHV charges'!$A$10:$A$301)), 0)),"")</f>
        <v>BSGBRN</v>
      </c>
      <c r="B39" s="93">
        <f>IF($A39="","",VLOOKUP($A39,'Annex 2 EHV charges'!$A:$O,2,0))</f>
        <v>507</v>
      </c>
      <c r="C39" s="94">
        <f>IF($A39="","",VLOOKUP($A39,'Annex 2 EHV charges'!$A:$O,3,0))</f>
        <v>1050000773851</v>
      </c>
      <c r="D39" s="93" t="str">
        <f>IF($A39="","",VLOOKUP($A39,'Annex 2 EHV charges'!$A:$O,7,0))</f>
        <v>BSGBRN</v>
      </c>
      <c r="E39" s="173">
        <f>IFERROR(IF(VLOOKUP($A39,'Annex 2 EHV charges'!$A:$O,8,FALSE)=0,"",VLOOKUP($A39,'Annex 2 EHV charges'!$A:$O,8,FALSE)),"")</f>
        <v>1E-3</v>
      </c>
      <c r="F39" s="175">
        <f>IFERROR(IF(VLOOKUP($A39,'Annex 2 EHV charges'!$A:$O,9,FALSE)=0,"",VLOOKUP($A39,'Annex 2 EHV charges'!$A:$O,9,FALSE)),"")</f>
        <v>12.89</v>
      </c>
      <c r="G39" s="174">
        <f>IFERROR(IF(VLOOKUP($A39,'Annex 2 EHV charges'!$A:$O,10,FALSE)=0,"",VLOOKUP($A39,'Annex 2 EHV charges'!$A:$O,10,FALSE)),"")</f>
        <v>2.0699999999999998</v>
      </c>
      <c r="H39" s="174">
        <f>IFERROR(IF(VLOOKUP($A39,'Annex 2 EHV charges'!$A:$O,11,FALSE)=0,"",VLOOKUP($A39,'Annex 2 EHV charges'!$A:$O,11,FALSE)),"")</f>
        <v>2.0699999999999998</v>
      </c>
    </row>
    <row r="40" spans="1:8" ht="12.75" customHeight="1" x14ac:dyDescent="0.2">
      <c r="A40" s="93" t="str">
        <f t="array" ref="A40">IFERROR(INDEX('Annex 2 EHV charges'!$A$10:$A$301, MATCH(0, IF(ISBLANK('Annex 2 EHV charges'!$A$10:$A$301),1, COUNTIF(A$4:$A39, 'Annex 2 EHV charges'!$A$10:$A$301)), 0)),"")</f>
        <v>BTLCOM</v>
      </c>
      <c r="B40" s="93">
        <f>IF($A40="","",VLOOKUP($A40,'Annex 2 EHV charges'!$A:$O,2,0))</f>
        <v>592</v>
      </c>
      <c r="C40" s="94" t="str">
        <f>IF($A40="","",VLOOKUP($A40,'Annex 2 EHV charges'!$A:$O,3,0))</f>
        <v>1050000169030
1014572546086</v>
      </c>
      <c r="D40" s="93" t="str">
        <f>IF($A40="","",VLOOKUP($A40,'Annex 2 EHV charges'!$A:$O,7,0))</f>
        <v>BTLCOM</v>
      </c>
      <c r="E40" s="173">
        <f>IFERROR(IF(VLOOKUP($A40,'Annex 2 EHV charges'!$A:$O,8,FALSE)=0,"",VLOOKUP($A40,'Annex 2 EHV charges'!$A:$O,8,FALSE)),"")</f>
        <v>4.4610000000000003</v>
      </c>
      <c r="F40" s="175">
        <f>IFERROR(IF(VLOOKUP($A40,'Annex 2 EHV charges'!$A:$O,9,FALSE)=0,"",VLOOKUP($A40,'Annex 2 EHV charges'!$A:$O,9,FALSE)),"")</f>
        <v>359.71</v>
      </c>
      <c r="G40" s="174">
        <f>IFERROR(IF(VLOOKUP($A40,'Annex 2 EHV charges'!$A:$O,10,FALSE)=0,"",VLOOKUP($A40,'Annex 2 EHV charges'!$A:$O,10,FALSE)),"")</f>
        <v>5.26</v>
      </c>
      <c r="H40" s="174">
        <f>IFERROR(IF(VLOOKUP($A40,'Annex 2 EHV charges'!$A:$O,11,FALSE)=0,"",VLOOKUP($A40,'Annex 2 EHV charges'!$A:$O,11,FALSE)),"")</f>
        <v>5.26</v>
      </c>
    </row>
    <row r="41" spans="1:8" ht="12.75" customHeight="1" x14ac:dyDescent="0.2">
      <c r="A41" s="93" t="str">
        <f t="array" ref="A41">IFERROR(INDEX('Annex 2 EHV charges'!$A$10:$A$301, MATCH(0, IF(ISBLANK('Annex 2 EHV charges'!$A$10:$A$301),1, COUNTIF(A$4:$A40, 'Annex 2 EHV charges'!$A$10:$A$301)), 0)),"")</f>
        <v>BURYLN</v>
      </c>
      <c r="B41" s="93">
        <f>IF($A41="","",VLOOKUP($A41,'Annex 2 EHV charges'!$A:$O,2,0))</f>
        <v>541</v>
      </c>
      <c r="C41" s="94">
        <f>IF($A41="","",VLOOKUP($A41,'Annex 2 EHV charges'!$A:$O,3,0))</f>
        <v>1050000729676</v>
      </c>
      <c r="D41" s="93" t="str">
        <f>IF($A41="","",VLOOKUP($A41,'Annex 2 EHV charges'!$A:$O,7,0))</f>
        <v>BURYLN</v>
      </c>
      <c r="E41" s="173">
        <f>IFERROR(IF(VLOOKUP($A41,'Annex 2 EHV charges'!$A:$O,8,FALSE)=0,"",VLOOKUP($A41,'Annex 2 EHV charges'!$A:$O,8,FALSE)),"")</f>
        <v>2E-3</v>
      </c>
      <c r="F41" s="175">
        <f>IFERROR(IF(VLOOKUP($A41,'Annex 2 EHV charges'!$A:$O,9,FALSE)=0,"",VLOOKUP($A41,'Annex 2 EHV charges'!$A:$O,9,FALSE)),"")</f>
        <v>3.13</v>
      </c>
      <c r="G41" s="174">
        <f>IFERROR(IF(VLOOKUP($A41,'Annex 2 EHV charges'!$A:$O,10,FALSE)=0,"",VLOOKUP($A41,'Annex 2 EHV charges'!$A:$O,10,FALSE)),"")</f>
        <v>3</v>
      </c>
      <c r="H41" s="174">
        <f>IFERROR(IF(VLOOKUP($A41,'Annex 2 EHV charges'!$A:$O,11,FALSE)=0,"",VLOOKUP($A41,'Annex 2 EHV charges'!$A:$O,11,FALSE)),"")</f>
        <v>3</v>
      </c>
    </row>
    <row r="42" spans="1:8" ht="12.75" customHeight="1" x14ac:dyDescent="0.2">
      <c r="A42" s="93" t="str">
        <f t="array" ref="A42">IFERROR(INDEX('Annex 2 EHV charges'!$A$10:$A$301, MATCH(0, IF(ISBLANK('Annex 2 EHV charges'!$A$10:$A$301),1, COUNTIF(A$4:$A41, 'Annex 2 EHV charges'!$A$10:$A$301)), 0)),"")</f>
        <v>CANTSF</v>
      </c>
      <c r="B42" s="93">
        <f>IF($A42="","",VLOOKUP($A42,'Annex 2 EHV charges'!$A:$O,2,0))</f>
        <v>875</v>
      </c>
      <c r="C42" s="94">
        <f>IF($A42="","",VLOOKUP($A42,'Annex 2 EHV charges'!$A:$O,3,0))</f>
        <v>1030082355419</v>
      </c>
      <c r="D42" s="93" t="str">
        <f>IF($A42="","",VLOOKUP($A42,'Annex 2 EHV charges'!$A:$O,7,0))</f>
        <v>CANTSF</v>
      </c>
      <c r="E42" s="173">
        <f>IFERROR(IF(VLOOKUP($A42,'Annex 2 EHV charges'!$A:$O,8,FALSE)=0,"",VLOOKUP($A42,'Annex 2 EHV charges'!$A:$O,8,FALSE)),"")</f>
        <v>6.0000000000000001E-3</v>
      </c>
      <c r="F42" s="175">
        <f>IFERROR(IF(VLOOKUP($A42,'Annex 2 EHV charges'!$A:$O,9,FALSE)=0,"",VLOOKUP($A42,'Annex 2 EHV charges'!$A:$O,9,FALSE)),"")</f>
        <v>23.41</v>
      </c>
      <c r="G42" s="174">
        <f>IFERROR(IF(VLOOKUP($A42,'Annex 2 EHV charges'!$A:$O,10,FALSE)=0,"",VLOOKUP($A42,'Annex 2 EHV charges'!$A:$O,10,FALSE)),"")</f>
        <v>1.81</v>
      </c>
      <c r="H42" s="174">
        <f>IFERROR(IF(VLOOKUP($A42,'Annex 2 EHV charges'!$A:$O,11,FALSE)=0,"",VLOOKUP($A42,'Annex 2 EHV charges'!$A:$O,11,FALSE)),"")</f>
        <v>1.81</v>
      </c>
    </row>
    <row r="43" spans="1:8" ht="12.75" customHeight="1" x14ac:dyDescent="0.2">
      <c r="A43" s="93" t="str">
        <f t="array" ref="A43">IFERROR(INDEX('Annex 2 EHV charges'!$A$10:$A$301, MATCH(0, IF(ISBLANK('Annex 2 EHV charges'!$A$10:$A$301),1, COUNTIF(A$4:$A42, 'Annex 2 EHV charges'!$A$10:$A$301)), 0)),"")</f>
        <v>CEMXUK</v>
      </c>
      <c r="B43" s="93">
        <f>IF($A43="","",VLOOKUP($A43,'Annex 2 EHV charges'!$A:$O,2,0))</f>
        <v>593</v>
      </c>
      <c r="C43" s="94" t="str">
        <f>IF($A43="","",VLOOKUP($A43,'Annex 2 EHV charges'!$A:$O,3,0))</f>
        <v>1014571132500
1023474247588</v>
      </c>
      <c r="D43" s="93" t="str">
        <f>IF($A43="","",VLOOKUP($A43,'Annex 2 EHV charges'!$A:$O,7,0))</f>
        <v>CEMXUK</v>
      </c>
      <c r="E43" s="173">
        <f>IFERROR(IF(VLOOKUP($A43,'Annex 2 EHV charges'!$A:$O,8,FALSE)=0,"",VLOOKUP($A43,'Annex 2 EHV charges'!$A:$O,8,FALSE)),"")</f>
        <v>5.242</v>
      </c>
      <c r="F43" s="175">
        <f>IFERROR(IF(VLOOKUP($A43,'Annex 2 EHV charges'!$A:$O,9,FALSE)=0,"",VLOOKUP($A43,'Annex 2 EHV charges'!$A:$O,9,FALSE)),"")</f>
        <v>89.93</v>
      </c>
      <c r="G43" s="174">
        <f>IFERROR(IF(VLOOKUP($A43,'Annex 2 EHV charges'!$A:$O,10,FALSE)=0,"",VLOOKUP($A43,'Annex 2 EHV charges'!$A:$O,10,FALSE)),"")</f>
        <v>2.63</v>
      </c>
      <c r="H43" s="174">
        <f>IFERROR(IF(VLOOKUP($A43,'Annex 2 EHV charges'!$A:$O,11,FALSE)=0,"",VLOOKUP($A43,'Annex 2 EHV charges'!$A:$O,11,FALSE)),"")</f>
        <v>2.63</v>
      </c>
    </row>
    <row r="44" spans="1:8" ht="12.75" customHeight="1" x14ac:dyDescent="0.2">
      <c r="A44" s="93" t="str">
        <f t="array" ref="A44">IFERROR(INDEX('Annex 2 EHV charges'!$A$10:$A$301, MATCH(0, IF(ISBLANK('Annex 2 EHV charges'!$A$10:$A$301),1, COUNTIF(A$4:$A43, 'Annex 2 EHV charges'!$A$10:$A$301)), 0)),"")</f>
        <v>CHEDSF</v>
      </c>
      <c r="B44" s="93">
        <f>IF($A44="","",VLOOKUP($A44,'Annex 2 EHV charges'!$A:$O,2,0))</f>
        <v>876</v>
      </c>
      <c r="C44" s="94">
        <f>IF($A44="","",VLOOKUP($A44,'Annex 2 EHV charges'!$A:$O,3,0))</f>
        <v>1030083806488</v>
      </c>
      <c r="D44" s="93" t="str">
        <f>IF($A44="","",VLOOKUP($A44,'Annex 2 EHV charges'!$A:$O,7,0))</f>
        <v>CHEDSF</v>
      </c>
      <c r="E44" s="173">
        <f>IFERROR(IF(VLOOKUP($A44,'Annex 2 EHV charges'!$A:$O,8,FALSE)=0,"",VLOOKUP($A44,'Annex 2 EHV charges'!$A:$O,8,FALSE)),"")</f>
        <v>7.5999999999999998E-2</v>
      </c>
      <c r="F44" s="175">
        <f>IFERROR(IF(VLOOKUP($A44,'Annex 2 EHV charges'!$A:$O,9,FALSE)=0,"",VLOOKUP($A44,'Annex 2 EHV charges'!$A:$O,9,FALSE)),"")</f>
        <v>8.25</v>
      </c>
      <c r="G44" s="174">
        <f>IFERROR(IF(VLOOKUP($A44,'Annex 2 EHV charges'!$A:$O,10,FALSE)=0,"",VLOOKUP($A44,'Annex 2 EHV charges'!$A:$O,10,FALSE)),"")</f>
        <v>3.99</v>
      </c>
      <c r="H44" s="174">
        <f>IFERROR(IF(VLOOKUP($A44,'Annex 2 EHV charges'!$A:$O,11,FALSE)=0,"",VLOOKUP($A44,'Annex 2 EHV charges'!$A:$O,11,FALSE)),"")</f>
        <v>3.99</v>
      </c>
    </row>
    <row r="45" spans="1:8" ht="12.75" customHeight="1" x14ac:dyDescent="0.2">
      <c r="A45" s="93" t="str">
        <f t="array" ref="A45">IFERROR(INDEX('Annex 2 EHV charges'!$A$10:$A$301, MATCH(0, IF(ISBLANK('Annex 2 EHV charges'!$A$10:$A$301),1, COUNTIF(A$4:$A44, 'Annex 2 EHV charges'!$A$10:$A$301)), 0)),"")</f>
        <v>CHFARM</v>
      </c>
      <c r="B45" s="93">
        <f>IF($A45="","",VLOOKUP($A45,'Annex 2 EHV charges'!$A:$O,2,0))</f>
        <v>542</v>
      </c>
      <c r="C45" s="94">
        <f>IF($A45="","",VLOOKUP($A45,'Annex 2 EHV charges'!$A:$O,3,0))</f>
        <v>1050000961983</v>
      </c>
      <c r="D45" s="93" t="str">
        <f>IF($A45="","",VLOOKUP($A45,'Annex 2 EHV charges'!$A:$O,7,0))</f>
        <v>CHFARM</v>
      </c>
      <c r="E45" s="173">
        <f>IFERROR(IF(VLOOKUP($A45,'Annex 2 EHV charges'!$A:$O,8,FALSE)=0,"",VLOOKUP($A45,'Annex 2 EHV charges'!$A:$O,8,FALSE)),"")</f>
        <v>1.4139999999999999</v>
      </c>
      <c r="F45" s="175">
        <f>IFERROR(IF(VLOOKUP($A45,'Annex 2 EHV charges'!$A:$O,9,FALSE)=0,"",VLOOKUP($A45,'Annex 2 EHV charges'!$A:$O,9,FALSE)),"")</f>
        <v>49.1</v>
      </c>
      <c r="G45" s="174">
        <f>IFERROR(IF(VLOOKUP($A45,'Annex 2 EHV charges'!$A:$O,10,FALSE)=0,"",VLOOKUP($A45,'Annex 2 EHV charges'!$A:$O,10,FALSE)),"")</f>
        <v>2.11</v>
      </c>
      <c r="H45" s="174">
        <f>IFERROR(IF(VLOOKUP($A45,'Annex 2 EHV charges'!$A:$O,11,FALSE)=0,"",VLOOKUP($A45,'Annex 2 EHV charges'!$A:$O,11,FALSE)),"")</f>
        <v>2.11</v>
      </c>
    </row>
    <row r="46" spans="1:8" ht="12.75" customHeight="1" x14ac:dyDescent="0.2">
      <c r="A46" s="93" t="str">
        <f t="array" ref="A46">IFERROR(INDEX('Annex 2 EHV charges'!$A$10:$A$301, MATCH(0, IF(ISBLANK('Annex 2 EHV charges'!$A$10:$A$301),1, COUNTIF(A$4:$A45, 'Annex 2 EHV charges'!$A$10:$A$301)), 0)),"")</f>
        <v>CHPLOW</v>
      </c>
      <c r="B46" s="93">
        <f>IF($A46="","",VLOOKUP($A46,'Annex 2 EHV charges'!$A:$O,2,0))</f>
        <v>543</v>
      </c>
      <c r="C46" s="94">
        <f>IF($A46="","",VLOOKUP($A46,'Annex 2 EHV charges'!$A:$O,3,0))</f>
        <v>1050000948022</v>
      </c>
      <c r="D46" s="93" t="str">
        <f>IF($A46="","",VLOOKUP($A46,'Annex 2 EHV charges'!$A:$O,7,0))</f>
        <v>CHPLOW</v>
      </c>
      <c r="E46" s="173">
        <f>IFERROR(IF(VLOOKUP($A46,'Annex 2 EHV charges'!$A:$O,8,FALSE)=0,"",VLOOKUP($A46,'Annex 2 EHV charges'!$A:$O,8,FALSE)),"")</f>
        <v>1.6E-2</v>
      </c>
      <c r="F46" s="175">
        <f>IFERROR(IF(VLOOKUP($A46,'Annex 2 EHV charges'!$A:$O,9,FALSE)=0,"",VLOOKUP($A46,'Annex 2 EHV charges'!$A:$O,9,FALSE)),"")</f>
        <v>49.38</v>
      </c>
      <c r="G46" s="174">
        <f>IFERROR(IF(VLOOKUP($A46,'Annex 2 EHV charges'!$A:$O,10,FALSE)=0,"",VLOOKUP($A46,'Annex 2 EHV charges'!$A:$O,10,FALSE)),"")</f>
        <v>1.8</v>
      </c>
      <c r="H46" s="174">
        <f>IFERROR(IF(VLOOKUP($A46,'Annex 2 EHV charges'!$A:$O,11,FALSE)=0,"",VLOOKUP($A46,'Annex 2 EHV charges'!$A:$O,11,FALSE)),"")</f>
        <v>1.8</v>
      </c>
    </row>
    <row r="47" spans="1:8" ht="12.75" customHeight="1" x14ac:dyDescent="0.2">
      <c r="A47" s="93" t="str">
        <f t="array" ref="A47">IFERROR(INDEX('Annex 2 EHV charges'!$A$10:$A$301, MATCH(0, IF(ISBLANK('Annex 2 EHV charges'!$A$10:$A$301),1, COUNTIF(A$4:$A46, 'Annex 2 EHV charges'!$A$10:$A$301)), 0)),"")</f>
        <v>CLAYPV</v>
      </c>
      <c r="B47" s="93">
        <f>IF($A47="","",VLOOKUP($A47,'Annex 2 EHV charges'!$A:$O,2,0))</f>
        <v>303</v>
      </c>
      <c r="C47" s="94">
        <f>IF($A47="","",VLOOKUP($A47,'Annex 2 EHV charges'!$A:$O,3,0))</f>
        <v>1050001382337</v>
      </c>
      <c r="D47" s="93" t="str">
        <f>IF($A47="","",VLOOKUP($A47,'Annex 2 EHV charges'!$A:$O,7,0))</f>
        <v>CLAYPV</v>
      </c>
      <c r="E47" s="173" t="str">
        <f>IFERROR(IF(VLOOKUP($A47,'Annex 2 EHV charges'!$A:$O,8,FALSE)=0,"",VLOOKUP($A47,'Annex 2 EHV charges'!$A:$O,8,FALSE)),"")</f>
        <v/>
      </c>
      <c r="F47" s="175" t="str">
        <f>IFERROR(IF(VLOOKUP($A47,'Annex 2 EHV charges'!$A:$O,9,FALSE)=0,"",VLOOKUP($A47,'Annex 2 EHV charges'!$A:$O,9,FALSE)),"")</f>
        <v/>
      </c>
      <c r="G47" s="174">
        <f>IFERROR(IF(VLOOKUP($A47,'Annex 2 EHV charges'!$A:$O,10,FALSE)=0,"",VLOOKUP($A47,'Annex 2 EHV charges'!$A:$O,10,FALSE)),"")</f>
        <v>1.49</v>
      </c>
      <c r="H47" s="174">
        <f>IFERROR(IF(VLOOKUP($A47,'Annex 2 EHV charges'!$A:$O,11,FALSE)=0,"",VLOOKUP($A47,'Annex 2 EHV charges'!$A:$O,11,FALSE)),"")</f>
        <v>1.49</v>
      </c>
    </row>
    <row r="48" spans="1:8" ht="12.75" customHeight="1" x14ac:dyDescent="0.2">
      <c r="A48" s="93" t="str">
        <f t="array" ref="A48">IFERROR(INDEX('Annex 2 EHV charges'!$A$10:$A$301, MATCH(0, IF(ISBLANK('Annex 2 EHV charges'!$A$10:$A$301),1, COUNTIF(A$4:$A47, 'Annex 2 EHV charges'!$A$10:$A$301)), 0)),"")</f>
        <v>CLDECT</v>
      </c>
      <c r="B48" s="93">
        <f>IF($A48="","",VLOOKUP($A48,'Annex 2 EHV charges'!$A:$O,2,0))</f>
        <v>544</v>
      </c>
      <c r="C48" s="94">
        <f>IF($A48="","",VLOOKUP($A48,'Annex 2 EHV charges'!$A:$O,3,0))</f>
        <v>1050000714173</v>
      </c>
      <c r="D48" s="93" t="str">
        <f>IF($A48="","",VLOOKUP($A48,'Annex 2 EHV charges'!$A:$O,7,0))</f>
        <v>CLDECT</v>
      </c>
      <c r="E48" s="173">
        <f>IFERROR(IF(VLOOKUP($A48,'Annex 2 EHV charges'!$A:$O,8,FALSE)=0,"",VLOOKUP($A48,'Annex 2 EHV charges'!$A:$O,8,FALSE)),"")</f>
        <v>2.5000000000000001E-2</v>
      </c>
      <c r="F48" s="175">
        <f>IFERROR(IF(VLOOKUP($A48,'Annex 2 EHV charges'!$A:$O,9,FALSE)=0,"",VLOOKUP($A48,'Annex 2 EHV charges'!$A:$O,9,FALSE)),"")</f>
        <v>11.76</v>
      </c>
      <c r="G48" s="174">
        <f>IFERROR(IF(VLOOKUP($A48,'Annex 2 EHV charges'!$A:$O,10,FALSE)=0,"",VLOOKUP($A48,'Annex 2 EHV charges'!$A:$O,10,FALSE)),"")</f>
        <v>1.51</v>
      </c>
      <c r="H48" s="174">
        <f>IFERROR(IF(VLOOKUP($A48,'Annex 2 EHV charges'!$A:$O,11,FALSE)=0,"",VLOOKUP($A48,'Annex 2 EHV charges'!$A:$O,11,FALSE)),"")</f>
        <v>1.51</v>
      </c>
    </row>
    <row r="49" spans="1:8" ht="12.75" customHeight="1" x14ac:dyDescent="0.2">
      <c r="A49" s="93" t="str">
        <f t="array" ref="A49">IFERROR(INDEX('Annex 2 EHV charges'!$A$10:$A$301, MATCH(0, IF(ISBLANK('Annex 2 EHV charges'!$A$10:$A$301),1, COUNTIF(A$4:$A48, 'Annex 2 EHV charges'!$A$10:$A$301)), 0)),"")</f>
        <v>CLFFQY</v>
      </c>
      <c r="B49" s="93">
        <f>IF($A49="","",VLOOKUP($A49,'Annex 2 EHV charges'!$A:$O,2,0))</f>
        <v>304</v>
      </c>
      <c r="C49" s="94">
        <f>IF($A49="","",VLOOKUP($A49,'Annex 2 EHV charges'!$A:$O,3,0))</f>
        <v>1050001439408</v>
      </c>
      <c r="D49" s="93" t="str">
        <f>IF($A49="","",VLOOKUP($A49,'Annex 2 EHV charges'!$A:$O,7,0))</f>
        <v>CLFFQY</v>
      </c>
      <c r="E49" s="173" t="str">
        <f>IFERROR(IF(VLOOKUP($A49,'Annex 2 EHV charges'!$A:$O,8,FALSE)=0,"",VLOOKUP($A49,'Annex 2 EHV charges'!$A:$O,8,FALSE)),"")</f>
        <v/>
      </c>
      <c r="F49" s="175">
        <f>IFERROR(IF(VLOOKUP($A49,'Annex 2 EHV charges'!$A:$O,9,FALSE)=0,"",VLOOKUP($A49,'Annex 2 EHV charges'!$A:$O,9,FALSE)),"")</f>
        <v>32.450000000000003</v>
      </c>
      <c r="G49" s="174">
        <f>IFERROR(IF(VLOOKUP($A49,'Annex 2 EHV charges'!$A:$O,10,FALSE)=0,"",VLOOKUP($A49,'Annex 2 EHV charges'!$A:$O,10,FALSE)),"")</f>
        <v>2.36</v>
      </c>
      <c r="H49" s="174">
        <f>IFERROR(IF(VLOOKUP($A49,'Annex 2 EHV charges'!$A:$O,11,FALSE)=0,"",VLOOKUP($A49,'Annex 2 EHV charges'!$A:$O,11,FALSE)),"")</f>
        <v>2.36</v>
      </c>
    </row>
    <row r="50" spans="1:8" ht="12.75" customHeight="1" x14ac:dyDescent="0.2">
      <c r="A50" s="93" t="str">
        <f t="array" ref="A50">IFERROR(INDEX('Annex 2 EHV charges'!$A$10:$A$301, MATCH(0, IF(ISBLANK('Annex 2 EHV charges'!$A$10:$A$301),1, COUNTIF(A$4:$A49, 'Annex 2 EHV charges'!$A$10:$A$301)), 0)),"")</f>
        <v>CLRDWN</v>
      </c>
      <c r="B50" s="93">
        <f>IF($A50="","",VLOOKUP($A50,'Annex 2 EHV charges'!$A:$O,2,0))</f>
        <v>305</v>
      </c>
      <c r="C50" s="94">
        <f>IF($A50="","",VLOOKUP($A50,'Annex 2 EHV charges'!$A:$O,3,0))</f>
        <v>1050001495174</v>
      </c>
      <c r="D50" s="93" t="str">
        <f>IF($A50="","",VLOOKUP($A50,'Annex 2 EHV charges'!$A:$O,7,0))</f>
        <v>CLRDWN</v>
      </c>
      <c r="E50" s="173">
        <f>IFERROR(IF(VLOOKUP($A50,'Annex 2 EHV charges'!$A:$O,8,FALSE)=0,"",VLOOKUP($A50,'Annex 2 EHV charges'!$A:$O,8,FALSE)),"")</f>
        <v>2.98</v>
      </c>
      <c r="F50" s="175">
        <f>IFERROR(IF(VLOOKUP($A50,'Annex 2 EHV charges'!$A:$O,9,FALSE)=0,"",VLOOKUP($A50,'Annex 2 EHV charges'!$A:$O,9,FALSE)),"")</f>
        <v>491.3</v>
      </c>
      <c r="G50" s="174">
        <f>IFERROR(IF(VLOOKUP($A50,'Annex 2 EHV charges'!$A:$O,10,FALSE)=0,"",VLOOKUP($A50,'Annex 2 EHV charges'!$A:$O,10,FALSE)),"")</f>
        <v>1.31</v>
      </c>
      <c r="H50" s="174">
        <f>IFERROR(IF(VLOOKUP($A50,'Annex 2 EHV charges'!$A:$O,11,FALSE)=0,"",VLOOKUP($A50,'Annex 2 EHV charges'!$A:$O,11,FALSE)),"")</f>
        <v>1.31</v>
      </c>
    </row>
    <row r="51" spans="1:8" ht="12.75" customHeight="1" x14ac:dyDescent="0.2">
      <c r="A51" s="93" t="str">
        <f t="array" ref="A51">IFERROR(INDEX('Annex 2 EHV charges'!$A$10:$A$301, MATCH(0, IF(ISBLANK('Annex 2 EHV charges'!$A$10:$A$301),1, COUNTIF(A$4:$A50, 'Annex 2 EHV charges'!$A$10:$A$301)), 0)),"")</f>
        <v>CLTSHL</v>
      </c>
      <c r="B51" s="93">
        <f>IF($A51="","",VLOOKUP($A51,'Annex 2 EHV charges'!$A:$O,2,0))</f>
        <v>535</v>
      </c>
      <c r="C51" s="94">
        <f>IF($A51="","",VLOOKUP($A51,'Annex 2 EHV charges'!$A:$O,3,0))</f>
        <v>1050000841917</v>
      </c>
      <c r="D51" s="93" t="str">
        <f>IF($A51="","",VLOOKUP($A51,'Annex 2 EHV charges'!$A:$O,7,0))</f>
        <v>CLTSHL</v>
      </c>
      <c r="E51" s="173">
        <f>IFERROR(IF(VLOOKUP($A51,'Annex 2 EHV charges'!$A:$O,8,FALSE)=0,"",VLOOKUP($A51,'Annex 2 EHV charges'!$A:$O,8,FALSE)),"")</f>
        <v>0.19400000000000001</v>
      </c>
      <c r="F51" s="175">
        <f>IFERROR(IF(VLOOKUP($A51,'Annex 2 EHV charges'!$A:$O,9,FALSE)=0,"",VLOOKUP($A51,'Annex 2 EHV charges'!$A:$O,9,FALSE)),"")</f>
        <v>3.02</v>
      </c>
      <c r="G51" s="174">
        <f>IFERROR(IF(VLOOKUP($A51,'Annex 2 EHV charges'!$A:$O,10,FALSE)=0,"",VLOOKUP($A51,'Annex 2 EHV charges'!$A:$O,10,FALSE)),"")</f>
        <v>15.04</v>
      </c>
      <c r="H51" s="174">
        <f>IFERROR(IF(VLOOKUP($A51,'Annex 2 EHV charges'!$A:$O,11,FALSE)=0,"",VLOOKUP($A51,'Annex 2 EHV charges'!$A:$O,11,FALSE)),"")</f>
        <v>15.04</v>
      </c>
    </row>
    <row r="52" spans="1:8" ht="12.75" customHeight="1" x14ac:dyDescent="0.2">
      <c r="A52" s="93" t="str">
        <f t="array" ref="A52">IFERROR(INDEX('Annex 2 EHV charges'!$A$10:$A$301, MATCH(0, IF(ISBLANK('Annex 2 EHV charges'!$A$10:$A$301),1, COUNTIF(A$4:$A51, 'Annex 2 EHV charges'!$A$10:$A$301)), 0)),"")</f>
        <v>CMRODC</v>
      </c>
      <c r="B52" s="93">
        <f>IF($A52="","",VLOOKUP($A52,'Annex 2 EHV charges'!$A:$O,2,0))</f>
        <v>594</v>
      </c>
      <c r="C52" s="94" t="str">
        <f>IF($A52="","",VLOOKUP($A52,'Annex 2 EHV charges'!$A:$O,3,0))</f>
        <v>1050001068050
1050001068069</v>
      </c>
      <c r="D52" s="93" t="str">
        <f>IF($A52="","",VLOOKUP($A52,'Annex 2 EHV charges'!$A:$O,7,0))</f>
        <v>CMRODC</v>
      </c>
      <c r="E52" s="173">
        <f>IFERROR(IF(VLOOKUP($A52,'Annex 2 EHV charges'!$A:$O,8,FALSE)=0,"",VLOOKUP($A52,'Annex 2 EHV charges'!$A:$O,8,FALSE)),"")</f>
        <v>2E-3</v>
      </c>
      <c r="F52" s="175">
        <f>IFERROR(IF(VLOOKUP($A52,'Annex 2 EHV charges'!$A:$O,9,FALSE)=0,"",VLOOKUP($A52,'Annex 2 EHV charges'!$A:$O,9,FALSE)),"")</f>
        <v>257.99</v>
      </c>
      <c r="G52" s="174">
        <f>IFERROR(IF(VLOOKUP($A52,'Annex 2 EHV charges'!$A:$O,10,FALSE)=0,"",VLOOKUP($A52,'Annex 2 EHV charges'!$A:$O,10,FALSE)),"")</f>
        <v>3.73</v>
      </c>
      <c r="H52" s="174">
        <f>IFERROR(IF(VLOOKUP($A52,'Annex 2 EHV charges'!$A:$O,11,FALSE)=0,"",VLOOKUP($A52,'Annex 2 EHV charges'!$A:$O,11,FALSE)),"")</f>
        <v>3.73</v>
      </c>
    </row>
    <row r="53" spans="1:8" ht="12.75" customHeight="1" x14ac:dyDescent="0.2">
      <c r="A53" s="93" t="str">
        <f t="array" ref="A53">IFERROR(INDEX('Annex 2 EHV charges'!$A$10:$A$301, MATCH(0, IF(ISBLANK('Annex 2 EHV charges'!$A$10:$A$301),1, COUNTIF(A$4:$A52, 'Annex 2 EHV charges'!$A$10:$A$301)), 0)),"")</f>
        <v>COLDHA</v>
      </c>
      <c r="B53" s="93">
        <f>IF($A53="","",VLOOKUP($A53,'Annex 2 EHV charges'!$A:$O,2,0))</f>
        <v>808</v>
      </c>
      <c r="C53" s="94">
        <f>IF($A53="","",VLOOKUP($A53,'Annex 2 EHV charges'!$A:$O,3,0))</f>
        <v>1030017556367</v>
      </c>
      <c r="D53" s="93" t="str">
        <f>IF($A53="","",VLOOKUP($A53,'Annex 2 EHV charges'!$A:$O,7,0))</f>
        <v>COLDHA</v>
      </c>
      <c r="E53" s="173">
        <f>IFERROR(IF(VLOOKUP($A53,'Annex 2 EHV charges'!$A:$O,8,FALSE)=0,"",VLOOKUP($A53,'Annex 2 EHV charges'!$A:$O,8,FALSE)),"")</f>
        <v>8.9999999999999993E-3</v>
      </c>
      <c r="F53" s="175">
        <f>IFERROR(IF(VLOOKUP($A53,'Annex 2 EHV charges'!$A:$O,9,FALSE)=0,"",VLOOKUP($A53,'Annex 2 EHV charges'!$A:$O,9,FALSE)),"")</f>
        <v>25.23</v>
      </c>
      <c r="G53" s="174">
        <f>IFERROR(IF(VLOOKUP($A53,'Annex 2 EHV charges'!$A:$O,10,FALSE)=0,"",VLOOKUP($A53,'Annex 2 EHV charges'!$A:$O,10,FALSE)),"")</f>
        <v>1.67</v>
      </c>
      <c r="H53" s="174">
        <f>IFERROR(IF(VLOOKUP($A53,'Annex 2 EHV charges'!$A:$O,11,FALSE)=0,"",VLOOKUP($A53,'Annex 2 EHV charges'!$A:$O,11,FALSE)),"")</f>
        <v>1.67</v>
      </c>
    </row>
    <row r="54" spans="1:8" ht="12.75" customHeight="1" x14ac:dyDescent="0.2">
      <c r="A54" s="93" t="str">
        <f t="array" ref="A54">IFERROR(INDEX('Annex 2 EHV charges'!$A$10:$A$301, MATCH(0, IF(ISBLANK('Annex 2 EHV charges'!$A$10:$A$301),1, COUNTIF(A$4:$A53, 'Annex 2 EHV charges'!$A$10:$A$301)), 0)),"")</f>
        <v>CRANHM</v>
      </c>
      <c r="B54" s="93">
        <f>IF($A54="","",VLOOKUP($A54,'Annex 2 EHV charges'!$A:$O,2,0))</f>
        <v>566</v>
      </c>
      <c r="C54" s="94">
        <f>IF($A54="","",VLOOKUP($A54,'Annex 2 EHV charges'!$A:$O,3,0))</f>
        <v>1050001191792</v>
      </c>
      <c r="D54" s="93" t="str">
        <f>IF($A54="","",VLOOKUP($A54,'Annex 2 EHV charges'!$A:$O,7,0))</f>
        <v>CRANHM</v>
      </c>
      <c r="E54" s="173">
        <f>IFERROR(IF(VLOOKUP($A54,'Annex 2 EHV charges'!$A:$O,8,FALSE)=0,"",VLOOKUP($A54,'Annex 2 EHV charges'!$A:$O,8,FALSE)),"")</f>
        <v>0.128</v>
      </c>
      <c r="F54" s="175">
        <f>IFERROR(IF(VLOOKUP($A54,'Annex 2 EHV charges'!$A:$O,9,FALSE)=0,"",VLOOKUP($A54,'Annex 2 EHV charges'!$A:$O,9,FALSE)),"")</f>
        <v>10.18</v>
      </c>
      <c r="G54" s="174">
        <f>IFERROR(IF(VLOOKUP($A54,'Annex 2 EHV charges'!$A:$O,10,FALSE)=0,"",VLOOKUP($A54,'Annex 2 EHV charges'!$A:$O,10,FALSE)),"")</f>
        <v>1.6</v>
      </c>
      <c r="H54" s="174">
        <f>IFERROR(IF(VLOOKUP($A54,'Annex 2 EHV charges'!$A:$O,11,FALSE)=0,"",VLOOKUP($A54,'Annex 2 EHV charges'!$A:$O,11,FALSE)),"")</f>
        <v>1.6</v>
      </c>
    </row>
    <row r="55" spans="1:8" ht="12.75" customHeight="1" x14ac:dyDescent="0.2">
      <c r="A55" s="93" t="str">
        <f t="array" ref="A55">IFERROR(INDEX('Annex 2 EHV charges'!$A$10:$A$301, MATCH(0, IF(ISBLANK('Annex 2 EHV charges'!$A$10:$A$301),1, COUNTIF(A$4:$A54, 'Annex 2 EHV charges'!$A$10:$A$301)), 0)),"")</f>
        <v>CROYDN</v>
      </c>
      <c r="B55" s="93">
        <f>IF($A55="","",VLOOKUP($A55,'Annex 2 EHV charges'!$A:$O,2,0))</f>
        <v>509</v>
      </c>
      <c r="C55" s="94">
        <f>IF($A55="","",VLOOKUP($A55,'Annex 2 EHV charges'!$A:$O,3,0))</f>
        <v>1050000808859</v>
      </c>
      <c r="D55" s="93" t="str">
        <f>IF($A55="","",VLOOKUP($A55,'Annex 2 EHV charges'!$A:$O,7,0))</f>
        <v>CROYDN</v>
      </c>
      <c r="E55" s="173">
        <f>IFERROR(IF(VLOOKUP($A55,'Annex 2 EHV charges'!$A:$O,8,FALSE)=0,"",VLOOKUP($A55,'Annex 2 EHV charges'!$A:$O,8,FALSE)),"")</f>
        <v>5.0000000000000001E-3</v>
      </c>
      <c r="F55" s="175">
        <f>IFERROR(IF(VLOOKUP($A55,'Annex 2 EHV charges'!$A:$O,9,FALSE)=0,"",VLOOKUP($A55,'Annex 2 EHV charges'!$A:$O,9,FALSE)),"")</f>
        <v>2.1800000000000002</v>
      </c>
      <c r="G55" s="174">
        <f>IFERROR(IF(VLOOKUP($A55,'Annex 2 EHV charges'!$A:$O,10,FALSE)=0,"",VLOOKUP($A55,'Annex 2 EHV charges'!$A:$O,10,FALSE)),"")</f>
        <v>3.83</v>
      </c>
      <c r="H55" s="174">
        <f>IFERROR(IF(VLOOKUP($A55,'Annex 2 EHV charges'!$A:$O,11,FALSE)=0,"",VLOOKUP($A55,'Annex 2 EHV charges'!$A:$O,11,FALSE)),"")</f>
        <v>3.83</v>
      </c>
    </row>
    <row r="56" spans="1:8" ht="12.75" customHeight="1" x14ac:dyDescent="0.2">
      <c r="A56" s="93" t="str">
        <f t="array" ref="A56">IFERROR(INDEX('Annex 2 EHV charges'!$A$10:$A$301, MATCH(0, IF(ISBLANK('Annex 2 EHV charges'!$A$10:$A$301),1, COUNTIF(A$4:$A55, 'Annex 2 EHV charges'!$A$10:$A$301)), 0)),"")</f>
        <v>CRSSNG</v>
      </c>
      <c r="B56" s="93">
        <f>IF($A56="","",VLOOKUP($A56,'Annex 2 EHV charges'!$A:$O,2,0))</f>
        <v>307</v>
      </c>
      <c r="C56" s="94">
        <f>IF($A56="","",VLOOKUP($A56,'Annex 2 EHV charges'!$A:$O,3,0))</f>
        <v>1050001047087</v>
      </c>
      <c r="D56" s="93" t="str">
        <f>IF($A56="","",VLOOKUP($A56,'Annex 2 EHV charges'!$A:$O,7,0))</f>
        <v>CRSSNG</v>
      </c>
      <c r="E56" s="173" t="str">
        <f>IFERROR(IF(VLOOKUP($A56,'Annex 2 EHV charges'!$A:$O,8,FALSE)=0,"",VLOOKUP($A56,'Annex 2 EHV charges'!$A:$O,8,FALSE)),"")</f>
        <v/>
      </c>
      <c r="F56" s="175">
        <f>IFERROR(IF(VLOOKUP($A56,'Annex 2 EHV charges'!$A:$O,9,FALSE)=0,"",VLOOKUP($A56,'Annex 2 EHV charges'!$A:$O,9,FALSE)),"")</f>
        <v>1.5</v>
      </c>
      <c r="G56" s="174">
        <f>IFERROR(IF(VLOOKUP($A56,'Annex 2 EHV charges'!$A:$O,10,FALSE)=0,"",VLOOKUP($A56,'Annex 2 EHV charges'!$A:$O,10,FALSE)),"")</f>
        <v>7.44</v>
      </c>
      <c r="H56" s="174">
        <f>IFERROR(IF(VLOOKUP($A56,'Annex 2 EHV charges'!$A:$O,11,FALSE)=0,"",VLOOKUP($A56,'Annex 2 EHV charges'!$A:$O,11,FALSE)),"")</f>
        <v>7.44</v>
      </c>
    </row>
    <row r="57" spans="1:8" ht="12.75" customHeight="1" x14ac:dyDescent="0.2">
      <c r="A57" s="93" t="str">
        <f t="array" ref="A57">IFERROR(INDEX('Annex 2 EHV charges'!$A$10:$A$301, MATCH(0, IF(ISBLANK('Annex 2 EHV charges'!$A$10:$A$301),1, COUNTIF(A$4:$A56, 'Annex 2 EHV charges'!$A$10:$A$301)), 0)),"")</f>
        <v>CTWDFM</v>
      </c>
      <c r="B57" s="93">
        <f>IF($A57="","",VLOOKUP($A57,'Annex 2 EHV charges'!$A:$O,2,0))</f>
        <v>835</v>
      </c>
      <c r="C57" s="94">
        <f>IF($A57="","",VLOOKUP($A57,'Annex 2 EHV charges'!$A:$O,3,0))</f>
        <v>1030079565056</v>
      </c>
      <c r="D57" s="93" t="str">
        <f>IF($A57="","",VLOOKUP($A57,'Annex 2 EHV charges'!$A:$O,7,0))</f>
        <v>CTWDFM</v>
      </c>
      <c r="E57" s="173" t="str">
        <f>IFERROR(IF(VLOOKUP($A57,'Annex 2 EHV charges'!$A:$O,8,FALSE)=0,"",VLOOKUP($A57,'Annex 2 EHV charges'!$A:$O,8,FALSE)),"")</f>
        <v/>
      </c>
      <c r="F57" s="175">
        <f>IFERROR(IF(VLOOKUP($A57,'Annex 2 EHV charges'!$A:$O,9,FALSE)=0,"",VLOOKUP($A57,'Annex 2 EHV charges'!$A:$O,9,FALSE)),"")</f>
        <v>11.59</v>
      </c>
      <c r="G57" s="174">
        <f>IFERROR(IF(VLOOKUP($A57,'Annex 2 EHV charges'!$A:$O,10,FALSE)=0,"",VLOOKUP($A57,'Annex 2 EHV charges'!$A:$O,10,FALSE)),"")</f>
        <v>1.93</v>
      </c>
      <c r="H57" s="174">
        <f>IFERROR(IF(VLOOKUP($A57,'Annex 2 EHV charges'!$A:$O,11,FALSE)=0,"",VLOOKUP($A57,'Annex 2 EHV charges'!$A:$O,11,FALSE)),"")</f>
        <v>1.93</v>
      </c>
    </row>
    <row r="58" spans="1:8" ht="12.75" customHeight="1" x14ac:dyDescent="0.2">
      <c r="A58" s="93" t="str">
        <f t="array" ref="A58">IFERROR(INDEX('Annex 2 EHV charges'!$A$10:$A$301, MATCH(0, IF(ISBLANK('Annex 2 EHV charges'!$A$10:$A$301),1, COUNTIF(A$4:$A57, 'Annex 2 EHV charges'!$A$10:$A$301)), 0)),"")</f>
        <v>DBLANE</v>
      </c>
      <c r="B58" s="93">
        <f>IF($A58="","",VLOOKUP($A58,'Annex 2 EHV charges'!$A:$O,2,0))</f>
        <v>878</v>
      </c>
      <c r="C58" s="94">
        <f>IF($A58="","",VLOOKUP($A58,'Annex 2 EHV charges'!$A:$O,3,0))</f>
        <v>1050000612950</v>
      </c>
      <c r="D58" s="93" t="str">
        <f>IF($A58="","",VLOOKUP($A58,'Annex 2 EHV charges'!$A:$O,7,0))</f>
        <v>DBLANE</v>
      </c>
      <c r="E58" s="173">
        <f>IFERROR(IF(VLOOKUP($A58,'Annex 2 EHV charges'!$A:$O,8,FALSE)=0,"",VLOOKUP($A58,'Annex 2 EHV charges'!$A:$O,8,FALSE)),"")</f>
        <v>0.17100000000000001</v>
      </c>
      <c r="F58" s="175">
        <f>IFERROR(IF(VLOOKUP($A58,'Annex 2 EHV charges'!$A:$O,9,FALSE)=0,"",VLOOKUP($A58,'Annex 2 EHV charges'!$A:$O,9,FALSE)),"")</f>
        <v>7.75</v>
      </c>
      <c r="G58" s="174">
        <f>IFERROR(IF(VLOOKUP($A58,'Annex 2 EHV charges'!$A:$O,10,FALSE)=0,"",VLOOKUP($A58,'Annex 2 EHV charges'!$A:$O,10,FALSE)),"")</f>
        <v>3.51</v>
      </c>
      <c r="H58" s="174">
        <f>IFERROR(IF(VLOOKUP($A58,'Annex 2 EHV charges'!$A:$O,11,FALSE)=0,"",VLOOKUP($A58,'Annex 2 EHV charges'!$A:$O,11,FALSE)),"")</f>
        <v>3.51</v>
      </c>
    </row>
    <row r="59" spans="1:8" ht="12.75" customHeight="1" x14ac:dyDescent="0.2">
      <c r="A59" s="93" t="str">
        <f t="array" ref="A59">IFERROR(INDEX('Annex 2 EHV charges'!$A$10:$A$301, MATCH(0, IF(ISBLANK('Annex 2 EHV charges'!$A$10:$A$301),1, COUNTIF(A$4:$A58, 'Annex 2 EHV charges'!$A$10:$A$301)), 0)),"")</f>
        <v>DGRLTY</v>
      </c>
      <c r="B59" s="93">
        <f>IF($A59="","",VLOOKUP($A59,'Annex 2 EHV charges'!$A:$O,2,0))</f>
        <v>595</v>
      </c>
      <c r="C59" s="94" t="str">
        <f>IF($A59="","",VLOOKUP($A59,'Annex 2 EHV charges'!$A:$O,3,0))</f>
        <v>1030050289278
1030050289506</v>
      </c>
      <c r="D59" s="93" t="str">
        <f>IF($A59="","",VLOOKUP($A59,'Annex 2 EHV charges'!$A:$O,7,0))</f>
        <v>DGRLTY</v>
      </c>
      <c r="E59" s="173">
        <f>IFERROR(IF(VLOOKUP($A59,'Annex 2 EHV charges'!$A:$O,8,FALSE)=0,"",VLOOKUP($A59,'Annex 2 EHV charges'!$A:$O,8,FALSE)),"")</f>
        <v>2.1339999999999999</v>
      </c>
      <c r="F59" s="175">
        <f>IFERROR(IF(VLOOKUP($A59,'Annex 2 EHV charges'!$A:$O,9,FALSE)=0,"",VLOOKUP($A59,'Annex 2 EHV charges'!$A:$O,9,FALSE)),"")</f>
        <v>6565.89</v>
      </c>
      <c r="G59" s="174">
        <f>IFERROR(IF(VLOOKUP($A59,'Annex 2 EHV charges'!$A:$O,10,FALSE)=0,"",VLOOKUP($A59,'Annex 2 EHV charges'!$A:$O,10,FALSE)),"")</f>
        <v>2.1</v>
      </c>
      <c r="H59" s="174">
        <f>IFERROR(IF(VLOOKUP($A59,'Annex 2 EHV charges'!$A:$O,11,FALSE)=0,"",VLOOKUP($A59,'Annex 2 EHV charges'!$A:$O,11,FALSE)),"")</f>
        <v>2.1</v>
      </c>
    </row>
    <row r="60" spans="1:8" ht="12.75" customHeight="1" x14ac:dyDescent="0.2">
      <c r="A60" s="93" t="str">
        <f t="array" ref="A60">IFERROR(INDEX('Annex 2 EHV charges'!$A$10:$A$301, MATCH(0, IF(ISBLANK('Annex 2 EHV charges'!$A$10:$A$301),1, COUNTIF(A$4:$A59, 'Annex 2 EHV charges'!$A$10:$A$301)), 0)),"")</f>
        <v>DRABED</v>
      </c>
      <c r="B60" s="93">
        <f>IF($A60="","",VLOOKUP($A60,'Annex 2 EHV charges'!$A:$O,2,0))</f>
        <v>809</v>
      </c>
      <c r="C60" s="94">
        <f>IF($A60="","",VLOOKUP($A60,'Annex 2 EHV charges'!$A:$O,3,0))</f>
        <v>1014572509517</v>
      </c>
      <c r="D60" s="93" t="str">
        <f>IF($A60="","",VLOOKUP($A60,'Annex 2 EHV charges'!$A:$O,7,0))</f>
        <v>DRABED</v>
      </c>
      <c r="E60" s="173" t="str">
        <f>IFERROR(IF(VLOOKUP($A60,'Annex 2 EHV charges'!$A:$O,8,FALSE)=0,"",VLOOKUP($A60,'Annex 2 EHV charges'!$A:$O,8,FALSE)),"")</f>
        <v/>
      </c>
      <c r="F60" s="175">
        <f>IFERROR(IF(VLOOKUP($A60,'Annex 2 EHV charges'!$A:$O,9,FALSE)=0,"",VLOOKUP($A60,'Annex 2 EHV charges'!$A:$O,9,FALSE)),"")</f>
        <v>7771.42</v>
      </c>
      <c r="G60" s="174">
        <f>IFERROR(IF(VLOOKUP($A60,'Annex 2 EHV charges'!$A:$O,10,FALSE)=0,"",VLOOKUP($A60,'Annex 2 EHV charges'!$A:$O,10,FALSE)),"")</f>
        <v>1.52</v>
      </c>
      <c r="H60" s="174">
        <f>IFERROR(IF(VLOOKUP($A60,'Annex 2 EHV charges'!$A:$O,11,FALSE)=0,"",VLOOKUP($A60,'Annex 2 EHV charges'!$A:$O,11,FALSE)),"")</f>
        <v>1.52</v>
      </c>
    </row>
    <row r="61" spans="1:8" ht="12.75" customHeight="1" x14ac:dyDescent="0.2">
      <c r="A61" s="93" t="str">
        <f t="array" ref="A61">IFERROR(INDEX('Annex 2 EHV charges'!$A$10:$A$301, MATCH(0, IF(ISBLANK('Annex 2 EHV charges'!$A$10:$A$301),1, COUNTIF(A$4:$A60, 'Annex 2 EHV charges'!$A$10:$A$301)), 0)),"")</f>
        <v>DRAPER</v>
      </c>
      <c r="B61" s="93">
        <f>IF($A61="","",VLOOKUP($A61,'Annex 2 EHV charges'!$A:$O,2,0))</f>
        <v>879</v>
      </c>
      <c r="C61" s="94">
        <f>IF($A61="","",VLOOKUP($A61,'Annex 2 EHV charges'!$A:$O,3,0))</f>
        <v>1050000581432</v>
      </c>
      <c r="D61" s="93" t="str">
        <f>IF($A61="","",VLOOKUP($A61,'Annex 2 EHV charges'!$A:$O,7,0))</f>
        <v>DRAPER</v>
      </c>
      <c r="E61" s="173" t="str">
        <f>IFERROR(IF(VLOOKUP($A61,'Annex 2 EHV charges'!$A:$O,8,FALSE)=0,"",VLOOKUP($A61,'Annex 2 EHV charges'!$A:$O,8,FALSE)),"")</f>
        <v/>
      </c>
      <c r="F61" s="175">
        <f>IFERROR(IF(VLOOKUP($A61,'Annex 2 EHV charges'!$A:$O,9,FALSE)=0,"",VLOOKUP($A61,'Annex 2 EHV charges'!$A:$O,9,FALSE)),"")</f>
        <v>5.34</v>
      </c>
      <c r="G61" s="174">
        <f>IFERROR(IF(VLOOKUP($A61,'Annex 2 EHV charges'!$A:$O,10,FALSE)=0,"",VLOOKUP($A61,'Annex 2 EHV charges'!$A:$O,10,FALSE)),"")</f>
        <v>6.89</v>
      </c>
      <c r="H61" s="174">
        <f>IFERROR(IF(VLOOKUP($A61,'Annex 2 EHV charges'!$A:$O,11,FALSE)=0,"",VLOOKUP($A61,'Annex 2 EHV charges'!$A:$O,11,FALSE)),"")</f>
        <v>6.89</v>
      </c>
    </row>
    <row r="62" spans="1:8" ht="12.75" customHeight="1" x14ac:dyDescent="0.2">
      <c r="A62" s="93" t="str">
        <f t="array" ref="A62">IFERROR(INDEX('Annex 2 EHV charges'!$A$10:$A$301, MATCH(0, IF(ISBLANK('Annex 2 EHV charges'!$A$10:$A$301),1, COUNTIF(A$4:$A61, 'Annex 2 EHV charges'!$A$10:$A$301)), 0)),"")</f>
        <v>DRAYTN</v>
      </c>
      <c r="B62" s="93">
        <f>IF($A62="","",VLOOKUP($A62,'Annex 2 EHV charges'!$A:$O,2,0))</f>
        <v>545</v>
      </c>
      <c r="C62" s="94">
        <f>IF($A62="","",VLOOKUP($A62,'Annex 2 EHV charges'!$A:$O,3,0))</f>
        <v>1050001047272</v>
      </c>
      <c r="D62" s="93" t="str">
        <f>IF($A62="","",VLOOKUP($A62,'Annex 2 EHV charges'!$A:$O,7,0))</f>
        <v>DRAYTN</v>
      </c>
      <c r="E62" s="173">
        <f>IFERROR(IF(VLOOKUP($A62,'Annex 2 EHV charges'!$A:$O,8,FALSE)=0,"",VLOOKUP($A62,'Annex 2 EHV charges'!$A:$O,8,FALSE)),"")</f>
        <v>2.6720000000000002</v>
      </c>
      <c r="F62" s="175">
        <f>IFERROR(IF(VLOOKUP($A62,'Annex 2 EHV charges'!$A:$O,9,FALSE)=0,"",VLOOKUP($A62,'Annex 2 EHV charges'!$A:$O,9,FALSE)),"")</f>
        <v>11.78</v>
      </c>
      <c r="G62" s="174">
        <f>IFERROR(IF(VLOOKUP($A62,'Annex 2 EHV charges'!$A:$O,10,FALSE)=0,"",VLOOKUP($A62,'Annex 2 EHV charges'!$A:$O,10,FALSE)),"")</f>
        <v>1.81</v>
      </c>
      <c r="H62" s="174">
        <f>IFERROR(IF(VLOOKUP($A62,'Annex 2 EHV charges'!$A:$O,11,FALSE)=0,"",VLOOKUP($A62,'Annex 2 EHV charges'!$A:$O,11,FALSE)),"")</f>
        <v>1.81</v>
      </c>
    </row>
    <row r="63" spans="1:8" ht="12.75" customHeight="1" x14ac:dyDescent="0.2">
      <c r="A63" s="93" t="str">
        <f t="array" ref="A63">IFERROR(INDEX('Annex 2 EHV charges'!$A$10:$A$301, MATCH(0, IF(ISBLANK('Annex 2 EHV charges'!$A$10:$A$301),1, COUNTIF(A$4:$A62, 'Annex 2 EHV charges'!$A$10:$A$301)), 0)),"")</f>
        <v>DRYHSE</v>
      </c>
      <c r="B63" s="93">
        <f>IF($A63="","",VLOOKUP($A63,'Annex 2 EHV charges'!$A:$O,2,0))</f>
        <v>877</v>
      </c>
      <c r="C63" s="94">
        <f>IF($A63="","",VLOOKUP($A63,'Annex 2 EHV charges'!$A:$O,3,0))</f>
        <v>1050000609423</v>
      </c>
      <c r="D63" s="93" t="str">
        <f>IF($A63="","",VLOOKUP($A63,'Annex 2 EHV charges'!$A:$O,7,0))</f>
        <v>DRYHSE</v>
      </c>
      <c r="E63" s="173">
        <f>IFERROR(IF(VLOOKUP($A63,'Annex 2 EHV charges'!$A:$O,8,FALSE)=0,"",VLOOKUP($A63,'Annex 2 EHV charges'!$A:$O,8,FALSE)),"")</f>
        <v>0.27500000000000002</v>
      </c>
      <c r="F63" s="175">
        <f>IFERROR(IF(VLOOKUP($A63,'Annex 2 EHV charges'!$A:$O,9,FALSE)=0,"",VLOOKUP($A63,'Annex 2 EHV charges'!$A:$O,9,FALSE)),"")</f>
        <v>1.89</v>
      </c>
      <c r="G63" s="174">
        <f>IFERROR(IF(VLOOKUP($A63,'Annex 2 EHV charges'!$A:$O,10,FALSE)=0,"",VLOOKUP($A63,'Annex 2 EHV charges'!$A:$O,10,FALSE)),"")</f>
        <v>6.01</v>
      </c>
      <c r="H63" s="174">
        <f>IFERROR(IF(VLOOKUP($A63,'Annex 2 EHV charges'!$A:$O,11,FALSE)=0,"",VLOOKUP($A63,'Annex 2 EHV charges'!$A:$O,11,FALSE)),"")</f>
        <v>6.01</v>
      </c>
    </row>
    <row r="64" spans="1:8" ht="12.75" customHeight="1" x14ac:dyDescent="0.2">
      <c r="A64" s="93" t="str">
        <f t="array" ref="A64">IFERROR(INDEX('Annex 2 EHV charges'!$A$10:$A$301, MATCH(0, IF(ISBLANK('Annex 2 EHV charges'!$A$10:$A$301),1, COUNTIF(A$4:$A63, 'Annex 2 EHV charges'!$A$10:$A$301)), 0)),"")</f>
        <v>EARLHF</v>
      </c>
      <c r="B64" s="93">
        <f>IF($A64="","",VLOOKUP($A64,'Annex 2 EHV charges'!$A:$O,2,0))</f>
        <v>841</v>
      </c>
      <c r="C64" s="94">
        <f>IF($A64="","",VLOOKUP($A64,'Annex 2 EHV charges'!$A:$O,3,0))</f>
        <v>1030081316739</v>
      </c>
      <c r="D64" s="93" t="str">
        <f>IF($A64="","",VLOOKUP($A64,'Annex 2 EHV charges'!$A:$O,7,0))</f>
        <v>EARLHF</v>
      </c>
      <c r="E64" s="173">
        <f>IFERROR(IF(VLOOKUP($A64,'Annex 2 EHV charges'!$A:$O,8,FALSE)=0,"",VLOOKUP($A64,'Annex 2 EHV charges'!$A:$O,8,FALSE)),"")</f>
        <v>5.0000000000000001E-3</v>
      </c>
      <c r="F64" s="175">
        <f>IFERROR(IF(VLOOKUP($A64,'Annex 2 EHV charges'!$A:$O,9,FALSE)=0,"",VLOOKUP($A64,'Annex 2 EHV charges'!$A:$O,9,FALSE)),"")</f>
        <v>3.59</v>
      </c>
      <c r="G64" s="174">
        <f>IFERROR(IF(VLOOKUP($A64,'Annex 2 EHV charges'!$A:$O,10,FALSE)=0,"",VLOOKUP($A64,'Annex 2 EHV charges'!$A:$O,10,FALSE)),"")</f>
        <v>1.63</v>
      </c>
      <c r="H64" s="174">
        <f>IFERROR(IF(VLOOKUP($A64,'Annex 2 EHV charges'!$A:$O,11,FALSE)=0,"",VLOOKUP($A64,'Annex 2 EHV charges'!$A:$O,11,FALSE)),"")</f>
        <v>1.63</v>
      </c>
    </row>
    <row r="65" spans="1:8" ht="12.75" customHeight="1" x14ac:dyDescent="0.2">
      <c r="A65" s="93" t="str">
        <f t="array" ref="A65">IFERROR(INDEX('Annex 2 EHV charges'!$A$10:$A$301, MATCH(0, IF(ISBLANK('Annex 2 EHV charges'!$A$10:$A$301),1, COUNTIF(A$4:$A64, 'Annex 2 EHV charges'!$A$10:$A$301)), 0)),"")</f>
        <v>EBCKHM</v>
      </c>
      <c r="B65" s="93">
        <f>IF($A65="","",VLOOKUP($A65,'Annex 2 EHV charges'!$A:$O,2,0))</f>
        <v>887</v>
      </c>
      <c r="C65" s="94">
        <f>IF($A65="","",VLOOKUP($A65,'Annex 2 EHV charges'!$A:$O,3,0))</f>
        <v>1050000609441</v>
      </c>
      <c r="D65" s="93" t="str">
        <f>IF($A65="","",VLOOKUP($A65,'Annex 2 EHV charges'!$A:$O,7,0))</f>
        <v>EBCKHM</v>
      </c>
      <c r="E65" s="173">
        <f>IFERROR(IF(VLOOKUP($A65,'Annex 2 EHV charges'!$A:$O,8,FALSE)=0,"",VLOOKUP($A65,'Annex 2 EHV charges'!$A:$O,8,FALSE)),"")</f>
        <v>2.3E-2</v>
      </c>
      <c r="F65" s="175">
        <f>IFERROR(IF(VLOOKUP($A65,'Annex 2 EHV charges'!$A:$O,9,FALSE)=0,"",VLOOKUP($A65,'Annex 2 EHV charges'!$A:$O,9,FALSE)),"")</f>
        <v>2.8</v>
      </c>
      <c r="G65" s="174">
        <f>IFERROR(IF(VLOOKUP($A65,'Annex 2 EHV charges'!$A:$O,10,FALSE)=0,"",VLOOKUP($A65,'Annex 2 EHV charges'!$A:$O,10,FALSE)),"")</f>
        <v>15.43</v>
      </c>
      <c r="H65" s="174">
        <f>IFERROR(IF(VLOOKUP($A65,'Annex 2 EHV charges'!$A:$O,11,FALSE)=0,"",VLOOKUP($A65,'Annex 2 EHV charges'!$A:$O,11,FALSE)),"")</f>
        <v>15.43</v>
      </c>
    </row>
    <row r="66" spans="1:8" ht="12.75" customHeight="1" x14ac:dyDescent="0.2">
      <c r="A66" s="93" t="str">
        <f t="array" ref="A66">IFERROR(INDEX('Annex 2 EHV charges'!$A$10:$A$301, MATCH(0, IF(ISBLANK('Annex 2 EHV charges'!$A$10:$A$301),1, COUNTIF(A$4:$A65, 'Annex 2 EHV charges'!$A$10:$A$301)), 0)),"")</f>
        <v>EDLMUC</v>
      </c>
      <c r="B66" s="93">
        <f>IF($A66="","",VLOOKUP($A66,'Annex 2 EHV charges'!$A:$O,2,0))</f>
        <v>810</v>
      </c>
      <c r="C66" s="94" t="str">
        <f>IF($A66="","",VLOOKUP($A66,'Annex 2 EHV charges'!$A:$O,3,0))</f>
        <v>1023497822125
1023497822357
1023514863056
1030010107819</v>
      </c>
      <c r="D66" s="93" t="str">
        <f>IF($A66="","",VLOOKUP($A66,'Annex 2 EHV charges'!$A:$O,7,0))</f>
        <v>EDLMUC</v>
      </c>
      <c r="E66" s="173">
        <f>IFERROR(IF(VLOOKUP($A66,'Annex 2 EHV charges'!$A:$O,8,FALSE)=0,"",VLOOKUP($A66,'Annex 2 EHV charges'!$A:$O,8,FALSE)),"")</f>
        <v>6.7000000000000004E-2</v>
      </c>
      <c r="F66" s="175">
        <f>IFERROR(IF(VLOOKUP($A66,'Annex 2 EHV charges'!$A:$O,9,FALSE)=0,"",VLOOKUP($A66,'Annex 2 EHV charges'!$A:$O,9,FALSE)),"")</f>
        <v>11.06</v>
      </c>
      <c r="G66" s="174">
        <f>IFERROR(IF(VLOOKUP($A66,'Annex 2 EHV charges'!$A:$O,10,FALSE)=0,"",VLOOKUP($A66,'Annex 2 EHV charges'!$A:$O,10,FALSE)),"")</f>
        <v>2.84</v>
      </c>
      <c r="H66" s="174">
        <f>IFERROR(IF(VLOOKUP($A66,'Annex 2 EHV charges'!$A:$O,11,FALSE)=0,"",VLOOKUP($A66,'Annex 2 EHV charges'!$A:$O,11,FALSE)),"")</f>
        <v>2.84</v>
      </c>
    </row>
    <row r="67" spans="1:8" ht="12.75" customHeight="1" x14ac:dyDescent="0.2">
      <c r="A67" s="93" t="str">
        <f t="array" ref="A67">IFERROR(INDEX('Annex 2 EHV charges'!$A$10:$A$301, MATCH(0, IF(ISBLANK('Annex 2 EHV charges'!$A$10:$A$301),1, COUNTIF(A$4:$A66, 'Annex 2 EHV charges'!$A$10:$A$301)), 0)),"")</f>
        <v>EDLPIT</v>
      </c>
      <c r="B67" s="93">
        <f>IF($A67="","",VLOOKUP($A67,'Annex 2 EHV charges'!$A:$O,2,0))</f>
        <v>811</v>
      </c>
      <c r="C67" s="94">
        <f>IF($A67="","",VLOOKUP($A67,'Annex 2 EHV charges'!$A:$O,3,0))</f>
        <v>1030020271288</v>
      </c>
      <c r="D67" s="93" t="str">
        <f>IF($A67="","",VLOOKUP($A67,'Annex 2 EHV charges'!$A:$O,7,0))</f>
        <v>EDLPIT</v>
      </c>
      <c r="E67" s="173">
        <f>IFERROR(IF(VLOOKUP($A67,'Annex 2 EHV charges'!$A:$O,8,FALSE)=0,"",VLOOKUP($A67,'Annex 2 EHV charges'!$A:$O,8,FALSE)),"")</f>
        <v>0.106</v>
      </c>
      <c r="F67" s="175">
        <f>IFERROR(IF(VLOOKUP($A67,'Annex 2 EHV charges'!$A:$O,9,FALSE)=0,"",VLOOKUP($A67,'Annex 2 EHV charges'!$A:$O,9,FALSE)),"")</f>
        <v>23.08</v>
      </c>
      <c r="G67" s="174">
        <f>IFERROR(IF(VLOOKUP($A67,'Annex 2 EHV charges'!$A:$O,10,FALSE)=0,"",VLOOKUP($A67,'Annex 2 EHV charges'!$A:$O,10,FALSE)),"")</f>
        <v>1.41</v>
      </c>
      <c r="H67" s="174">
        <f>IFERROR(IF(VLOOKUP($A67,'Annex 2 EHV charges'!$A:$O,11,FALSE)=0,"",VLOOKUP($A67,'Annex 2 EHV charges'!$A:$O,11,FALSE)),"")</f>
        <v>1.41</v>
      </c>
    </row>
    <row r="68" spans="1:8" ht="12.75" customHeight="1" x14ac:dyDescent="0.2">
      <c r="A68" s="93" t="str">
        <f t="array" ref="A68">IFERROR(INDEX('Annex 2 EHV charges'!$A$10:$A$301, MATCH(0, IF(ISBLANK('Annex 2 EHV charges'!$A$10:$A$301),1, COUNTIF(A$4:$A67, 'Annex 2 EHV charges'!$A$10:$A$301)), 0)),"")</f>
        <v>EGMRSF</v>
      </c>
      <c r="B68" s="93">
        <f>IF($A68="","",VLOOKUP($A68,'Annex 2 EHV charges'!$A:$O,2,0))</f>
        <v>880</v>
      </c>
      <c r="C68" s="94">
        <f>IF($A68="","",VLOOKUP($A68,'Annex 2 EHV charges'!$A:$O,3,0))</f>
        <v>1050000567483</v>
      </c>
      <c r="D68" s="93" t="str">
        <f>IF($A68="","",VLOOKUP($A68,'Annex 2 EHV charges'!$A:$O,7,0))</f>
        <v>EGMRSF</v>
      </c>
      <c r="E68" s="173">
        <f>IFERROR(IF(VLOOKUP($A68,'Annex 2 EHV charges'!$A:$O,8,FALSE)=0,"",VLOOKUP($A68,'Annex 2 EHV charges'!$A:$O,8,FALSE)),"")</f>
        <v>1.6E-2</v>
      </c>
      <c r="F68" s="175">
        <f>IFERROR(IF(VLOOKUP($A68,'Annex 2 EHV charges'!$A:$O,9,FALSE)=0,"",VLOOKUP($A68,'Annex 2 EHV charges'!$A:$O,9,FALSE)),"")</f>
        <v>5.1100000000000003</v>
      </c>
      <c r="G68" s="174">
        <f>IFERROR(IF(VLOOKUP($A68,'Annex 2 EHV charges'!$A:$O,10,FALSE)=0,"",VLOOKUP($A68,'Annex 2 EHV charges'!$A:$O,10,FALSE)),"")</f>
        <v>3.54</v>
      </c>
      <c r="H68" s="174">
        <f>IFERROR(IF(VLOOKUP($A68,'Annex 2 EHV charges'!$A:$O,11,FALSE)=0,"",VLOOKUP($A68,'Annex 2 EHV charges'!$A:$O,11,FALSE)),"")</f>
        <v>3.54</v>
      </c>
    </row>
    <row r="69" spans="1:8" ht="12.75" customHeight="1" x14ac:dyDescent="0.2">
      <c r="A69" s="93" t="str">
        <f t="array" ref="A69">IFERROR(INDEX('Annex 2 EHV charges'!$A$10:$A$301, MATCH(0, IF(ISBLANK('Annex 2 EHV charges'!$A$10:$A$301),1, COUNTIF(A$4:$A68, 'Annex 2 EHV charges'!$A$10:$A$301)), 0)),"")</f>
        <v>ELLOSF</v>
      </c>
      <c r="B69" s="93">
        <f>IF($A69="","",VLOOKUP($A69,'Annex 2 EHV charges'!$A:$O,2,0))</f>
        <v>881</v>
      </c>
      <c r="C69" s="94" t="str">
        <f>IF($A69="","",VLOOKUP($A69,'Annex 2 EHV charges'!$A:$O,3,0))</f>
        <v>1050000612880
1050001004933
1050001004942</v>
      </c>
      <c r="D69" s="93" t="str">
        <f>IF($A69="","",VLOOKUP($A69,'Annex 2 EHV charges'!$A:$O,7,0))</f>
        <v>ELLOSF</v>
      </c>
      <c r="E69" s="173">
        <f>IFERROR(IF(VLOOKUP($A69,'Annex 2 EHV charges'!$A:$O,8,FALSE)=0,"",VLOOKUP($A69,'Annex 2 EHV charges'!$A:$O,8,FALSE)),"")</f>
        <v>7.0000000000000007E-2</v>
      </c>
      <c r="F69" s="175">
        <f>IFERROR(IF(VLOOKUP($A69,'Annex 2 EHV charges'!$A:$O,9,FALSE)=0,"",VLOOKUP($A69,'Annex 2 EHV charges'!$A:$O,9,FALSE)),"")</f>
        <v>4.72</v>
      </c>
      <c r="G69" s="174">
        <f>IFERROR(IF(VLOOKUP($A69,'Annex 2 EHV charges'!$A:$O,10,FALSE)=0,"",VLOOKUP($A69,'Annex 2 EHV charges'!$A:$O,10,FALSE)),"")</f>
        <v>4.13</v>
      </c>
      <c r="H69" s="174">
        <f>IFERROR(IF(VLOOKUP($A69,'Annex 2 EHV charges'!$A:$O,11,FALSE)=0,"",VLOOKUP($A69,'Annex 2 EHV charges'!$A:$O,11,FALSE)),"")</f>
        <v>4.13</v>
      </c>
    </row>
    <row r="70" spans="1:8" ht="12.75" customHeight="1" x14ac:dyDescent="0.2">
      <c r="A70" s="93" t="str">
        <f t="array" ref="A70">IFERROR(INDEX('Annex 2 EHV charges'!$A$10:$A$301, MATCH(0, IF(ISBLANK('Annex 2 EHV charges'!$A$10:$A$301),1, COUNTIF(A$4:$A69, 'Annex 2 EHV charges'!$A$10:$A$301)), 0)),"")</f>
        <v>ELSAGE</v>
      </c>
      <c r="B70" s="93">
        <f>IF($A70="","",VLOOKUP($A70,'Annex 2 EHV charges'!$A:$O,2,0))</f>
        <v>546</v>
      </c>
      <c r="C70" s="94">
        <f>IF($A70="","",VLOOKUP($A70,'Annex 2 EHV charges'!$A:$O,3,0))</f>
        <v>1050000923668</v>
      </c>
      <c r="D70" s="93" t="str">
        <f>IF($A70="","",VLOOKUP($A70,'Annex 2 EHV charges'!$A:$O,7,0))</f>
        <v>ELSAGE</v>
      </c>
      <c r="E70" s="173">
        <f>IFERROR(IF(VLOOKUP($A70,'Annex 2 EHV charges'!$A:$O,8,FALSE)=0,"",VLOOKUP($A70,'Annex 2 EHV charges'!$A:$O,8,FALSE)),"")</f>
        <v>0.37</v>
      </c>
      <c r="F70" s="175">
        <f>IFERROR(IF(VLOOKUP($A70,'Annex 2 EHV charges'!$A:$O,9,FALSE)=0,"",VLOOKUP($A70,'Annex 2 EHV charges'!$A:$O,9,FALSE)),"")</f>
        <v>15.98</v>
      </c>
      <c r="G70" s="174">
        <f>IFERROR(IF(VLOOKUP($A70,'Annex 2 EHV charges'!$A:$O,10,FALSE)=0,"",VLOOKUP($A70,'Annex 2 EHV charges'!$A:$O,10,FALSE)),"")</f>
        <v>19.86</v>
      </c>
      <c r="H70" s="174">
        <f>IFERROR(IF(VLOOKUP($A70,'Annex 2 EHV charges'!$A:$O,11,FALSE)=0,"",VLOOKUP($A70,'Annex 2 EHV charges'!$A:$O,11,FALSE)),"")</f>
        <v>19.86</v>
      </c>
    </row>
    <row r="71" spans="1:8" ht="12.75" customHeight="1" x14ac:dyDescent="0.2">
      <c r="A71" s="93" t="str">
        <f t="array" ref="A71">IFERROR(INDEX('Annex 2 EHV charges'!$A$10:$A$301, MATCH(0, IF(ISBLANK('Annex 2 EHV charges'!$A$10:$A$301),1, COUNTIF(A$4:$A70, 'Annex 2 EHV charges'!$A$10:$A$301)), 0)),"")</f>
        <v>EMR_TI</v>
      </c>
      <c r="B71" s="93">
        <f>IF($A71="","",VLOOKUP($A71,'Annex 2 EHV charges'!$A:$O,2,0))</f>
        <v>813</v>
      </c>
      <c r="C71" s="94" t="str">
        <f>IF($A71="","",VLOOKUP($A71,'Annex 2 EHV charges'!$A:$O,3,0))</f>
        <v>1023475632649
1014572805060</v>
      </c>
      <c r="D71" s="93" t="str">
        <f>IF($A71="","",VLOOKUP($A71,'Annex 2 EHV charges'!$A:$O,7,0))</f>
        <v>EMR_TI</v>
      </c>
      <c r="E71" s="173">
        <f>IFERROR(IF(VLOOKUP($A71,'Annex 2 EHV charges'!$A:$O,8,FALSE)=0,"",VLOOKUP($A71,'Annex 2 EHV charges'!$A:$O,8,FALSE)),"")</f>
        <v>0.29199999999999998</v>
      </c>
      <c r="F71" s="175">
        <f>IFERROR(IF(VLOOKUP($A71,'Annex 2 EHV charges'!$A:$O,9,FALSE)=0,"",VLOOKUP($A71,'Annex 2 EHV charges'!$A:$O,9,FALSE)),"")</f>
        <v>515.97</v>
      </c>
      <c r="G71" s="174">
        <f>IFERROR(IF(VLOOKUP($A71,'Annex 2 EHV charges'!$A:$O,10,FALSE)=0,"",VLOOKUP($A71,'Annex 2 EHV charges'!$A:$O,10,FALSE)),"")</f>
        <v>2.34</v>
      </c>
      <c r="H71" s="174">
        <f>IFERROR(IF(VLOOKUP($A71,'Annex 2 EHV charges'!$A:$O,11,FALSE)=0,"",VLOOKUP($A71,'Annex 2 EHV charges'!$A:$O,11,FALSE)),"")</f>
        <v>2.34</v>
      </c>
    </row>
    <row r="72" spans="1:8" ht="12.75" customHeight="1" x14ac:dyDescent="0.2">
      <c r="A72" s="93" t="str">
        <f t="array" ref="A72">IFERROR(INDEX('Annex 2 EHV charges'!$A$10:$A$301, MATCH(0, IF(ISBLANK('Annex 2 EHV charges'!$A$10:$A$301),1, COUNTIF(A$4:$A71, 'Annex 2 EHV charges'!$A$10:$A$301)), 0)),"")</f>
        <v>EPRSUT</v>
      </c>
      <c r="B72" s="93">
        <f>IF($A72="","",VLOOKUP($A72,'Annex 2 EHV charges'!$A:$O,2,0))</f>
        <v>812</v>
      </c>
      <c r="C72" s="94">
        <f>IF($A72="","",VLOOKUP($A72,'Annex 2 EHV charges'!$A:$O,3,0))</f>
        <v>1023494988750</v>
      </c>
      <c r="D72" s="93" t="str">
        <f>IF($A72="","",VLOOKUP($A72,'Annex 2 EHV charges'!$A:$O,7,0))</f>
        <v>EPRSUT</v>
      </c>
      <c r="E72" s="173">
        <f>IFERROR(IF(VLOOKUP($A72,'Annex 2 EHV charges'!$A:$O,8,FALSE)=0,"",VLOOKUP($A72,'Annex 2 EHV charges'!$A:$O,8,FALSE)),"")</f>
        <v>1.258</v>
      </c>
      <c r="F72" s="175">
        <f>IFERROR(IF(VLOOKUP($A72,'Annex 2 EHV charges'!$A:$O,9,FALSE)=0,"",VLOOKUP($A72,'Annex 2 EHV charges'!$A:$O,9,FALSE)),"")</f>
        <v>255.86</v>
      </c>
      <c r="G72" s="174">
        <f>IFERROR(IF(VLOOKUP($A72,'Annex 2 EHV charges'!$A:$O,10,FALSE)=0,"",VLOOKUP($A72,'Annex 2 EHV charges'!$A:$O,10,FALSE)),"")</f>
        <v>1.52</v>
      </c>
      <c r="H72" s="174">
        <f>IFERROR(IF(VLOOKUP($A72,'Annex 2 EHV charges'!$A:$O,11,FALSE)=0,"",VLOOKUP($A72,'Annex 2 EHV charges'!$A:$O,11,FALSE)),"")</f>
        <v>1.52</v>
      </c>
    </row>
    <row r="73" spans="1:8" ht="12.75" customHeight="1" x14ac:dyDescent="0.2">
      <c r="A73" s="93" t="str">
        <f t="array" ref="A73">IFERROR(INDEX('Annex 2 EHV charges'!$A$10:$A$301, MATCH(0, IF(ISBLANK('Annex 2 EHV charges'!$A$10:$A$301),1, COUNTIF(A$4:$A72, 'Annex 2 EHV charges'!$A$10:$A$301)), 0)),"")</f>
        <v>ERNUNN</v>
      </c>
      <c r="B73" s="93">
        <f>IF($A73="","",VLOOKUP($A73,'Annex 2 EHV charges'!$A:$O,2,0))</f>
        <v>308</v>
      </c>
      <c r="C73" s="94">
        <f>IF($A73="","",VLOOKUP($A73,'Annex 2 EHV charges'!$A:$O,3,0))</f>
        <v>1050001440510</v>
      </c>
      <c r="D73" s="93" t="str">
        <f>IF($A73="","",VLOOKUP($A73,'Annex 2 EHV charges'!$A:$O,7,0))</f>
        <v>ERNUNN</v>
      </c>
      <c r="E73" s="173" t="str">
        <f>IFERROR(IF(VLOOKUP($A73,'Annex 2 EHV charges'!$A:$O,8,FALSE)=0,"",VLOOKUP($A73,'Annex 2 EHV charges'!$A:$O,8,FALSE)),"")</f>
        <v/>
      </c>
      <c r="F73" s="175">
        <f>IFERROR(IF(VLOOKUP($A73,'Annex 2 EHV charges'!$A:$O,9,FALSE)=0,"",VLOOKUP($A73,'Annex 2 EHV charges'!$A:$O,9,FALSE)),"")</f>
        <v>18.98</v>
      </c>
      <c r="G73" s="174">
        <f>IFERROR(IF(VLOOKUP($A73,'Annex 2 EHV charges'!$A:$O,10,FALSE)=0,"",VLOOKUP($A73,'Annex 2 EHV charges'!$A:$O,10,FALSE)),"")</f>
        <v>1.73</v>
      </c>
      <c r="H73" s="174">
        <f>IFERROR(IF(VLOOKUP($A73,'Annex 2 EHV charges'!$A:$O,11,FALSE)=0,"",VLOOKUP($A73,'Annex 2 EHV charges'!$A:$O,11,FALSE)),"")</f>
        <v>1.73</v>
      </c>
    </row>
    <row r="74" spans="1:8" ht="12.75" customHeight="1" x14ac:dyDescent="0.2">
      <c r="A74" s="93" t="str">
        <f t="array" ref="A74">IFERROR(INDEX('Annex 2 EHV charges'!$A$10:$A$301, MATCH(0, IF(ISBLANK('Annex 2 EHV charges'!$A$10:$A$301),1, COUNTIF(A$4:$A73, 'Annex 2 EHV charges'!$A$10:$A$301)), 0)),"")</f>
        <v>ESWMID</v>
      </c>
      <c r="B74" s="93">
        <f>IF($A74="","",VLOOKUP($A74,'Annex 2 EHV charges'!$A:$O,2,0))</f>
        <v>596</v>
      </c>
      <c r="C74" s="94" t="str">
        <f>IF($A74="","",VLOOKUP($A74,'Annex 2 EHV charges'!$A:$O,3,0))</f>
        <v>1014572640842
1014572641075</v>
      </c>
      <c r="D74" s="93" t="str">
        <f>IF($A74="","",VLOOKUP($A74,'Annex 2 EHV charges'!$A:$O,7,0))</f>
        <v>ESWMID</v>
      </c>
      <c r="E74" s="173">
        <f>IFERROR(IF(VLOOKUP($A74,'Annex 2 EHV charges'!$A:$O,8,FALSE)=0,"",VLOOKUP($A74,'Annex 2 EHV charges'!$A:$O,8,FALSE)),"")</f>
        <v>5.6710000000000003</v>
      </c>
      <c r="F74" s="175">
        <f>IFERROR(IF(VLOOKUP($A74,'Annex 2 EHV charges'!$A:$O,9,FALSE)=0,"",VLOOKUP($A74,'Annex 2 EHV charges'!$A:$O,9,FALSE)),"")</f>
        <v>167.87</v>
      </c>
      <c r="G74" s="174">
        <f>IFERROR(IF(VLOOKUP($A74,'Annex 2 EHV charges'!$A:$O,10,FALSE)=0,"",VLOOKUP($A74,'Annex 2 EHV charges'!$A:$O,10,FALSE)),"")</f>
        <v>2.64</v>
      </c>
      <c r="H74" s="174">
        <f>IFERROR(IF(VLOOKUP($A74,'Annex 2 EHV charges'!$A:$O,11,FALSE)=0,"",VLOOKUP($A74,'Annex 2 EHV charges'!$A:$O,11,FALSE)),"")</f>
        <v>2.64</v>
      </c>
    </row>
    <row r="75" spans="1:8" ht="12.75" customHeight="1" x14ac:dyDescent="0.2">
      <c r="A75" s="93" t="str">
        <f t="array" ref="A75">IFERROR(INDEX('Annex 2 EHV charges'!$A$10:$A$301, MATCH(0, IF(ISBLANK('Annex 2 EHV charges'!$A$10:$A$301),1, COUNTIF(A$4:$A74, 'Annex 2 EHV charges'!$A$10:$A$301)), 0)),"")</f>
        <v>ESWWIX</v>
      </c>
      <c r="B75" s="93">
        <f>IF($A75="","",VLOOKUP($A75,'Annex 2 EHV charges'!$A:$O,2,0))</f>
        <v>597</v>
      </c>
      <c r="C75" s="94">
        <f>IF($A75="","",VLOOKUP($A75,'Annex 2 EHV charges'!$A:$O,3,0))</f>
        <v>1014572713989</v>
      </c>
      <c r="D75" s="93" t="str">
        <f>IF($A75="","",VLOOKUP($A75,'Annex 2 EHV charges'!$A:$O,7,0))</f>
        <v>ESWWIX</v>
      </c>
      <c r="E75" s="173">
        <f>IFERROR(IF(VLOOKUP($A75,'Annex 2 EHV charges'!$A:$O,8,FALSE)=0,"",VLOOKUP($A75,'Annex 2 EHV charges'!$A:$O,8,FALSE)),"")</f>
        <v>1.8069999999999999</v>
      </c>
      <c r="F75" s="175">
        <f>IFERROR(IF(VLOOKUP($A75,'Annex 2 EHV charges'!$A:$O,9,FALSE)=0,"",VLOOKUP($A75,'Annex 2 EHV charges'!$A:$O,9,FALSE)),"")</f>
        <v>2398.7199999999998</v>
      </c>
      <c r="G75" s="174">
        <f>IFERROR(IF(VLOOKUP($A75,'Annex 2 EHV charges'!$A:$O,10,FALSE)=0,"",VLOOKUP($A75,'Annex 2 EHV charges'!$A:$O,10,FALSE)),"")</f>
        <v>4.8499999999999996</v>
      </c>
      <c r="H75" s="174">
        <f>IFERROR(IF(VLOOKUP($A75,'Annex 2 EHV charges'!$A:$O,11,FALSE)=0,"",VLOOKUP($A75,'Annex 2 EHV charges'!$A:$O,11,FALSE)),"")</f>
        <v>4.8499999999999996</v>
      </c>
    </row>
    <row r="76" spans="1:8" ht="12.75" customHeight="1" x14ac:dyDescent="0.2">
      <c r="A76" s="93" t="str">
        <f t="array" ref="A76">IFERROR(INDEX('Annex 2 EHV charges'!$A$10:$A$301, MATCH(0, IF(ISBLANK('Annex 2 EHV charges'!$A$10:$A$301),1, COUNTIF(A$4:$A75, 'Annex 2 EHV charges'!$A$10:$A$301)), 0)),"")</f>
        <v>EUSTSF</v>
      </c>
      <c r="B76" s="93">
        <f>IF($A76="","",VLOOKUP($A76,'Annex 2 EHV charges'!$A:$O,2,0))</f>
        <v>882</v>
      </c>
      <c r="C76" s="94">
        <f>IF($A76="","",VLOOKUP($A76,'Annex 2 EHV charges'!$A:$O,3,0))</f>
        <v>1050000628160</v>
      </c>
      <c r="D76" s="93" t="str">
        <f>IF($A76="","",VLOOKUP($A76,'Annex 2 EHV charges'!$A:$O,7,0))</f>
        <v>EUSTSF</v>
      </c>
      <c r="E76" s="173">
        <f>IFERROR(IF(VLOOKUP($A76,'Annex 2 EHV charges'!$A:$O,8,FALSE)=0,"",VLOOKUP($A76,'Annex 2 EHV charges'!$A:$O,8,FALSE)),"")</f>
        <v>0.29199999999999998</v>
      </c>
      <c r="F76" s="175">
        <f>IFERROR(IF(VLOOKUP($A76,'Annex 2 EHV charges'!$A:$O,9,FALSE)=0,"",VLOOKUP($A76,'Annex 2 EHV charges'!$A:$O,9,FALSE)),"")</f>
        <v>50.89</v>
      </c>
      <c r="G76" s="174">
        <f>IFERROR(IF(VLOOKUP($A76,'Annex 2 EHV charges'!$A:$O,10,FALSE)=0,"",VLOOKUP($A76,'Annex 2 EHV charges'!$A:$O,10,FALSE)),"")</f>
        <v>4.3099999999999996</v>
      </c>
      <c r="H76" s="174">
        <f>IFERROR(IF(VLOOKUP($A76,'Annex 2 EHV charges'!$A:$O,11,FALSE)=0,"",VLOOKUP($A76,'Annex 2 EHV charges'!$A:$O,11,FALSE)),"")</f>
        <v>4.3099999999999996</v>
      </c>
    </row>
    <row r="77" spans="1:8" ht="12.75" customHeight="1" x14ac:dyDescent="0.2">
      <c r="A77" s="93" t="str">
        <f t="array" ref="A77">IFERROR(INDEX('Annex 2 EHV charges'!$A$10:$A$301, MATCH(0, IF(ISBLANK('Annex 2 EHV charges'!$A$10:$A$301),1, COUNTIF(A$4:$A76, 'Annex 2 EHV charges'!$A$10:$A$301)), 0)),"")</f>
        <v>EXNING</v>
      </c>
      <c r="B77" s="93">
        <f>IF($A77="","",VLOOKUP($A77,'Annex 2 EHV charges'!$A:$O,2,0))</f>
        <v>510</v>
      </c>
      <c r="C77" s="94">
        <f>IF($A77="","",VLOOKUP($A77,'Annex 2 EHV charges'!$A:$O,3,0))</f>
        <v>1050000784384</v>
      </c>
      <c r="D77" s="93" t="str">
        <f>IF($A77="","",VLOOKUP($A77,'Annex 2 EHV charges'!$A:$O,7,0))</f>
        <v>EXNING</v>
      </c>
      <c r="E77" s="173" t="str">
        <f>IFERROR(IF(VLOOKUP($A77,'Annex 2 EHV charges'!$A:$O,8,FALSE)=0,"",VLOOKUP($A77,'Annex 2 EHV charges'!$A:$O,8,FALSE)),"")</f>
        <v/>
      </c>
      <c r="F77" s="175">
        <f>IFERROR(IF(VLOOKUP($A77,'Annex 2 EHV charges'!$A:$O,9,FALSE)=0,"",VLOOKUP($A77,'Annex 2 EHV charges'!$A:$O,9,FALSE)),"")</f>
        <v>11.87</v>
      </c>
      <c r="G77" s="174">
        <f>IFERROR(IF(VLOOKUP($A77,'Annex 2 EHV charges'!$A:$O,10,FALSE)=0,"",VLOOKUP($A77,'Annex 2 EHV charges'!$A:$O,10,FALSE)),"")</f>
        <v>2.71</v>
      </c>
      <c r="H77" s="174">
        <f>IFERROR(IF(VLOOKUP($A77,'Annex 2 EHV charges'!$A:$O,11,FALSE)=0,"",VLOOKUP($A77,'Annex 2 EHV charges'!$A:$O,11,FALSE)),"")</f>
        <v>2.71</v>
      </c>
    </row>
    <row r="78" spans="1:8" ht="12.75" customHeight="1" x14ac:dyDescent="0.2">
      <c r="A78" s="93" t="str">
        <f t="array" ref="A78">IFERROR(INDEX('Annex 2 EHV charges'!$A$10:$A$301, MATCH(0, IF(ISBLANK('Annex 2 EHV charges'!$A$10:$A$301),1, COUNTIF(A$4:$A77, 'Annex 2 EHV charges'!$A$10:$A$301)), 0)),"")</f>
        <v>EYEWFM</v>
      </c>
      <c r="B78" s="93">
        <f>IF($A78="","",VLOOKUP($A78,'Annex 2 EHV charges'!$A:$O,2,0))</f>
        <v>883</v>
      </c>
      <c r="C78" s="94">
        <f>IF($A78="","",VLOOKUP($A78,'Annex 2 EHV charges'!$A:$O,3,0))</f>
        <v>1030085019966</v>
      </c>
      <c r="D78" s="93" t="str">
        <f>IF($A78="","",VLOOKUP($A78,'Annex 2 EHV charges'!$A:$O,7,0))</f>
        <v>EYEWFM</v>
      </c>
      <c r="E78" s="173">
        <f>IFERROR(IF(VLOOKUP($A78,'Annex 2 EHV charges'!$A:$O,8,FALSE)=0,"",VLOOKUP($A78,'Annex 2 EHV charges'!$A:$O,8,FALSE)),"")</f>
        <v>0.13300000000000001</v>
      </c>
      <c r="F78" s="175">
        <f>IFERROR(IF(VLOOKUP($A78,'Annex 2 EHV charges'!$A:$O,9,FALSE)=0,"",VLOOKUP($A78,'Annex 2 EHV charges'!$A:$O,9,FALSE)),"")</f>
        <v>9.2200000000000006</v>
      </c>
      <c r="G78" s="174">
        <f>IFERROR(IF(VLOOKUP($A78,'Annex 2 EHV charges'!$A:$O,10,FALSE)=0,"",VLOOKUP($A78,'Annex 2 EHV charges'!$A:$O,10,FALSE)),"")</f>
        <v>1.53</v>
      </c>
      <c r="H78" s="174">
        <f>IFERROR(IF(VLOOKUP($A78,'Annex 2 EHV charges'!$A:$O,11,FALSE)=0,"",VLOOKUP($A78,'Annex 2 EHV charges'!$A:$O,11,FALSE)),"")</f>
        <v>1.53</v>
      </c>
    </row>
    <row r="79" spans="1:8" ht="12.75" customHeight="1" x14ac:dyDescent="0.2">
      <c r="A79" s="93" t="str">
        <f t="array" ref="A79">IFERROR(INDEX('Annex 2 EHV charges'!$A$10:$A$301, MATCH(0, IF(ISBLANK('Annex 2 EHV charges'!$A$10:$A$301),1, COUNTIF(A$4:$A78, 'Annex 2 EHV charges'!$A$10:$A$301)), 0)),"")</f>
        <v>FBWTHE</v>
      </c>
      <c r="B79" s="93">
        <f>IF($A79="","",VLOOKUP($A79,'Annex 2 EHV charges'!$A:$O,2,0))</f>
        <v>817</v>
      </c>
      <c r="C79" s="94">
        <f>IF($A79="","",VLOOKUP($A79,'Annex 2 EHV charges'!$A:$O,3,0))</f>
        <v>1023507304338</v>
      </c>
      <c r="D79" s="93" t="str">
        <f>IF($A79="","",VLOOKUP($A79,'Annex 2 EHV charges'!$A:$O,7,0))</f>
        <v>FBWTHE</v>
      </c>
      <c r="E79" s="173">
        <f>IFERROR(IF(VLOOKUP($A79,'Annex 2 EHV charges'!$A:$O,8,FALSE)=0,"",VLOOKUP($A79,'Annex 2 EHV charges'!$A:$O,8,FALSE)),"")</f>
        <v>2.8170000000000002</v>
      </c>
      <c r="F79" s="175">
        <f>IFERROR(IF(VLOOKUP($A79,'Annex 2 EHV charges'!$A:$O,9,FALSE)=0,"",VLOOKUP($A79,'Annex 2 EHV charges'!$A:$O,9,FALSE)),"")</f>
        <v>24.29</v>
      </c>
      <c r="G79" s="174">
        <f>IFERROR(IF(VLOOKUP($A79,'Annex 2 EHV charges'!$A:$O,10,FALSE)=0,"",VLOOKUP($A79,'Annex 2 EHV charges'!$A:$O,10,FALSE)),"")</f>
        <v>2.38</v>
      </c>
      <c r="H79" s="174">
        <f>IFERROR(IF(VLOOKUP($A79,'Annex 2 EHV charges'!$A:$O,11,FALSE)=0,"",VLOOKUP($A79,'Annex 2 EHV charges'!$A:$O,11,FALSE)),"")</f>
        <v>2.38</v>
      </c>
    </row>
    <row r="80" spans="1:8" ht="12.75" customHeight="1" x14ac:dyDescent="0.2">
      <c r="A80" s="93" t="str">
        <f t="array" ref="A80">IFERROR(INDEX('Annex 2 EHV charges'!$A$10:$A$301, MATCH(0, IF(ISBLANK('Annex 2 EHV charges'!$A$10:$A$301),1, COUNTIF(A$4:$A79, 'Annex 2 EHV charges'!$A$10:$A$301)), 0)),"")</f>
        <v>FENLND</v>
      </c>
      <c r="B80" s="93">
        <f>IF($A80="","",VLOOKUP($A80,'Annex 2 EHV charges'!$A:$O,2,0))</f>
        <v>511</v>
      </c>
      <c r="C80" s="94">
        <f>IF($A80="","",VLOOKUP($A80,'Annex 2 EHV charges'!$A:$O,3,0))</f>
        <v>1050000774163</v>
      </c>
      <c r="D80" s="93" t="str">
        <f>IF($A80="","",VLOOKUP($A80,'Annex 2 EHV charges'!$A:$O,7,0))</f>
        <v>FENLND</v>
      </c>
      <c r="E80" s="173">
        <f>IFERROR(IF(VLOOKUP($A80,'Annex 2 EHV charges'!$A:$O,8,FALSE)=0,"",VLOOKUP($A80,'Annex 2 EHV charges'!$A:$O,8,FALSE)),"")</f>
        <v>0.82299999999999995</v>
      </c>
      <c r="F80" s="175">
        <f>IFERROR(IF(VLOOKUP($A80,'Annex 2 EHV charges'!$A:$O,9,FALSE)=0,"",VLOOKUP($A80,'Annex 2 EHV charges'!$A:$O,9,FALSE)),"")</f>
        <v>37.36</v>
      </c>
      <c r="G80" s="174">
        <f>IFERROR(IF(VLOOKUP($A80,'Annex 2 EHV charges'!$A:$O,10,FALSE)=0,"",VLOOKUP($A80,'Annex 2 EHV charges'!$A:$O,10,FALSE)),"")</f>
        <v>1.95</v>
      </c>
      <c r="H80" s="174">
        <f>IFERROR(IF(VLOOKUP($A80,'Annex 2 EHV charges'!$A:$O,11,FALSE)=0,"",VLOOKUP($A80,'Annex 2 EHV charges'!$A:$O,11,FALSE)),"")</f>
        <v>1.95</v>
      </c>
    </row>
    <row r="81" spans="1:8" ht="12.75" customHeight="1" x14ac:dyDescent="0.2">
      <c r="A81" s="93" t="str">
        <f t="array" ref="A81">IFERROR(INDEX('Annex 2 EHV charges'!$A$10:$A$301, MATCH(0, IF(ISBLANK('Annex 2 EHV charges'!$A$10:$A$301),1, COUNTIF(A$4:$A80, 'Annex 2 EHV charges'!$A$10:$A$301)), 0)),"")</f>
        <v>FIBEYE</v>
      </c>
      <c r="B81" s="93">
        <f>IF($A81="","",VLOOKUP($A81,'Annex 2 EHV charges'!$A:$O,2,0))</f>
        <v>816</v>
      </c>
      <c r="C81" s="94">
        <f>IF($A81="","",VLOOKUP($A81,'Annex 2 EHV charges'!$A:$O,3,0))</f>
        <v>1023479132092</v>
      </c>
      <c r="D81" s="93" t="str">
        <f>IF($A81="","",VLOOKUP($A81,'Annex 2 EHV charges'!$A:$O,7,0))</f>
        <v>FIBEYE</v>
      </c>
      <c r="E81" s="173">
        <f>IFERROR(IF(VLOOKUP($A81,'Annex 2 EHV charges'!$A:$O,8,FALSE)=0,"",VLOOKUP($A81,'Annex 2 EHV charges'!$A:$O,8,FALSE)),"")</f>
        <v>1.524</v>
      </c>
      <c r="F81" s="175">
        <f>IFERROR(IF(VLOOKUP($A81,'Annex 2 EHV charges'!$A:$O,9,FALSE)=0,"",VLOOKUP($A81,'Annex 2 EHV charges'!$A:$O,9,FALSE)),"")</f>
        <v>17.82</v>
      </c>
      <c r="G81" s="174">
        <f>IFERROR(IF(VLOOKUP($A81,'Annex 2 EHV charges'!$A:$O,10,FALSE)=0,"",VLOOKUP($A81,'Annex 2 EHV charges'!$A:$O,10,FALSE)),"")</f>
        <v>1.76</v>
      </c>
      <c r="H81" s="174">
        <f>IFERROR(IF(VLOOKUP($A81,'Annex 2 EHV charges'!$A:$O,11,FALSE)=0,"",VLOOKUP($A81,'Annex 2 EHV charges'!$A:$O,11,FALSE)),"")</f>
        <v>1.76</v>
      </c>
    </row>
    <row r="82" spans="1:8" ht="12.75" customHeight="1" x14ac:dyDescent="0.2">
      <c r="A82" s="93" t="str">
        <f t="array" ref="A82">IFERROR(INDEX('Annex 2 EHV charges'!$A$10:$A$301, MATCH(0, IF(ISBLANK('Annex 2 EHV charges'!$A$10:$A$301),1, COUNTIF(A$4:$A81, 'Annex 2 EHV charges'!$A$10:$A$301)), 0)),"")</f>
        <v>FLYFRM</v>
      </c>
      <c r="B82" s="93">
        <f>IF($A82="","",VLOOKUP($A82,'Annex 2 EHV charges'!$A:$O,2,0))</f>
        <v>512</v>
      </c>
      <c r="C82" s="94">
        <f>IF($A82="","",VLOOKUP($A82,'Annex 2 EHV charges'!$A:$O,3,0))</f>
        <v>1050000822463</v>
      </c>
      <c r="D82" s="93" t="str">
        <f>IF($A82="","",VLOOKUP($A82,'Annex 2 EHV charges'!$A:$O,7,0))</f>
        <v>FLYFRM</v>
      </c>
      <c r="E82" s="173">
        <f>IFERROR(IF(VLOOKUP($A82,'Annex 2 EHV charges'!$A:$O,8,FALSE)=0,"",VLOOKUP($A82,'Annex 2 EHV charges'!$A:$O,8,FALSE)),"")</f>
        <v>1.4330000000000001</v>
      </c>
      <c r="F82" s="175">
        <f>IFERROR(IF(VLOOKUP($A82,'Annex 2 EHV charges'!$A:$O,9,FALSE)=0,"",VLOOKUP($A82,'Annex 2 EHV charges'!$A:$O,9,FALSE)),"")</f>
        <v>7.56</v>
      </c>
      <c r="G82" s="174">
        <f>IFERROR(IF(VLOOKUP($A82,'Annex 2 EHV charges'!$A:$O,10,FALSE)=0,"",VLOOKUP($A82,'Annex 2 EHV charges'!$A:$O,10,FALSE)),"")</f>
        <v>3.2</v>
      </c>
      <c r="H82" s="174">
        <f>IFERROR(IF(VLOOKUP($A82,'Annex 2 EHV charges'!$A:$O,11,FALSE)=0,"",VLOOKUP($A82,'Annex 2 EHV charges'!$A:$O,11,FALSE)),"")</f>
        <v>3.2</v>
      </c>
    </row>
    <row r="83" spans="1:8" ht="12.75" customHeight="1" x14ac:dyDescent="0.2">
      <c r="A83" s="93" t="str">
        <f t="array" ref="A83">IFERROR(INDEX('Annex 2 EHV charges'!$A$10:$A$301, MATCH(0, IF(ISBLANK('Annex 2 EHV charges'!$A$10:$A$301),1, COUNTIF(A$4:$A82, 'Annex 2 EHV charges'!$A$10:$A$301)), 0)),"")</f>
        <v>FORD_D</v>
      </c>
      <c r="B83" s="93">
        <f>IF($A83="","",VLOOKUP($A83,'Annex 2 EHV charges'!$A:$O,2,0))</f>
        <v>818</v>
      </c>
      <c r="C83" s="94">
        <f>IF($A83="","",VLOOKUP($A83,'Annex 2 EHV charges'!$A:$O,3,0))</f>
        <v>1015684515819</v>
      </c>
      <c r="D83" s="93" t="str">
        <f>IF($A83="","",VLOOKUP($A83,'Annex 2 EHV charges'!$A:$O,7,0))</f>
        <v>FORD_D</v>
      </c>
      <c r="E83" s="173" t="str">
        <f>IFERROR(IF(VLOOKUP($A83,'Annex 2 EHV charges'!$A:$O,8,FALSE)=0,"",VLOOKUP($A83,'Annex 2 EHV charges'!$A:$O,8,FALSE)),"")</f>
        <v/>
      </c>
      <c r="F83" s="175">
        <f>IFERROR(IF(VLOOKUP($A83,'Annex 2 EHV charges'!$A:$O,9,FALSE)=0,"",VLOOKUP($A83,'Annex 2 EHV charges'!$A:$O,9,FALSE)),"")</f>
        <v>23890.42</v>
      </c>
      <c r="G83" s="174">
        <f>IFERROR(IF(VLOOKUP($A83,'Annex 2 EHV charges'!$A:$O,10,FALSE)=0,"",VLOOKUP($A83,'Annex 2 EHV charges'!$A:$O,10,FALSE)),"")</f>
        <v>3.14</v>
      </c>
      <c r="H83" s="174">
        <f>IFERROR(IF(VLOOKUP($A83,'Annex 2 EHV charges'!$A:$O,11,FALSE)=0,"",VLOOKUP($A83,'Annex 2 EHV charges'!$A:$O,11,FALSE)),"")</f>
        <v>3.14</v>
      </c>
    </row>
    <row r="84" spans="1:8" ht="12.75" customHeight="1" x14ac:dyDescent="0.2">
      <c r="A84" s="93" t="str">
        <f t="array" ref="A84">IFERROR(INDEX('Annex 2 EHV charges'!$A$10:$A$301, MATCH(0, IF(ISBLANK('Annex 2 EHV charges'!$A$10:$A$301),1, COUNTIF(A$4:$A83, 'Annex 2 EHV charges'!$A$10:$A$301)), 0)),"")</f>
        <v>FRDHVS</v>
      </c>
      <c r="B84" s="93">
        <f>IF($A84="","",VLOOKUP($A84,'Annex 2 EHV charges'!$A:$O,2,0))</f>
        <v>598</v>
      </c>
      <c r="C84" s="94">
        <f>IF($A84="","",VLOOKUP($A84,'Annex 2 EHV charges'!$A:$O,3,0))</f>
        <v>1014572810813</v>
      </c>
      <c r="D84" s="93" t="str">
        <f>IF($A84="","",VLOOKUP($A84,'Annex 2 EHV charges'!$A:$O,7,0))</f>
        <v>FRDHVS</v>
      </c>
      <c r="E84" s="173">
        <f>IFERROR(IF(VLOOKUP($A84,'Annex 2 EHV charges'!$A:$O,8,FALSE)=0,"",VLOOKUP($A84,'Annex 2 EHV charges'!$A:$O,8,FALSE)),"")</f>
        <v>0.748</v>
      </c>
      <c r="F84" s="175">
        <f>IFERROR(IF(VLOOKUP($A84,'Annex 2 EHV charges'!$A:$O,9,FALSE)=0,"",VLOOKUP($A84,'Annex 2 EHV charges'!$A:$O,9,FALSE)),"")</f>
        <v>449.64</v>
      </c>
      <c r="G84" s="174">
        <f>IFERROR(IF(VLOOKUP($A84,'Annex 2 EHV charges'!$A:$O,10,FALSE)=0,"",VLOOKUP($A84,'Annex 2 EHV charges'!$A:$O,10,FALSE)),"")</f>
        <v>3.52</v>
      </c>
      <c r="H84" s="174">
        <f>IFERROR(IF(VLOOKUP($A84,'Annex 2 EHV charges'!$A:$O,11,FALSE)=0,"",VLOOKUP($A84,'Annex 2 EHV charges'!$A:$O,11,FALSE)),"")</f>
        <v>3.52</v>
      </c>
    </row>
    <row r="85" spans="1:8" ht="12.75" customHeight="1" x14ac:dyDescent="0.2">
      <c r="A85" s="93" t="str">
        <f t="array" ref="A85">IFERROR(INDEX('Annex 2 EHV charges'!$A$10:$A$301, MATCH(0, IF(ISBLANK('Annex 2 EHV charges'!$A$10:$A$301),1, COUNTIF(A$4:$A84, 'Annex 2 EHV charges'!$A$10:$A$301)), 0)),"")</f>
        <v>FUJISL</v>
      </c>
      <c r="B85" s="93">
        <f>IF($A85="","",VLOOKUP($A85,'Annex 2 EHV charges'!$A:$O,2,0))</f>
        <v>599</v>
      </c>
      <c r="C85" s="94" t="str">
        <f>IF($A85="","",VLOOKUP($A85,'Annex 2 EHV charges'!$A:$O,3,0))</f>
        <v>1023526590750
1023526590982
1023526591211</v>
      </c>
      <c r="D85" s="93" t="str">
        <f>IF($A85="","",VLOOKUP($A85,'Annex 2 EHV charges'!$A:$O,7,0))</f>
        <v>FUJISL</v>
      </c>
      <c r="E85" s="173">
        <f>IFERROR(IF(VLOOKUP($A85,'Annex 2 EHV charges'!$A:$O,8,FALSE)=0,"",VLOOKUP($A85,'Annex 2 EHV charges'!$A:$O,8,FALSE)),"")</f>
        <v>1.2649999999999999</v>
      </c>
      <c r="F85" s="175">
        <f>IFERROR(IF(VLOOKUP($A85,'Annex 2 EHV charges'!$A:$O,9,FALSE)=0,"",VLOOKUP($A85,'Annex 2 EHV charges'!$A:$O,9,FALSE)),"")</f>
        <v>269.79000000000002</v>
      </c>
      <c r="G85" s="174">
        <f>IFERROR(IF(VLOOKUP($A85,'Annex 2 EHV charges'!$A:$O,10,FALSE)=0,"",VLOOKUP($A85,'Annex 2 EHV charges'!$A:$O,10,FALSE)),"")</f>
        <v>3.32</v>
      </c>
      <c r="H85" s="174">
        <f>IFERROR(IF(VLOOKUP($A85,'Annex 2 EHV charges'!$A:$O,11,FALSE)=0,"",VLOOKUP($A85,'Annex 2 EHV charges'!$A:$O,11,FALSE)),"")</f>
        <v>3.32</v>
      </c>
    </row>
    <row r="86" spans="1:8" ht="12.75" customHeight="1" x14ac:dyDescent="0.2">
      <c r="A86" s="93" t="str">
        <f t="array" ref="A86">IFERROR(INDEX('Annex 2 EHV charges'!$A$10:$A$301, MATCH(0, IF(ISBLANK('Annex 2 EHV charges'!$A$10:$A$301),1, COUNTIF(A$4:$A85, 'Annex 2 EHV charges'!$A$10:$A$301)), 0)),"")</f>
        <v>FWINDS</v>
      </c>
      <c r="B86" s="93">
        <f>IF($A86="","",VLOOKUP($A86,'Annex 2 EHV charges'!$A:$O,2,0))</f>
        <v>513</v>
      </c>
      <c r="C86" s="94">
        <f>IF($A86="","",VLOOKUP($A86,'Annex 2 EHV charges'!$A:$O,3,0))</f>
        <v>1050000709721</v>
      </c>
      <c r="D86" s="93" t="str">
        <f>IF($A86="","",VLOOKUP($A86,'Annex 2 EHV charges'!$A:$O,7,0))</f>
        <v>FWINDS</v>
      </c>
      <c r="E86" s="173" t="str">
        <f>IFERROR(IF(VLOOKUP($A86,'Annex 2 EHV charges'!$A:$O,8,FALSE)=0,"",VLOOKUP($A86,'Annex 2 EHV charges'!$A:$O,8,FALSE)),"")</f>
        <v/>
      </c>
      <c r="F86" s="175">
        <f>IFERROR(IF(VLOOKUP($A86,'Annex 2 EHV charges'!$A:$O,9,FALSE)=0,"",VLOOKUP($A86,'Annex 2 EHV charges'!$A:$O,9,FALSE)),"")</f>
        <v>8.18</v>
      </c>
      <c r="G86" s="174">
        <f>IFERROR(IF(VLOOKUP($A86,'Annex 2 EHV charges'!$A:$O,10,FALSE)=0,"",VLOOKUP($A86,'Annex 2 EHV charges'!$A:$O,10,FALSE)),"")</f>
        <v>2.64</v>
      </c>
      <c r="H86" s="174">
        <f>IFERROR(IF(VLOOKUP($A86,'Annex 2 EHV charges'!$A:$O,11,FALSE)=0,"",VLOOKUP($A86,'Annex 2 EHV charges'!$A:$O,11,FALSE)),"")</f>
        <v>2.64</v>
      </c>
    </row>
    <row r="87" spans="1:8" ht="12.75" customHeight="1" x14ac:dyDescent="0.2">
      <c r="A87" s="93" t="str">
        <f t="array" ref="A87">IFERROR(INDEX('Annex 2 EHV charges'!$A$10:$A$301, MATCH(0, IF(ISBLANK('Annex 2 EHV charges'!$A$10:$A$301),1, COUNTIF(A$4:$A86, 'Annex 2 EHV charges'!$A$10:$A$301)), 0)),"")</f>
        <v>FXDFAG</v>
      </c>
      <c r="B87" s="93">
        <f>IF($A87="","",VLOOKUP($A87,'Annex 2 EHV charges'!$A:$O,2,0))</f>
        <v>474</v>
      </c>
      <c r="C87" s="94" t="str">
        <f>IF($A87="","",VLOOKUP($A87,'Annex 2 EHV charges'!$A:$O,3,0))</f>
        <v xml:space="preserve">1014572633250
1023479907422 </v>
      </c>
      <c r="D87" s="93" t="str">
        <f>IF($A87="","",VLOOKUP($A87,'Annex 2 EHV charges'!$A:$O,7,0))</f>
        <v>FXDFAG</v>
      </c>
      <c r="E87" s="173">
        <f>IFERROR(IF(VLOOKUP($A87,'Annex 2 EHV charges'!$A:$O,8,FALSE)=0,"",VLOOKUP($A87,'Annex 2 EHV charges'!$A:$O,8,FALSE)),"")</f>
        <v>5.6879999999999997</v>
      </c>
      <c r="F87" s="175">
        <f>IFERROR(IF(VLOOKUP($A87,'Annex 2 EHV charges'!$A:$O,9,FALSE)=0,"",VLOOKUP($A87,'Annex 2 EHV charges'!$A:$O,9,FALSE)),"")</f>
        <v>2656.71</v>
      </c>
      <c r="G87" s="174">
        <f>IFERROR(IF(VLOOKUP($A87,'Annex 2 EHV charges'!$A:$O,10,FALSE)=0,"",VLOOKUP($A87,'Annex 2 EHV charges'!$A:$O,10,FALSE)),"")</f>
        <v>3.49</v>
      </c>
      <c r="H87" s="174">
        <f>IFERROR(IF(VLOOKUP($A87,'Annex 2 EHV charges'!$A:$O,11,FALSE)=0,"",VLOOKUP($A87,'Annex 2 EHV charges'!$A:$O,11,FALSE)),"")</f>
        <v>3.49</v>
      </c>
    </row>
    <row r="88" spans="1:8" ht="12.75" customHeight="1" x14ac:dyDescent="0.2">
      <c r="A88" s="93" t="str">
        <f t="array" ref="A88">IFERROR(INDEX('Annex 2 EHV charges'!$A$10:$A$301, MATCH(0, IF(ISBLANK('Annex 2 EHV charges'!$A$10:$A$301),1, COUNTIF(A$4:$A87, 'Annex 2 EHV charges'!$A$10:$A$301)), 0)),"")</f>
        <v>FXDOYS</v>
      </c>
      <c r="B88" s="93">
        <f>IF($A88="","",VLOOKUP($A88,'Annex 2 EHV charges'!$A:$O,2,0))</f>
        <v>475</v>
      </c>
      <c r="C88" s="94" t="str">
        <f>IF($A88="","",VLOOKUP($A88,'Annex 2 EHV charges'!$A:$O,3,0))</f>
        <v>1023482441566
1023492579962</v>
      </c>
      <c r="D88" s="93" t="str">
        <f>IF($A88="","",VLOOKUP($A88,'Annex 2 EHV charges'!$A:$O,7,0))</f>
        <v>FXDOYS</v>
      </c>
      <c r="E88" s="173">
        <f>IFERROR(IF(VLOOKUP($A88,'Annex 2 EHV charges'!$A:$O,8,FALSE)=0,"",VLOOKUP($A88,'Annex 2 EHV charges'!$A:$O,8,FALSE)),"")</f>
        <v>5.5389999999999997</v>
      </c>
      <c r="F88" s="175">
        <f>IFERROR(IF(VLOOKUP($A88,'Annex 2 EHV charges'!$A:$O,9,FALSE)=0,"",VLOOKUP($A88,'Annex 2 EHV charges'!$A:$O,9,FALSE)),"")</f>
        <v>2656.71</v>
      </c>
      <c r="G88" s="174">
        <f>IFERROR(IF(VLOOKUP($A88,'Annex 2 EHV charges'!$A:$O,10,FALSE)=0,"",VLOOKUP($A88,'Annex 2 EHV charges'!$A:$O,10,FALSE)),"")</f>
        <v>3.49</v>
      </c>
      <c r="H88" s="174">
        <f>IFERROR(IF(VLOOKUP($A88,'Annex 2 EHV charges'!$A:$O,11,FALSE)=0,"",VLOOKUP($A88,'Annex 2 EHV charges'!$A:$O,11,FALSE)),"")</f>
        <v>3.49</v>
      </c>
    </row>
    <row r="89" spans="1:8" ht="12.75" customHeight="1" x14ac:dyDescent="0.2">
      <c r="A89" s="93" t="str">
        <f t="array" ref="A89">IFERROR(INDEX('Annex 2 EHV charges'!$A$10:$A$301, MATCH(0, IF(ISBLANK('Annex 2 EHV charges'!$A$10:$A$301),1, COUNTIF(A$4:$A88, 'Annex 2 EHV charges'!$A$10:$A$301)), 0)),"")</f>
        <v>GDE132</v>
      </c>
      <c r="B89" s="93">
        <f>IF($A89="","",VLOOKUP($A89,'Annex 2 EHV charges'!$A:$O,2,0))</f>
        <v>514</v>
      </c>
      <c r="C89" s="94">
        <f>IF($A89="","",VLOOKUP($A89,'Annex 2 EHV charges'!$A:$O,3,0))</f>
        <v>1050000738305</v>
      </c>
      <c r="D89" s="93" t="str">
        <f>IF($A89="","",VLOOKUP($A89,'Annex 2 EHV charges'!$A:$O,7,0))</f>
        <v>GDE132</v>
      </c>
      <c r="E89" s="173" t="str">
        <f>IFERROR(IF(VLOOKUP($A89,'Annex 2 EHV charges'!$A:$O,8,FALSE)=0,"",VLOOKUP($A89,'Annex 2 EHV charges'!$A:$O,8,FALSE)),"")</f>
        <v/>
      </c>
      <c r="F89" s="175">
        <f>IFERROR(IF(VLOOKUP($A89,'Annex 2 EHV charges'!$A:$O,9,FALSE)=0,"",VLOOKUP($A89,'Annex 2 EHV charges'!$A:$O,9,FALSE)),"")</f>
        <v>20.59</v>
      </c>
      <c r="G89" s="174">
        <f>IFERROR(IF(VLOOKUP($A89,'Annex 2 EHV charges'!$A:$O,10,FALSE)=0,"",VLOOKUP($A89,'Annex 2 EHV charges'!$A:$O,10,FALSE)),"")</f>
        <v>1.61</v>
      </c>
      <c r="H89" s="174">
        <f>IFERROR(IF(VLOOKUP($A89,'Annex 2 EHV charges'!$A:$O,11,FALSE)=0,"",VLOOKUP($A89,'Annex 2 EHV charges'!$A:$O,11,FALSE)),"")</f>
        <v>1.61</v>
      </c>
    </row>
    <row r="90" spans="1:8" ht="12.75" customHeight="1" x14ac:dyDescent="0.2">
      <c r="A90" s="93" t="str">
        <f t="array" ref="A90">IFERROR(INDEX('Annex 2 EHV charges'!$A$10:$A$301, MATCH(0, IF(ISBLANK('Annex 2 EHV charges'!$A$10:$A$301),1, COUNTIF(A$4:$A89, 'Annex 2 EHV charges'!$A$10:$A$301)), 0)),"")</f>
        <v>GFTHRN</v>
      </c>
      <c r="B90" s="93">
        <f>IF($A90="","",VLOOKUP($A90,'Annex 2 EHV charges'!$A:$O,2,0))</f>
        <v>567</v>
      </c>
      <c r="C90" s="94">
        <f>IF($A90="","",VLOOKUP($A90,'Annex 2 EHV charges'!$A:$O,3,0))</f>
        <v>1050000903244</v>
      </c>
      <c r="D90" s="93" t="str">
        <f>IF($A90="","",VLOOKUP($A90,'Annex 2 EHV charges'!$A:$O,7,0))</f>
        <v>GFTHRN</v>
      </c>
      <c r="E90" s="173">
        <f>IFERROR(IF(VLOOKUP($A90,'Annex 2 EHV charges'!$A:$O,8,FALSE)=0,"",VLOOKUP($A90,'Annex 2 EHV charges'!$A:$O,8,FALSE)),"")</f>
        <v>2.3E-2</v>
      </c>
      <c r="F90" s="175">
        <f>IFERROR(IF(VLOOKUP($A90,'Annex 2 EHV charges'!$A:$O,9,FALSE)=0,"",VLOOKUP($A90,'Annex 2 EHV charges'!$A:$O,9,FALSE)),"")</f>
        <v>52.12</v>
      </c>
      <c r="G90" s="174">
        <f>IFERROR(IF(VLOOKUP($A90,'Annex 2 EHV charges'!$A:$O,10,FALSE)=0,"",VLOOKUP($A90,'Annex 2 EHV charges'!$A:$O,10,FALSE)),"")</f>
        <v>1.58</v>
      </c>
      <c r="H90" s="174">
        <f>IFERROR(IF(VLOOKUP($A90,'Annex 2 EHV charges'!$A:$O,11,FALSE)=0,"",VLOOKUP($A90,'Annex 2 EHV charges'!$A:$O,11,FALSE)),"")</f>
        <v>1.58</v>
      </c>
    </row>
    <row r="91" spans="1:8" ht="12.75" customHeight="1" x14ac:dyDescent="0.2">
      <c r="A91" s="93" t="str">
        <f t="array" ref="A91">IFERROR(INDEX('Annex 2 EHV charges'!$A$10:$A$301, MATCH(0, IF(ISBLANK('Annex 2 EHV charges'!$A$10:$A$301),1, COUNTIF(A$4:$A90, 'Annex 2 EHV charges'!$A$10:$A$301)), 0)),"")</f>
        <v>GLASM2</v>
      </c>
      <c r="B91" s="93">
        <f>IF($A91="","",VLOOKUP($A91,'Annex 2 EHV charges'!$A:$O,2,0))</f>
        <v>865</v>
      </c>
      <c r="C91" s="94">
        <f>IF($A91="","",VLOOKUP($A91,'Annex 2 EHV charges'!$A:$O,3,0))</f>
        <v>1030083962424</v>
      </c>
      <c r="D91" s="93" t="str">
        <f>IF($A91="","",VLOOKUP($A91,'Annex 2 EHV charges'!$A:$O,7,0))</f>
        <v>GLASM2</v>
      </c>
      <c r="E91" s="173">
        <f>IFERROR(IF(VLOOKUP($A91,'Annex 2 EHV charges'!$A:$O,8,FALSE)=0,"",VLOOKUP($A91,'Annex 2 EHV charges'!$A:$O,8,FALSE)),"")</f>
        <v>0.09</v>
      </c>
      <c r="F91" s="175">
        <f>IFERROR(IF(VLOOKUP($A91,'Annex 2 EHV charges'!$A:$O,9,FALSE)=0,"",VLOOKUP($A91,'Annex 2 EHV charges'!$A:$O,9,FALSE)),"")</f>
        <v>44.57</v>
      </c>
      <c r="G91" s="174">
        <f>IFERROR(IF(VLOOKUP($A91,'Annex 2 EHV charges'!$A:$O,10,FALSE)=0,"",VLOOKUP($A91,'Annex 2 EHV charges'!$A:$O,10,FALSE)),"")</f>
        <v>1.78</v>
      </c>
      <c r="H91" s="174">
        <f>IFERROR(IF(VLOOKUP($A91,'Annex 2 EHV charges'!$A:$O,11,FALSE)=0,"",VLOOKUP($A91,'Annex 2 EHV charges'!$A:$O,11,FALSE)),"")</f>
        <v>1.78</v>
      </c>
    </row>
    <row r="92" spans="1:8" ht="12.75" customHeight="1" x14ac:dyDescent="0.2">
      <c r="A92" s="93" t="str">
        <f t="array" ref="A92">IFERROR(INDEX('Annex 2 EHV charges'!$A$10:$A$301, MATCH(0, IF(ISBLANK('Annex 2 EHV charges'!$A$10:$A$301),1, COUNTIF(A$4:$A91, 'Annex 2 EHV charges'!$A$10:$A$301)), 0)),"")</f>
        <v>GLASSM</v>
      </c>
      <c r="B92" s="93">
        <f>IF($A92="","",VLOOKUP($A92,'Annex 2 EHV charges'!$A:$O,2,0))</f>
        <v>814</v>
      </c>
      <c r="C92" s="94">
        <f>IF($A92="","",VLOOKUP($A92,'Annex 2 EHV charges'!$A:$O,3,0))</f>
        <v>1030024800679</v>
      </c>
      <c r="D92" s="93" t="str">
        <f>IF($A92="","",VLOOKUP($A92,'Annex 2 EHV charges'!$A:$O,7,0))</f>
        <v>GLASSM</v>
      </c>
      <c r="E92" s="173">
        <f>IFERROR(IF(VLOOKUP($A92,'Annex 2 EHV charges'!$A:$O,8,FALSE)=0,"",VLOOKUP($A92,'Annex 2 EHV charges'!$A:$O,8,FALSE)),"")</f>
        <v>0.114</v>
      </c>
      <c r="F92" s="175">
        <f>IFERROR(IF(VLOOKUP($A92,'Annex 2 EHV charges'!$A:$O,9,FALSE)=0,"",VLOOKUP($A92,'Annex 2 EHV charges'!$A:$O,9,FALSE)),"")</f>
        <v>11.48</v>
      </c>
      <c r="G92" s="174">
        <f>IFERROR(IF(VLOOKUP($A92,'Annex 2 EHV charges'!$A:$O,10,FALSE)=0,"",VLOOKUP($A92,'Annex 2 EHV charges'!$A:$O,10,FALSE)),"")</f>
        <v>1.82</v>
      </c>
      <c r="H92" s="174">
        <f>IFERROR(IF(VLOOKUP($A92,'Annex 2 EHV charges'!$A:$O,11,FALSE)=0,"",VLOOKUP($A92,'Annex 2 EHV charges'!$A:$O,11,FALSE)),"")</f>
        <v>1.82</v>
      </c>
    </row>
    <row r="93" spans="1:8" ht="12.75" customHeight="1" x14ac:dyDescent="0.2">
      <c r="A93" s="93" t="str">
        <f t="array" ref="A93">IFERROR(INDEX('Annex 2 EHV charges'!$A$10:$A$301, MATCH(0, IF(ISBLANK('Annex 2 EHV charges'!$A$10:$A$301),1, COUNTIF(A$4:$A92, 'Annex 2 EHV charges'!$A$10:$A$301)), 0)),"")</f>
        <v>GLXOST</v>
      </c>
      <c r="B93" s="93">
        <f>IF($A93="","",VLOOKUP($A93,'Annex 2 EHV charges'!$A:$O,2,0))</f>
        <v>476</v>
      </c>
      <c r="C93" s="94" t="str">
        <f>IF($A93="","",VLOOKUP($A93,'Annex 2 EHV charges'!$A:$O,3,0))</f>
        <v>1014569657748
1014569657970</v>
      </c>
      <c r="D93" s="93" t="str">
        <f>IF($A93="","",VLOOKUP($A93,'Annex 2 EHV charges'!$A:$O,7,0))</f>
        <v>GLXOST</v>
      </c>
      <c r="E93" s="173">
        <f>IFERROR(IF(VLOOKUP($A93,'Annex 2 EHV charges'!$A:$O,8,FALSE)=0,"",VLOOKUP($A93,'Annex 2 EHV charges'!$A:$O,8,FALSE)),"")</f>
        <v>3.1869999999999998</v>
      </c>
      <c r="F93" s="175">
        <f>IFERROR(IF(VLOOKUP($A93,'Annex 2 EHV charges'!$A:$O,9,FALSE)=0,"",VLOOKUP($A93,'Annex 2 EHV charges'!$A:$O,9,FALSE)),"")</f>
        <v>179.86</v>
      </c>
      <c r="G93" s="174">
        <f>IFERROR(IF(VLOOKUP($A93,'Annex 2 EHV charges'!$A:$O,10,FALSE)=0,"",VLOOKUP($A93,'Annex 2 EHV charges'!$A:$O,10,FALSE)),"")</f>
        <v>3.08</v>
      </c>
      <c r="H93" s="174">
        <f>IFERROR(IF(VLOOKUP($A93,'Annex 2 EHV charges'!$A:$O,11,FALSE)=0,"",VLOOKUP($A93,'Annex 2 EHV charges'!$A:$O,11,FALSE)),"")</f>
        <v>3.08</v>
      </c>
    </row>
    <row r="94" spans="1:8" ht="12.75" customHeight="1" x14ac:dyDescent="0.2">
      <c r="A94" s="93" t="str">
        <f t="array" ref="A94">IFERROR(INDEX('Annex 2 EHV charges'!$A$10:$A$301, MATCH(0, IF(ISBLANK('Annex 2 EHV charges'!$A$10:$A$301),1, COUNTIF(A$4:$A93, 'Annex 2 EHV charges'!$A$10:$A$301)), 0)),"")</f>
        <v>GLXOW2</v>
      </c>
      <c r="B94" s="93">
        <f>IF($A94="","",VLOOKUP($A94,'Annex 2 EHV charges'!$A:$O,2,0))</f>
        <v>477</v>
      </c>
      <c r="C94" s="94" t="str">
        <f>IF($A94="","",VLOOKUP($A94,'Annex 2 EHV charges'!$A:$O,3,0))</f>
        <v>1023475635409
1023475634488</v>
      </c>
      <c r="D94" s="93" t="str">
        <f>IF($A94="","",VLOOKUP($A94,'Annex 2 EHV charges'!$A:$O,7,0))</f>
        <v>GLXOW2</v>
      </c>
      <c r="E94" s="173">
        <f>IFERROR(IF(VLOOKUP($A94,'Annex 2 EHV charges'!$A:$O,8,FALSE)=0,"",VLOOKUP($A94,'Annex 2 EHV charges'!$A:$O,8,FALSE)),"")</f>
        <v>5.13</v>
      </c>
      <c r="F94" s="175">
        <f>IFERROR(IF(VLOOKUP($A94,'Annex 2 EHV charges'!$A:$O,9,FALSE)=0,"",VLOOKUP($A94,'Annex 2 EHV charges'!$A:$O,9,FALSE)),"")</f>
        <v>179.86</v>
      </c>
      <c r="G94" s="174">
        <f>IFERROR(IF(VLOOKUP($A94,'Annex 2 EHV charges'!$A:$O,10,FALSE)=0,"",VLOOKUP($A94,'Annex 2 EHV charges'!$A:$O,10,FALSE)),"")</f>
        <v>1.94</v>
      </c>
      <c r="H94" s="174">
        <f>IFERROR(IF(VLOOKUP($A94,'Annex 2 EHV charges'!$A:$O,11,FALSE)=0,"",VLOOKUP($A94,'Annex 2 EHV charges'!$A:$O,11,FALSE)),"")</f>
        <v>1.94</v>
      </c>
    </row>
    <row r="95" spans="1:8" ht="12.75" customHeight="1" x14ac:dyDescent="0.2">
      <c r="A95" s="93" t="str">
        <f t="array" ref="A95">IFERROR(INDEX('Annex 2 EHV charges'!$A$10:$A$301, MATCH(0, IF(ISBLANK('Annex 2 EHV charges'!$A$10:$A$301),1, COUNTIF(A$4:$A94, 'Annex 2 EHV charges'!$A$10:$A$301)), 0)),"")</f>
        <v>GLXOWR</v>
      </c>
      <c r="B95" s="93">
        <f>IF($A95="","",VLOOKUP($A95,'Annex 2 EHV charges'!$A:$O,2,0))</f>
        <v>478</v>
      </c>
      <c r="C95" s="94" t="str">
        <f>IF($A95="","",VLOOKUP($A95,'Annex 2 EHV charges'!$A:$O,3,0))</f>
        <v>1023484819994
1023475633563</v>
      </c>
      <c r="D95" s="93" t="str">
        <f>IF($A95="","",VLOOKUP($A95,'Annex 2 EHV charges'!$A:$O,7,0))</f>
        <v>GLXOWR</v>
      </c>
      <c r="E95" s="173">
        <f>IFERROR(IF(VLOOKUP($A95,'Annex 2 EHV charges'!$A:$O,8,FALSE)=0,"",VLOOKUP($A95,'Annex 2 EHV charges'!$A:$O,8,FALSE)),"")</f>
        <v>5.13</v>
      </c>
      <c r="F95" s="175">
        <f>IFERROR(IF(VLOOKUP($A95,'Annex 2 EHV charges'!$A:$O,9,FALSE)=0,"",VLOOKUP($A95,'Annex 2 EHV charges'!$A:$O,9,FALSE)),"")</f>
        <v>449.64</v>
      </c>
      <c r="G95" s="174">
        <f>IFERROR(IF(VLOOKUP($A95,'Annex 2 EHV charges'!$A:$O,10,FALSE)=0,"",VLOOKUP($A95,'Annex 2 EHV charges'!$A:$O,10,FALSE)),"")</f>
        <v>2.2799999999999998</v>
      </c>
      <c r="H95" s="174">
        <f>IFERROR(IF(VLOOKUP($A95,'Annex 2 EHV charges'!$A:$O,11,FALSE)=0,"",VLOOKUP($A95,'Annex 2 EHV charges'!$A:$O,11,FALSE)),"")</f>
        <v>2.2799999999999998</v>
      </c>
    </row>
    <row r="96" spans="1:8" ht="12.75" customHeight="1" x14ac:dyDescent="0.2">
      <c r="A96" s="93" t="str">
        <f t="array" ref="A96">IFERROR(INDEX('Annex 2 EHV charges'!$A$10:$A$301, MATCH(0, IF(ISBLANK('Annex 2 EHV charges'!$A$10:$A$301),1, COUNTIF(A$4:$A95, 'Annex 2 EHV charges'!$A$10:$A$301)), 0)),"")</f>
        <v>GOSFLD</v>
      </c>
      <c r="B96" s="93">
        <f>IF($A96="","",VLOOKUP($A96,'Annex 2 EHV charges'!$A:$O,2,0))</f>
        <v>515</v>
      </c>
      <c r="C96" s="94">
        <f>IF($A96="","",VLOOKUP($A96,'Annex 2 EHV charges'!$A:$O,3,0))</f>
        <v>1050000714216</v>
      </c>
      <c r="D96" s="93" t="str">
        <f>IF($A96="","",VLOOKUP($A96,'Annex 2 EHV charges'!$A:$O,7,0))</f>
        <v>GOSFLD</v>
      </c>
      <c r="E96" s="173">
        <f>IFERROR(IF(VLOOKUP($A96,'Annex 2 EHV charges'!$A:$O,8,FALSE)=0,"",VLOOKUP($A96,'Annex 2 EHV charges'!$A:$O,8,FALSE)),"")</f>
        <v>0.373</v>
      </c>
      <c r="F96" s="175">
        <f>IFERROR(IF(VLOOKUP($A96,'Annex 2 EHV charges'!$A:$O,9,FALSE)=0,"",VLOOKUP($A96,'Annex 2 EHV charges'!$A:$O,9,FALSE)),"")</f>
        <v>191.81</v>
      </c>
      <c r="G96" s="174">
        <f>IFERROR(IF(VLOOKUP($A96,'Annex 2 EHV charges'!$A:$O,10,FALSE)=0,"",VLOOKUP($A96,'Annex 2 EHV charges'!$A:$O,10,FALSE)),"")</f>
        <v>2.34</v>
      </c>
      <c r="H96" s="174">
        <f>IFERROR(IF(VLOOKUP($A96,'Annex 2 EHV charges'!$A:$O,11,FALSE)=0,"",VLOOKUP($A96,'Annex 2 EHV charges'!$A:$O,11,FALSE)),"")</f>
        <v>2.34</v>
      </c>
    </row>
    <row r="97" spans="1:8" ht="12.75" customHeight="1" x14ac:dyDescent="0.2">
      <c r="A97" s="93" t="str">
        <f t="array" ref="A97">IFERROR(INDEX('Annex 2 EHV charges'!$A$10:$A$301, MATCH(0, IF(ISBLANK('Annex 2 EHV charges'!$A$10:$A$301),1, COUNTIF(A$4:$A96, 'Annex 2 EHV charges'!$A$10:$A$301)), 0)),"")</f>
        <v>GREYSH</v>
      </c>
      <c r="B97" s="93">
        <f>IF($A97="","",VLOOKUP($A97,'Annex 2 EHV charges'!$A:$O,2,0))</f>
        <v>310</v>
      </c>
      <c r="C97" s="94">
        <f>IF($A97="","",VLOOKUP($A97,'Annex 2 EHV charges'!$A:$O,3,0))</f>
        <v>1050001391466</v>
      </c>
      <c r="D97" s="93" t="str">
        <f>IF($A97="","",VLOOKUP($A97,'Annex 2 EHV charges'!$A:$O,7,0))</f>
        <v>GREYSH</v>
      </c>
      <c r="E97" s="173">
        <f>IFERROR(IF(VLOOKUP($A97,'Annex 2 EHV charges'!$A:$O,8,FALSE)=0,"",VLOOKUP($A97,'Annex 2 EHV charges'!$A:$O,8,FALSE)),"")</f>
        <v>7.6639999999999997</v>
      </c>
      <c r="F97" s="175">
        <f>IFERROR(IF(VLOOKUP($A97,'Annex 2 EHV charges'!$A:$O,9,FALSE)=0,"",VLOOKUP($A97,'Annex 2 EHV charges'!$A:$O,9,FALSE)),"")</f>
        <v>101.5</v>
      </c>
      <c r="G97" s="174">
        <f>IFERROR(IF(VLOOKUP($A97,'Annex 2 EHV charges'!$A:$O,10,FALSE)=0,"",VLOOKUP($A97,'Annex 2 EHV charges'!$A:$O,10,FALSE)),"")</f>
        <v>2.2799999999999998</v>
      </c>
      <c r="H97" s="174">
        <f>IFERROR(IF(VLOOKUP($A97,'Annex 2 EHV charges'!$A:$O,11,FALSE)=0,"",VLOOKUP($A97,'Annex 2 EHV charges'!$A:$O,11,FALSE)),"")</f>
        <v>2.2799999999999998</v>
      </c>
    </row>
    <row r="98" spans="1:8" ht="12.75" customHeight="1" x14ac:dyDescent="0.2">
      <c r="A98" s="93" t="str">
        <f t="array" ref="A98">IFERROR(INDEX('Annex 2 EHV charges'!$A$10:$A$301, MATCH(0, IF(ISBLANK('Annex 2 EHV charges'!$A$10:$A$301),1, COUNTIF(A$4:$A97, 'Annex 2 EHV charges'!$A$10:$A$301)), 0)),"")</f>
        <v>GRNEND</v>
      </c>
      <c r="B98" s="93">
        <f>IF($A98="","",VLOOKUP($A98,'Annex 2 EHV charges'!$A:$O,2,0))</f>
        <v>516</v>
      </c>
      <c r="C98" s="94">
        <f>IF($A98="","",VLOOKUP($A98,'Annex 2 EHV charges'!$A:$O,3,0))</f>
        <v>1050000774215</v>
      </c>
      <c r="D98" s="93" t="str">
        <f>IF($A98="","",VLOOKUP($A98,'Annex 2 EHV charges'!$A:$O,7,0))</f>
        <v>GRNEND</v>
      </c>
      <c r="E98" s="173" t="str">
        <f>IFERROR(IF(VLOOKUP($A98,'Annex 2 EHV charges'!$A:$O,8,FALSE)=0,"",VLOOKUP($A98,'Annex 2 EHV charges'!$A:$O,8,FALSE)),"")</f>
        <v/>
      </c>
      <c r="F98" s="175">
        <f>IFERROR(IF(VLOOKUP($A98,'Annex 2 EHV charges'!$A:$O,9,FALSE)=0,"",VLOOKUP($A98,'Annex 2 EHV charges'!$A:$O,9,FALSE)),"")</f>
        <v>42.83</v>
      </c>
      <c r="G98" s="174">
        <f>IFERROR(IF(VLOOKUP($A98,'Annex 2 EHV charges'!$A:$O,10,FALSE)=0,"",VLOOKUP($A98,'Annex 2 EHV charges'!$A:$O,10,FALSE)),"")</f>
        <v>2.25</v>
      </c>
      <c r="H98" s="174">
        <f>IFERROR(IF(VLOOKUP($A98,'Annex 2 EHV charges'!$A:$O,11,FALSE)=0,"",VLOOKUP($A98,'Annex 2 EHV charges'!$A:$O,11,FALSE)),"")</f>
        <v>2.25</v>
      </c>
    </row>
    <row r="99" spans="1:8" ht="12.75" customHeight="1" x14ac:dyDescent="0.2">
      <c r="A99" s="93" t="str">
        <f t="array" ref="A99">IFERROR(INDEX('Annex 2 EHV charges'!$A$10:$A$301, MATCH(0, IF(ISBLANK('Annex 2 EHV charges'!$A$10:$A$301),1, COUNTIF(A$4:$A98, 'Annex 2 EHV charges'!$A$10:$A$301)), 0)),"")</f>
        <v>GRNFRM</v>
      </c>
      <c r="B99" s="93">
        <f>IF($A99="","",VLOOKUP($A99,'Annex 2 EHV charges'!$A:$O,2,0))</f>
        <v>311</v>
      </c>
      <c r="C99" s="94">
        <f>IF($A99="","",VLOOKUP($A99,'Annex 2 EHV charges'!$A:$O,3,0))</f>
        <v>1050001003248</v>
      </c>
      <c r="D99" s="93" t="str">
        <f>IF($A99="","",VLOOKUP($A99,'Annex 2 EHV charges'!$A:$O,7,0))</f>
        <v>GRNFRM</v>
      </c>
      <c r="E99" s="173">
        <f>IFERROR(IF(VLOOKUP($A99,'Annex 2 EHV charges'!$A:$O,8,FALSE)=0,"",VLOOKUP($A99,'Annex 2 EHV charges'!$A:$O,8,FALSE)),"")</f>
        <v>0.33400000000000002</v>
      </c>
      <c r="F99" s="175">
        <f>IFERROR(IF(VLOOKUP($A99,'Annex 2 EHV charges'!$A:$O,9,FALSE)=0,"",VLOOKUP($A99,'Annex 2 EHV charges'!$A:$O,9,FALSE)),"")</f>
        <v>8.7100000000000009</v>
      </c>
      <c r="G99" s="174">
        <f>IFERROR(IF(VLOOKUP($A99,'Annex 2 EHV charges'!$A:$O,10,FALSE)=0,"",VLOOKUP($A99,'Annex 2 EHV charges'!$A:$O,10,FALSE)),"")</f>
        <v>3.4</v>
      </c>
      <c r="H99" s="174">
        <f>IFERROR(IF(VLOOKUP($A99,'Annex 2 EHV charges'!$A:$O,11,FALSE)=0,"",VLOOKUP($A99,'Annex 2 EHV charges'!$A:$O,11,FALSE)),"")</f>
        <v>3.4</v>
      </c>
    </row>
    <row r="100" spans="1:8" ht="12.75" customHeight="1" x14ac:dyDescent="0.2">
      <c r="A100" s="93" t="str">
        <f t="array" ref="A100">IFERROR(INDEX('Annex 2 EHV charges'!$A$10:$A$301, MATCH(0, IF(ISBLANK('Annex 2 EHV charges'!$A$10:$A$301),1, COUNTIF(A$4:$A99, 'Annex 2 EHV charges'!$A$10:$A$301)), 0)),"")</f>
        <v>GRNILM</v>
      </c>
      <c r="B100" s="93">
        <f>IF($A100="","",VLOOKUP($A100,'Annex 2 EHV charges'!$A:$O,2,0))</f>
        <v>568</v>
      </c>
      <c r="C100" s="94">
        <f>IF($A100="","",VLOOKUP($A100,'Annex 2 EHV charges'!$A:$O,3,0))</f>
        <v>1050001299886</v>
      </c>
      <c r="D100" s="93" t="str">
        <f>IF($A100="","",VLOOKUP($A100,'Annex 2 EHV charges'!$A:$O,7,0))</f>
        <v>GRNILM</v>
      </c>
      <c r="E100" s="173">
        <f>IFERROR(IF(VLOOKUP($A100,'Annex 2 EHV charges'!$A:$O,8,FALSE)=0,"",VLOOKUP($A100,'Annex 2 EHV charges'!$A:$O,8,FALSE)),"")</f>
        <v>0.221</v>
      </c>
      <c r="F100" s="175">
        <f>IFERROR(IF(VLOOKUP($A100,'Annex 2 EHV charges'!$A:$O,9,FALSE)=0,"",VLOOKUP($A100,'Annex 2 EHV charges'!$A:$O,9,FALSE)),"")</f>
        <v>28.08</v>
      </c>
      <c r="G100" s="174">
        <f>IFERROR(IF(VLOOKUP($A100,'Annex 2 EHV charges'!$A:$O,10,FALSE)=0,"",VLOOKUP($A100,'Annex 2 EHV charges'!$A:$O,10,FALSE)),"")</f>
        <v>1.74</v>
      </c>
      <c r="H100" s="174">
        <f>IFERROR(IF(VLOOKUP($A100,'Annex 2 EHV charges'!$A:$O,11,FALSE)=0,"",VLOOKUP($A100,'Annex 2 EHV charges'!$A:$O,11,FALSE)),"")</f>
        <v>1.74</v>
      </c>
    </row>
    <row r="101" spans="1:8" ht="12.75" customHeight="1" x14ac:dyDescent="0.2">
      <c r="A101" s="93" t="str">
        <f t="array" ref="A101">IFERROR(INDEX('Annex 2 EHV charges'!$A$10:$A$301, MATCH(0, IF(ISBLANK('Annex 2 EHV charges'!$A$10:$A$301),1, COUNTIF(A$4:$A100, 'Annex 2 EHV charges'!$A$10:$A$301)), 0)),"")</f>
        <v>GRTYAR</v>
      </c>
      <c r="B101" s="93">
        <f>IF($A101="","",VLOOKUP($A101,'Annex 2 EHV charges'!$A:$O,2,0))</f>
        <v>0</v>
      </c>
      <c r="C101" s="94" t="str">
        <f>IF($A101="","",VLOOKUP($A101,'Annex 2 EHV charges'!$A:$O,3,0))</f>
        <v xml:space="preserve"> MSID: 7111</v>
      </c>
      <c r="D101" s="93" t="str">
        <f>IF($A101="","",VLOOKUP($A101,'Annex 2 EHV charges'!$A:$O,7,0))</f>
        <v>GRTYAR</v>
      </c>
      <c r="E101" s="173" t="str">
        <f>IFERROR(IF(VLOOKUP($A101,'Annex 2 EHV charges'!$A:$O,8,FALSE)=0,"",VLOOKUP($A101,'Annex 2 EHV charges'!$A:$O,8,FALSE)),"")</f>
        <v/>
      </c>
      <c r="F101" s="175">
        <f>IFERROR(IF(VLOOKUP($A101,'Annex 2 EHV charges'!$A:$O,9,FALSE)=0,"",VLOOKUP($A101,'Annex 2 EHV charges'!$A:$O,9,FALSE)),"")</f>
        <v>25.95</v>
      </c>
      <c r="G101" s="174">
        <f>IFERROR(IF(VLOOKUP($A101,'Annex 2 EHV charges'!$A:$O,10,FALSE)=0,"",VLOOKUP($A101,'Annex 2 EHV charges'!$A:$O,10,FALSE)),"")</f>
        <v>1.33</v>
      </c>
      <c r="H101" s="174">
        <f>IFERROR(IF(VLOOKUP($A101,'Annex 2 EHV charges'!$A:$O,11,FALSE)=0,"",VLOOKUP($A101,'Annex 2 EHV charges'!$A:$O,11,FALSE)),"")</f>
        <v>1.33</v>
      </c>
    </row>
    <row r="102" spans="1:8" ht="12.75" customHeight="1" x14ac:dyDescent="0.2">
      <c r="A102" s="93" t="str">
        <f t="array" ref="A102">IFERROR(INDEX('Annex 2 EHV charges'!$A$10:$A$301, MATCH(0, IF(ISBLANK('Annex 2 EHV charges'!$A$10:$A$301),1, COUNTIF(A$4:$A101, 'Annex 2 EHV charges'!$A$10:$A$301)), 0)),"")</f>
        <v>GUNFL3</v>
      </c>
      <c r="B102" s="93">
        <f>IF($A102="","",VLOOKUP($A102,'Annex 2 EHV charges'!$A:$O,2,0))</f>
        <v>0</v>
      </c>
      <c r="C102" s="94" t="str">
        <f>IF($A102="","",VLOOKUP($A102,'Annex 2 EHV charges'!$A:$O,3,0))</f>
        <v xml:space="preserve"> MSID: 7277</v>
      </c>
      <c r="D102" s="93" t="str">
        <f>IF($A102="","",VLOOKUP($A102,'Annex 2 EHV charges'!$A:$O,7,0))</f>
        <v>GUNFL3</v>
      </c>
      <c r="E102" s="173">
        <f>IFERROR(IF(VLOOKUP($A102,'Annex 2 EHV charges'!$A:$O,8,FALSE)=0,"",VLOOKUP($A102,'Annex 2 EHV charges'!$A:$O,8,FALSE)),"")</f>
        <v>0.22900000000000001</v>
      </c>
      <c r="F102" s="175">
        <f>IFERROR(IF(VLOOKUP($A102,'Annex 2 EHV charges'!$A:$O,9,FALSE)=0,"",VLOOKUP($A102,'Annex 2 EHV charges'!$A:$O,9,FALSE)),"")</f>
        <v>62.91</v>
      </c>
      <c r="G102" s="174">
        <f>IFERROR(IF(VLOOKUP($A102,'Annex 2 EHV charges'!$A:$O,10,FALSE)=0,"",VLOOKUP($A102,'Annex 2 EHV charges'!$A:$O,10,FALSE)),"")</f>
        <v>1.42</v>
      </c>
      <c r="H102" s="174">
        <f>IFERROR(IF(VLOOKUP($A102,'Annex 2 EHV charges'!$A:$O,11,FALSE)=0,"",VLOOKUP($A102,'Annex 2 EHV charges'!$A:$O,11,FALSE)),"")</f>
        <v>1.42</v>
      </c>
    </row>
    <row r="103" spans="1:8" ht="12.75" customHeight="1" x14ac:dyDescent="0.2">
      <c r="A103" s="93" t="str">
        <f t="array" ref="A103">IFERROR(INDEX('Annex 2 EHV charges'!$A$10:$A$301, MATCH(0, IF(ISBLANK('Annex 2 EHV charges'!$A$10:$A$301),1, COUNTIF(A$4:$A102, 'Annex 2 EHV charges'!$A$10:$A$301)), 0)),"")</f>
        <v>GUNFLT</v>
      </c>
      <c r="B103" s="93">
        <f>IF($A103="","",VLOOKUP($A103,'Annex 2 EHV charges'!$A:$O,2,0))</f>
        <v>0</v>
      </c>
      <c r="C103" s="94" t="str">
        <f>IF($A103="","",VLOOKUP($A103,'Annex 2 EHV charges'!$A:$O,3,0))</f>
        <v xml:space="preserve"> MSID: 7211</v>
      </c>
      <c r="D103" s="93" t="str">
        <f>IF($A103="","",VLOOKUP($A103,'Annex 2 EHV charges'!$A:$O,7,0))</f>
        <v>GUNFLT</v>
      </c>
      <c r="E103" s="173">
        <f>IFERROR(IF(VLOOKUP($A103,'Annex 2 EHV charges'!$A:$O,8,FALSE)=0,"",VLOOKUP($A103,'Annex 2 EHV charges'!$A:$O,8,FALSE)),"")</f>
        <v>5.0000000000000001E-3</v>
      </c>
      <c r="F103" s="175">
        <f>IFERROR(IF(VLOOKUP($A103,'Annex 2 EHV charges'!$A:$O,9,FALSE)=0,"",VLOOKUP($A103,'Annex 2 EHV charges'!$A:$O,9,FALSE)),"")</f>
        <v>117.8</v>
      </c>
      <c r="G103" s="174">
        <f>IFERROR(IF(VLOOKUP($A103,'Annex 2 EHV charges'!$A:$O,10,FALSE)=0,"",VLOOKUP($A103,'Annex 2 EHV charges'!$A:$O,10,FALSE)),"")</f>
        <v>1.38</v>
      </c>
      <c r="H103" s="174">
        <f>IFERROR(IF(VLOOKUP($A103,'Annex 2 EHV charges'!$A:$O,11,FALSE)=0,"",VLOOKUP($A103,'Annex 2 EHV charges'!$A:$O,11,FALSE)),"")</f>
        <v>1.38</v>
      </c>
    </row>
    <row r="104" spans="1:8" ht="12.75" customHeight="1" x14ac:dyDescent="0.2">
      <c r="A104" s="93" t="str">
        <f t="array" ref="A104">IFERROR(INDEX('Annex 2 EHV charges'!$A$10:$A$301, MATCH(0, IF(ISBLANK('Annex 2 EHV charges'!$A$10:$A$301),1, COUNTIF(A$4:$A103, 'Annex 2 EHV charges'!$A$10:$A$301)), 0)),"")</f>
        <v>HALLFM</v>
      </c>
      <c r="B104" s="93">
        <f>IF($A104="","",VLOOKUP($A104,'Annex 2 EHV charges'!$A:$O,2,0))</f>
        <v>888</v>
      </c>
      <c r="C104" s="94">
        <f>IF($A104="","",VLOOKUP($A104,'Annex 2 EHV charges'!$A:$O,3,0))</f>
        <v>1050000834219</v>
      </c>
      <c r="D104" s="93" t="str">
        <f>IF($A104="","",VLOOKUP($A104,'Annex 2 EHV charges'!$A:$O,7,0))</f>
        <v>HALLFM</v>
      </c>
      <c r="E104" s="173">
        <f>IFERROR(IF(VLOOKUP($A104,'Annex 2 EHV charges'!$A:$O,8,FALSE)=0,"",VLOOKUP($A104,'Annex 2 EHV charges'!$A:$O,8,FALSE)),"")</f>
        <v>2.1999999999999999E-2</v>
      </c>
      <c r="F104" s="175">
        <f>IFERROR(IF(VLOOKUP($A104,'Annex 2 EHV charges'!$A:$O,9,FALSE)=0,"",VLOOKUP($A104,'Annex 2 EHV charges'!$A:$O,9,FALSE)),"")</f>
        <v>11.58</v>
      </c>
      <c r="G104" s="174">
        <f>IFERROR(IF(VLOOKUP($A104,'Annex 2 EHV charges'!$A:$O,10,FALSE)=0,"",VLOOKUP($A104,'Annex 2 EHV charges'!$A:$O,10,FALSE)),"")</f>
        <v>6.97</v>
      </c>
      <c r="H104" s="174">
        <f>IFERROR(IF(VLOOKUP($A104,'Annex 2 EHV charges'!$A:$O,11,FALSE)=0,"",VLOOKUP($A104,'Annex 2 EHV charges'!$A:$O,11,FALSE)),"")</f>
        <v>6.97</v>
      </c>
    </row>
    <row r="105" spans="1:8" ht="12.75" customHeight="1" x14ac:dyDescent="0.2">
      <c r="A105" s="93" t="str">
        <f t="array" ref="A105">IFERROR(INDEX('Annex 2 EHV charges'!$A$10:$A$301, MATCH(0, IF(ISBLANK('Annex 2 EHV charges'!$A$10:$A$301),1, COUNTIF(A$4:$A104, 'Annex 2 EHV charges'!$A$10:$A$301)), 0)),"")</f>
        <v>HDATTP</v>
      </c>
      <c r="B105" s="93">
        <f>IF($A105="","",VLOOKUP($A105,'Annex 2 EHV charges'!$A:$O,2,0))</f>
        <v>571</v>
      </c>
      <c r="C105" s="94">
        <f>IF($A105="","",VLOOKUP($A105,'Annex 2 EHV charges'!$A:$O,3,0))</f>
        <v>1050001197873</v>
      </c>
      <c r="D105" s="93" t="str">
        <f>IF($A105="","",VLOOKUP($A105,'Annex 2 EHV charges'!$A:$O,7,0))</f>
        <v>HDATTP</v>
      </c>
      <c r="E105" s="173" t="str">
        <f>IFERROR(IF(VLOOKUP($A105,'Annex 2 EHV charges'!$A:$O,8,FALSE)=0,"",VLOOKUP($A105,'Annex 2 EHV charges'!$A:$O,8,FALSE)),"")</f>
        <v/>
      </c>
      <c r="F105" s="175">
        <f>IFERROR(IF(VLOOKUP($A105,'Annex 2 EHV charges'!$A:$O,9,FALSE)=0,"",VLOOKUP($A105,'Annex 2 EHV charges'!$A:$O,9,FALSE)),"")</f>
        <v>145.16999999999999</v>
      </c>
      <c r="G105" s="174">
        <f>IFERROR(IF(VLOOKUP($A105,'Annex 2 EHV charges'!$A:$O,10,FALSE)=0,"",VLOOKUP($A105,'Annex 2 EHV charges'!$A:$O,10,FALSE)),"")</f>
        <v>2.2599999999999998</v>
      </c>
      <c r="H105" s="174">
        <f>IFERROR(IF(VLOOKUP($A105,'Annex 2 EHV charges'!$A:$O,11,FALSE)=0,"",VLOOKUP($A105,'Annex 2 EHV charges'!$A:$O,11,FALSE)),"")</f>
        <v>2.2599999999999998</v>
      </c>
    </row>
    <row r="106" spans="1:8" ht="12.75" customHeight="1" x14ac:dyDescent="0.2">
      <c r="A106" s="93" t="str">
        <f t="array" ref="A106">IFERROR(INDEX('Annex 2 EHV charges'!$A$10:$A$301, MATCH(0, IF(ISBLANK('Annex 2 EHV charges'!$A$10:$A$301),1, COUNTIF(A$4:$A105, 'Annex 2 EHV charges'!$A$10:$A$301)), 0)),"")</f>
        <v>HDGMSF</v>
      </c>
      <c r="B106" s="93">
        <f>IF($A106="","",VLOOKUP($A106,'Annex 2 EHV charges'!$A:$O,2,0))</f>
        <v>884</v>
      </c>
      <c r="C106" s="94">
        <f>IF($A106="","",VLOOKUP($A106,'Annex 2 EHV charges'!$A:$O,3,0))</f>
        <v>1050000521726</v>
      </c>
      <c r="D106" s="93" t="str">
        <f>IF($A106="","",VLOOKUP($A106,'Annex 2 EHV charges'!$A:$O,7,0))</f>
        <v>HDGMSF</v>
      </c>
      <c r="E106" s="173">
        <f>IFERROR(IF(VLOOKUP($A106,'Annex 2 EHV charges'!$A:$O,8,FALSE)=0,"",VLOOKUP($A106,'Annex 2 EHV charges'!$A:$O,8,FALSE)),"")</f>
        <v>0.123</v>
      </c>
      <c r="F106" s="175">
        <f>IFERROR(IF(VLOOKUP($A106,'Annex 2 EHV charges'!$A:$O,9,FALSE)=0,"",VLOOKUP($A106,'Annex 2 EHV charges'!$A:$O,9,FALSE)),"")</f>
        <v>5.19</v>
      </c>
      <c r="G106" s="174">
        <f>IFERROR(IF(VLOOKUP($A106,'Annex 2 EHV charges'!$A:$O,10,FALSE)=0,"",VLOOKUP($A106,'Annex 2 EHV charges'!$A:$O,10,FALSE)),"")</f>
        <v>5.5</v>
      </c>
      <c r="H106" s="174">
        <f>IFERROR(IF(VLOOKUP($A106,'Annex 2 EHV charges'!$A:$O,11,FALSE)=0,"",VLOOKUP($A106,'Annex 2 EHV charges'!$A:$O,11,FALSE)),"")</f>
        <v>5.5</v>
      </c>
    </row>
    <row r="107" spans="1:8" ht="12.75" customHeight="1" x14ac:dyDescent="0.2">
      <c r="A107" s="93" t="str">
        <f t="array" ref="A107">IFERROR(INDEX('Annex 2 EHV charges'!$A$10:$A$301, MATCH(0, IF(ISBLANK('Annex 2 EHV charges'!$A$10:$A$301),1, COUNTIF(A$4:$A106, 'Annex 2 EHV charges'!$A$10:$A$301)), 0)),"")</f>
        <v>HEINZF</v>
      </c>
      <c r="B107" s="93">
        <f>IF($A107="","",VLOOKUP($A107,'Annex 2 EHV charges'!$A:$O,2,0))</f>
        <v>479</v>
      </c>
      <c r="C107" s="94">
        <f>IF($A107="","",VLOOKUP($A107,'Annex 2 EHV charges'!$A:$O,3,0))</f>
        <v>1014573127752</v>
      </c>
      <c r="D107" s="93" t="str">
        <f>IF($A107="","",VLOOKUP($A107,'Annex 2 EHV charges'!$A:$O,7,0))</f>
        <v>HEINZF</v>
      </c>
      <c r="E107" s="173">
        <f>IFERROR(IF(VLOOKUP($A107,'Annex 2 EHV charges'!$A:$O,8,FALSE)=0,"",VLOOKUP($A107,'Annex 2 EHV charges'!$A:$O,8,FALSE)),"")</f>
        <v>4.5650000000000004</v>
      </c>
      <c r="F107" s="175">
        <f>IFERROR(IF(VLOOKUP($A107,'Annex 2 EHV charges'!$A:$O,9,FALSE)=0,"",VLOOKUP($A107,'Annex 2 EHV charges'!$A:$O,9,FALSE)),"")</f>
        <v>89.93</v>
      </c>
      <c r="G107" s="174">
        <f>IFERROR(IF(VLOOKUP($A107,'Annex 2 EHV charges'!$A:$O,10,FALSE)=0,"",VLOOKUP($A107,'Annex 2 EHV charges'!$A:$O,10,FALSE)),"")</f>
        <v>4.33</v>
      </c>
      <c r="H107" s="174">
        <f>IFERROR(IF(VLOOKUP($A107,'Annex 2 EHV charges'!$A:$O,11,FALSE)=0,"",VLOOKUP($A107,'Annex 2 EHV charges'!$A:$O,11,FALSE)),"")</f>
        <v>4.33</v>
      </c>
    </row>
    <row r="108" spans="1:8" ht="12.75" customHeight="1" x14ac:dyDescent="0.2">
      <c r="A108" s="93" t="str">
        <f t="array" ref="A108">IFERROR(INDEX('Annex 2 EHV charges'!$A$10:$A$301, MATCH(0, IF(ISBLANK('Annex 2 EHV charges'!$A$10:$A$301),1, COUNTIF(A$4:$A107, 'Annex 2 EHV charges'!$A$10:$A$301)), 0)),"")</f>
        <v>HGHFLD</v>
      </c>
      <c r="B108" s="93">
        <f>IF($A108="","",VLOOKUP($A108,'Annex 2 EHV charges'!$A:$O,2,0))</f>
        <v>885</v>
      </c>
      <c r="C108" s="94">
        <f>IF($A108="","",VLOOKUP($A108,'Annex 2 EHV charges'!$A:$O,3,0))</f>
        <v>1050000563150</v>
      </c>
      <c r="D108" s="93" t="str">
        <f>IF($A108="","",VLOOKUP($A108,'Annex 2 EHV charges'!$A:$O,7,0))</f>
        <v>HGHFLD</v>
      </c>
      <c r="E108" s="173">
        <f>IFERROR(IF(VLOOKUP($A108,'Annex 2 EHV charges'!$A:$O,8,FALSE)=0,"",VLOOKUP($A108,'Annex 2 EHV charges'!$A:$O,8,FALSE)),"")</f>
        <v>6.8000000000000005E-2</v>
      </c>
      <c r="F108" s="175">
        <f>IFERROR(IF(VLOOKUP($A108,'Annex 2 EHV charges'!$A:$O,9,FALSE)=0,"",VLOOKUP($A108,'Annex 2 EHV charges'!$A:$O,9,FALSE)),"")</f>
        <v>6.41</v>
      </c>
      <c r="G108" s="174">
        <f>IFERROR(IF(VLOOKUP($A108,'Annex 2 EHV charges'!$A:$O,10,FALSE)=0,"",VLOOKUP($A108,'Annex 2 EHV charges'!$A:$O,10,FALSE)),"")</f>
        <v>3.64</v>
      </c>
      <c r="H108" s="174">
        <f>IFERROR(IF(VLOOKUP($A108,'Annex 2 EHV charges'!$A:$O,11,FALSE)=0,"",VLOOKUP($A108,'Annex 2 EHV charges'!$A:$O,11,FALSE)),"")</f>
        <v>3.64</v>
      </c>
    </row>
    <row r="109" spans="1:8" ht="12.75" customHeight="1" x14ac:dyDescent="0.2">
      <c r="A109" s="93" t="str">
        <f t="array" ref="A109">IFERROR(INDEX('Annex 2 EHV charges'!$A$10:$A$301, MATCH(0, IF(ISBLANK('Annex 2 EHV charges'!$A$10:$A$301),1, COUNTIF(A$4:$A108, 'Annex 2 EHV charges'!$A$10:$A$301)), 0)),"")</f>
        <v>HHFARM</v>
      </c>
      <c r="B109" s="93">
        <f>IF($A109="","",VLOOKUP($A109,'Annex 2 EHV charges'!$A:$O,2,0))</f>
        <v>570</v>
      </c>
      <c r="C109" s="94">
        <f>IF($A109="","",VLOOKUP($A109,'Annex 2 EHV charges'!$A:$O,3,0))</f>
        <v>1050001231451</v>
      </c>
      <c r="D109" s="93" t="str">
        <f>IF($A109="","",VLOOKUP($A109,'Annex 2 EHV charges'!$A:$O,7,0))</f>
        <v>HHFARM</v>
      </c>
      <c r="E109" s="173">
        <f>IFERROR(IF(VLOOKUP($A109,'Annex 2 EHV charges'!$A:$O,8,FALSE)=0,"",VLOOKUP($A109,'Annex 2 EHV charges'!$A:$O,8,FALSE)),"")</f>
        <v>0.49</v>
      </c>
      <c r="F109" s="175">
        <f>IFERROR(IF(VLOOKUP($A109,'Annex 2 EHV charges'!$A:$O,9,FALSE)=0,"",VLOOKUP($A109,'Annex 2 EHV charges'!$A:$O,9,FALSE)),"")</f>
        <v>9.48</v>
      </c>
      <c r="G109" s="174">
        <f>IFERROR(IF(VLOOKUP($A109,'Annex 2 EHV charges'!$A:$O,10,FALSE)=0,"",VLOOKUP($A109,'Annex 2 EHV charges'!$A:$O,10,FALSE)),"")</f>
        <v>1.8</v>
      </c>
      <c r="H109" s="174">
        <f>IFERROR(IF(VLOOKUP($A109,'Annex 2 EHV charges'!$A:$O,11,FALSE)=0,"",VLOOKUP($A109,'Annex 2 EHV charges'!$A:$O,11,FALSE)),"")</f>
        <v>1.8</v>
      </c>
    </row>
    <row r="110" spans="1:8" ht="12.75" customHeight="1" x14ac:dyDescent="0.2">
      <c r="A110" s="93" t="str">
        <f t="array" ref="A110">IFERROR(INDEX('Annex 2 EHV charges'!$A$10:$A$301, MATCH(0, IF(ISBLANK('Annex 2 EHV charges'!$A$10:$A$301),1, COUNTIF(A$4:$A109, 'Annex 2 EHV charges'!$A$10:$A$301)), 0)),"")</f>
        <v>HOBACK</v>
      </c>
      <c r="B110" s="93">
        <f>IF($A110="","",VLOOKUP($A110,'Annex 2 EHV charges'!$A:$O,2,0))</f>
        <v>517</v>
      </c>
      <c r="C110" s="94">
        <f>IF($A110="","",VLOOKUP($A110,'Annex 2 EHV charges'!$A:$O,3,0))</f>
        <v>1050000708514</v>
      </c>
      <c r="D110" s="93" t="str">
        <f>IF($A110="","",VLOOKUP($A110,'Annex 2 EHV charges'!$A:$O,7,0))</f>
        <v>HOBACK</v>
      </c>
      <c r="E110" s="173">
        <f>IFERROR(IF(VLOOKUP($A110,'Annex 2 EHV charges'!$A:$O,8,FALSE)=0,"",VLOOKUP($A110,'Annex 2 EHV charges'!$A:$O,8,FALSE)),"")</f>
        <v>5.0000000000000001E-3</v>
      </c>
      <c r="F110" s="175">
        <f>IFERROR(IF(VLOOKUP($A110,'Annex 2 EHV charges'!$A:$O,9,FALSE)=0,"",VLOOKUP($A110,'Annex 2 EHV charges'!$A:$O,9,FALSE)),"")</f>
        <v>4.6500000000000004</v>
      </c>
      <c r="G110" s="174">
        <f>IFERROR(IF(VLOOKUP($A110,'Annex 2 EHV charges'!$A:$O,10,FALSE)=0,"",VLOOKUP($A110,'Annex 2 EHV charges'!$A:$O,10,FALSE)),"")</f>
        <v>3.48</v>
      </c>
      <c r="H110" s="174">
        <f>IFERROR(IF(VLOOKUP($A110,'Annex 2 EHV charges'!$A:$O,11,FALSE)=0,"",VLOOKUP($A110,'Annex 2 EHV charges'!$A:$O,11,FALSE)),"")</f>
        <v>3.48</v>
      </c>
    </row>
    <row r="111" spans="1:8" ht="12.75" customHeight="1" x14ac:dyDescent="0.2">
      <c r="A111" s="93" t="str">
        <f t="array" ref="A111">IFERROR(INDEX('Annex 2 EHV charges'!$A$10:$A$301, MATCH(0, IF(ISBLANK('Annex 2 EHV charges'!$A$10:$A$301),1, COUNTIF(A$4:$A110, 'Annex 2 EHV charges'!$A$10:$A$301)), 0)),"")</f>
        <v>HOLTON</v>
      </c>
      <c r="B111" s="93">
        <f>IF($A111="","",VLOOKUP($A111,'Annex 2 EHV charges'!$A:$O,2,0))</f>
        <v>547</v>
      </c>
      <c r="C111" s="94">
        <f>IF($A111="","",VLOOKUP($A111,'Annex 2 EHV charges'!$A:$O,3,0))</f>
        <v>1050000769118</v>
      </c>
      <c r="D111" s="93" t="str">
        <f>IF($A111="","",VLOOKUP($A111,'Annex 2 EHV charges'!$A:$O,7,0))</f>
        <v>HOLTON</v>
      </c>
      <c r="E111" s="173">
        <f>IFERROR(IF(VLOOKUP($A111,'Annex 2 EHV charges'!$A:$O,8,FALSE)=0,"",VLOOKUP($A111,'Annex 2 EHV charges'!$A:$O,8,FALSE)),"")</f>
        <v>6.2E-2</v>
      </c>
      <c r="F111" s="175">
        <f>IFERROR(IF(VLOOKUP($A111,'Annex 2 EHV charges'!$A:$O,9,FALSE)=0,"",VLOOKUP($A111,'Annex 2 EHV charges'!$A:$O,9,FALSE)),"")</f>
        <v>11.38</v>
      </c>
      <c r="G111" s="174">
        <f>IFERROR(IF(VLOOKUP($A111,'Annex 2 EHV charges'!$A:$O,10,FALSE)=0,"",VLOOKUP($A111,'Annex 2 EHV charges'!$A:$O,10,FALSE)),"")</f>
        <v>2.08</v>
      </c>
      <c r="H111" s="174">
        <f>IFERROR(IF(VLOOKUP($A111,'Annex 2 EHV charges'!$A:$O,11,FALSE)=0,"",VLOOKUP($A111,'Annex 2 EHV charges'!$A:$O,11,FALSE)),"")</f>
        <v>2.08</v>
      </c>
    </row>
    <row r="112" spans="1:8" ht="12.75" customHeight="1" x14ac:dyDescent="0.2">
      <c r="A112" s="93" t="str">
        <f t="array" ref="A112">IFERROR(INDEX('Annex 2 EHV charges'!$A$10:$A$301, MATCH(0, IF(ISBLANK('Annex 2 EHV charges'!$A$10:$A$301),1, COUNTIF(A$4:$A111, 'Annex 2 EHV charges'!$A$10:$A$301)), 0)),"")</f>
        <v>HONYSM</v>
      </c>
      <c r="B112" s="93">
        <f>IF($A112="","",VLOOKUP($A112,'Annex 2 EHV charges'!$A:$O,2,0))</f>
        <v>548</v>
      </c>
      <c r="C112" s="94">
        <f>IF($A112="","",VLOOKUP($A112,'Annex 2 EHV charges'!$A:$O,3,0))</f>
        <v>1050001036670</v>
      </c>
      <c r="D112" s="93" t="str">
        <f>IF($A112="","",VLOOKUP($A112,'Annex 2 EHV charges'!$A:$O,7,0))</f>
        <v>HONYSM</v>
      </c>
      <c r="E112" s="173">
        <f>IFERROR(IF(VLOOKUP($A112,'Annex 2 EHV charges'!$A:$O,8,FALSE)=0,"",VLOOKUP($A112,'Annex 2 EHV charges'!$A:$O,8,FALSE)),"")</f>
        <v>0.32800000000000001</v>
      </c>
      <c r="F112" s="175">
        <f>IFERROR(IF(VLOOKUP($A112,'Annex 2 EHV charges'!$A:$O,9,FALSE)=0,"",VLOOKUP($A112,'Annex 2 EHV charges'!$A:$O,9,FALSE)),"")</f>
        <v>11.34</v>
      </c>
      <c r="G112" s="174">
        <f>IFERROR(IF(VLOOKUP($A112,'Annex 2 EHV charges'!$A:$O,10,FALSE)=0,"",VLOOKUP($A112,'Annex 2 EHV charges'!$A:$O,10,FALSE)),"")</f>
        <v>1.98</v>
      </c>
      <c r="H112" s="174">
        <f>IFERROR(IF(VLOOKUP($A112,'Annex 2 EHV charges'!$A:$O,11,FALSE)=0,"",VLOOKUP($A112,'Annex 2 EHV charges'!$A:$O,11,FALSE)),"")</f>
        <v>1.98</v>
      </c>
    </row>
    <row r="113" spans="1:8" ht="12.75" customHeight="1" x14ac:dyDescent="0.2">
      <c r="A113" s="93" t="str">
        <f t="array" ref="A113">IFERROR(INDEX('Annex 2 EHV charges'!$A$10:$A$301, MATCH(0, IF(ISBLANK('Annex 2 EHV charges'!$A$10:$A$301),1, COUNTIF(A$4:$A112, 'Annex 2 EHV charges'!$A$10:$A$301)), 0)),"")</f>
        <v>HRLWDC</v>
      </c>
      <c r="B113" s="93">
        <f>IF($A113="","",VLOOKUP($A113,'Annex 2 EHV charges'!$A:$O,2,0))</f>
        <v>480</v>
      </c>
      <c r="C113" s="94" t="str">
        <f>IF($A113="","",VLOOKUP($A113,'Annex 2 EHV charges'!$A:$O,3,0))</f>
        <v>1050001003372
1050001003381
1050001003390</v>
      </c>
      <c r="D113" s="93" t="str">
        <f>IF($A113="","",VLOOKUP($A113,'Annex 2 EHV charges'!$A:$O,7,0))</f>
        <v>HRLWDC</v>
      </c>
      <c r="E113" s="173" t="str">
        <f>IFERROR(IF(VLOOKUP($A113,'Annex 2 EHV charges'!$A:$O,8,FALSE)=0,"",VLOOKUP($A113,'Annex 2 EHV charges'!$A:$O,8,FALSE)),"")</f>
        <v/>
      </c>
      <c r="F113" s="175">
        <f>IFERROR(IF(VLOOKUP($A113,'Annex 2 EHV charges'!$A:$O,9,FALSE)=0,"",VLOOKUP($A113,'Annex 2 EHV charges'!$A:$O,9,FALSE)),"")</f>
        <v>7354.14</v>
      </c>
      <c r="G113" s="174">
        <f>IFERROR(IF(VLOOKUP($A113,'Annex 2 EHV charges'!$A:$O,10,FALSE)=0,"",VLOOKUP($A113,'Annex 2 EHV charges'!$A:$O,10,FALSE)),"")</f>
        <v>2.2999999999999998</v>
      </c>
      <c r="H113" s="174">
        <f>IFERROR(IF(VLOOKUP($A113,'Annex 2 EHV charges'!$A:$O,11,FALSE)=0,"",VLOOKUP($A113,'Annex 2 EHV charges'!$A:$O,11,FALSE)),"")</f>
        <v>2.2999999999999998</v>
      </c>
    </row>
    <row r="114" spans="1:8" ht="12.75" customHeight="1" x14ac:dyDescent="0.2">
      <c r="A114" s="93" t="str">
        <f t="array" ref="A114">IFERROR(INDEX('Annex 2 EHV charges'!$A$10:$A$301, MATCH(0, IF(ISBLANK('Annex 2 EHV charges'!$A$10:$A$301),1, COUNTIF(A$4:$A113, 'Annex 2 EHV charges'!$A$10:$A$301)), 0)),"")</f>
        <v>HRMT_B</v>
      </c>
      <c r="B114" s="93">
        <f>IF($A114="","",VLOOKUP($A114,'Annex 2 EHV charges'!$A:$O,2,0))</f>
        <v>312</v>
      </c>
      <c r="C114" s="94">
        <f>IF($A114="","",VLOOKUP($A114,'Annex 2 EHV charges'!$A:$O,3,0))</f>
        <v>1050001324390</v>
      </c>
      <c r="D114" s="93" t="str">
        <f>IF($A114="","",VLOOKUP($A114,'Annex 2 EHV charges'!$A:$O,7,0))</f>
        <v>HRMT_B</v>
      </c>
      <c r="E114" s="173" t="str">
        <f>IFERROR(IF(VLOOKUP($A114,'Annex 2 EHV charges'!$A:$O,8,FALSE)=0,"",VLOOKUP($A114,'Annex 2 EHV charges'!$A:$O,8,FALSE)),"")</f>
        <v/>
      </c>
      <c r="F114" s="175">
        <f>IFERROR(IF(VLOOKUP($A114,'Annex 2 EHV charges'!$A:$O,9,FALSE)=0,"",VLOOKUP($A114,'Annex 2 EHV charges'!$A:$O,9,FALSE)),"")</f>
        <v>148.55000000000001</v>
      </c>
      <c r="G114" s="174">
        <f>IFERROR(IF(VLOOKUP($A114,'Annex 2 EHV charges'!$A:$O,10,FALSE)=0,"",VLOOKUP($A114,'Annex 2 EHV charges'!$A:$O,10,FALSE)),"")</f>
        <v>0.94</v>
      </c>
      <c r="H114" s="174">
        <f>IFERROR(IF(VLOOKUP($A114,'Annex 2 EHV charges'!$A:$O,11,FALSE)=0,"",VLOOKUP($A114,'Annex 2 EHV charges'!$A:$O,11,FALSE)),"")</f>
        <v>0.94</v>
      </c>
    </row>
    <row r="115" spans="1:8" ht="12.75" customHeight="1" x14ac:dyDescent="0.2">
      <c r="A115" s="93" t="str">
        <f t="array" ref="A115">IFERROR(INDEX('Annex 2 EHV charges'!$A$10:$A$301, MATCH(0, IF(ISBLANK('Annex 2 EHV charges'!$A$10:$A$301),1, COUNTIF(A$4:$A114, 'Annex 2 EHV charges'!$A$10:$A$301)), 0)),"")</f>
        <v>HRMT_P</v>
      </c>
      <c r="B115" s="93">
        <f>IF($A115="","",VLOOKUP($A115,'Annex 2 EHV charges'!$A:$O,2,0))</f>
        <v>569</v>
      </c>
      <c r="C115" s="94">
        <f>IF($A115="","",VLOOKUP($A115,'Annex 2 EHV charges'!$A:$O,3,0))</f>
        <v>1050001324414</v>
      </c>
      <c r="D115" s="93" t="str">
        <f>IF($A115="","",VLOOKUP($A115,'Annex 2 EHV charges'!$A:$O,7,0))</f>
        <v>HRMT_P</v>
      </c>
      <c r="E115" s="173" t="str">
        <f>IFERROR(IF(VLOOKUP($A115,'Annex 2 EHV charges'!$A:$O,8,FALSE)=0,"",VLOOKUP($A115,'Annex 2 EHV charges'!$A:$O,8,FALSE)),"")</f>
        <v/>
      </c>
      <c r="F115" s="175">
        <f>IFERROR(IF(VLOOKUP($A115,'Annex 2 EHV charges'!$A:$O,9,FALSE)=0,"",VLOOKUP($A115,'Annex 2 EHV charges'!$A:$O,9,FALSE)),"")</f>
        <v>5.83</v>
      </c>
      <c r="G115" s="174">
        <f>IFERROR(IF(VLOOKUP($A115,'Annex 2 EHV charges'!$A:$O,10,FALSE)=0,"",VLOOKUP($A115,'Annex 2 EHV charges'!$A:$O,10,FALSE)),"")</f>
        <v>1.74</v>
      </c>
      <c r="H115" s="174">
        <f>IFERROR(IF(VLOOKUP($A115,'Annex 2 EHV charges'!$A:$O,11,FALSE)=0,"",VLOOKUP($A115,'Annex 2 EHV charges'!$A:$O,11,FALSE)),"")</f>
        <v>1.74</v>
      </c>
    </row>
    <row r="116" spans="1:8" ht="12.75" customHeight="1" x14ac:dyDescent="0.2">
      <c r="A116" s="93" t="str">
        <f t="array" ref="A116">IFERROR(INDEX('Annex 2 EHV charges'!$A$10:$A$301, MATCH(0, IF(ISBLANK('Annex 2 EHV charges'!$A$10:$A$301),1, COUNTIF(A$4:$A115, 'Annex 2 EHV charges'!$A$10:$A$301)), 0)),"")</f>
        <v>HRSFEN</v>
      </c>
      <c r="B116" s="93">
        <f>IF($A116="","",VLOOKUP($A116,'Annex 2 EHV charges'!$A:$O,2,0))</f>
        <v>313</v>
      </c>
      <c r="C116" s="94">
        <f>IF($A116="","",VLOOKUP($A116,'Annex 2 EHV charges'!$A:$O,3,0))</f>
        <v>1050001041642</v>
      </c>
      <c r="D116" s="93" t="str">
        <f>IF($A116="","",VLOOKUP($A116,'Annex 2 EHV charges'!$A:$O,7,0))</f>
        <v>HRSFEN</v>
      </c>
      <c r="E116" s="173" t="str">
        <f>IFERROR(IF(VLOOKUP($A116,'Annex 2 EHV charges'!$A:$O,8,FALSE)=0,"",VLOOKUP($A116,'Annex 2 EHV charges'!$A:$O,8,FALSE)),"")</f>
        <v/>
      </c>
      <c r="F116" s="175">
        <f>IFERROR(IF(VLOOKUP($A116,'Annex 2 EHV charges'!$A:$O,9,FALSE)=0,"",VLOOKUP($A116,'Annex 2 EHV charges'!$A:$O,9,FALSE)),"")</f>
        <v>38.32</v>
      </c>
      <c r="G116" s="174">
        <f>IFERROR(IF(VLOOKUP($A116,'Annex 2 EHV charges'!$A:$O,10,FALSE)=0,"",VLOOKUP($A116,'Annex 2 EHV charges'!$A:$O,10,FALSE)),"")</f>
        <v>2.46</v>
      </c>
      <c r="H116" s="174">
        <f>IFERROR(IF(VLOOKUP($A116,'Annex 2 EHV charges'!$A:$O,11,FALSE)=0,"",VLOOKUP($A116,'Annex 2 EHV charges'!$A:$O,11,FALSE)),"")</f>
        <v>2.46</v>
      </c>
    </row>
    <row r="117" spans="1:8" ht="12.75" customHeight="1" x14ac:dyDescent="0.2">
      <c r="A117" s="93" t="str">
        <f t="array" ref="A117">IFERROR(INDEX('Annex 2 EHV charges'!$A$10:$A$301, MATCH(0, IF(ISBLANK('Annex 2 EHV charges'!$A$10:$A$301),1, COUNTIF(A$4:$A116, 'Annex 2 EHV charges'!$A$10:$A$301)), 0)),"")</f>
        <v>HTFD_L</v>
      </c>
      <c r="B117" s="93">
        <f>IF($A117="","",VLOOKUP($A117,'Annex 2 EHV charges'!$A:$O,2,0))</f>
        <v>820</v>
      </c>
      <c r="C117" s="94">
        <f>IF($A117="","",VLOOKUP($A117,'Annex 2 EHV charges'!$A:$O,3,0))</f>
        <v>1014569896484</v>
      </c>
      <c r="D117" s="93" t="str">
        <f>IF($A117="","",VLOOKUP($A117,'Annex 2 EHV charges'!$A:$O,7,0))</f>
        <v>HTFD_L</v>
      </c>
      <c r="E117" s="173">
        <f>IFERROR(IF(VLOOKUP($A117,'Annex 2 EHV charges'!$A:$O,8,FALSE)=0,"",VLOOKUP($A117,'Annex 2 EHV charges'!$A:$O,8,FALSE)),"")</f>
        <v>0.47799999999999998</v>
      </c>
      <c r="F117" s="175">
        <f>IFERROR(IF(VLOOKUP($A117,'Annex 2 EHV charges'!$A:$O,9,FALSE)=0,"",VLOOKUP($A117,'Annex 2 EHV charges'!$A:$O,9,FALSE)),"")</f>
        <v>1301.19</v>
      </c>
      <c r="G117" s="174">
        <f>IFERROR(IF(VLOOKUP($A117,'Annex 2 EHV charges'!$A:$O,10,FALSE)=0,"",VLOOKUP($A117,'Annex 2 EHV charges'!$A:$O,10,FALSE)),"")</f>
        <v>2.5099999999999998</v>
      </c>
      <c r="H117" s="174">
        <f>IFERROR(IF(VLOOKUP($A117,'Annex 2 EHV charges'!$A:$O,11,FALSE)=0,"",VLOOKUP($A117,'Annex 2 EHV charges'!$A:$O,11,FALSE)),"")</f>
        <v>2.5099999999999998</v>
      </c>
    </row>
    <row r="118" spans="1:8" ht="12.75" customHeight="1" x14ac:dyDescent="0.2">
      <c r="A118" s="93" t="str">
        <f t="array" ref="A118">IFERROR(INDEX('Annex 2 EHV charges'!$A$10:$A$301, MATCH(0, IF(ISBLANK('Annex 2 EHV charges'!$A$10:$A$301),1, COUNTIF(A$4:$A117, 'Annex 2 EHV charges'!$A$10:$A$301)), 0)),"")</f>
        <v>HYDESF</v>
      </c>
      <c r="B118" s="93">
        <f>IF($A118="","",VLOOKUP($A118,'Annex 2 EHV charges'!$A:$O,2,0))</f>
        <v>518</v>
      </c>
      <c r="C118" s="94">
        <f>IF($A118="","",VLOOKUP($A118,'Annex 2 EHV charges'!$A:$O,3,0))</f>
        <v>1050000759713</v>
      </c>
      <c r="D118" s="93" t="str">
        <f>IF($A118="","",VLOOKUP($A118,'Annex 2 EHV charges'!$A:$O,7,0))</f>
        <v>HYDESF</v>
      </c>
      <c r="E118" s="173">
        <f>IFERROR(IF(VLOOKUP($A118,'Annex 2 EHV charges'!$A:$O,8,FALSE)=0,"",VLOOKUP($A118,'Annex 2 EHV charges'!$A:$O,8,FALSE)),"")</f>
        <v>0.252</v>
      </c>
      <c r="F118" s="175">
        <f>IFERROR(IF(VLOOKUP($A118,'Annex 2 EHV charges'!$A:$O,9,FALSE)=0,"",VLOOKUP($A118,'Annex 2 EHV charges'!$A:$O,9,FALSE)),"")</f>
        <v>11.98</v>
      </c>
      <c r="G118" s="174">
        <f>IFERROR(IF(VLOOKUP($A118,'Annex 2 EHV charges'!$A:$O,10,FALSE)=0,"",VLOOKUP($A118,'Annex 2 EHV charges'!$A:$O,10,FALSE)),"")</f>
        <v>2.4700000000000002</v>
      </c>
      <c r="H118" s="174">
        <f>IFERROR(IF(VLOOKUP($A118,'Annex 2 EHV charges'!$A:$O,11,FALSE)=0,"",VLOOKUP($A118,'Annex 2 EHV charges'!$A:$O,11,FALSE)),"")</f>
        <v>2.4700000000000002</v>
      </c>
    </row>
    <row r="119" spans="1:8" ht="12.75" customHeight="1" x14ac:dyDescent="0.2">
      <c r="A119" s="93" t="str">
        <f t="array" ref="A119">IFERROR(INDEX('Annex 2 EHV charges'!$A$10:$A$301, MATCH(0, IF(ISBLANK('Annex 2 EHV charges'!$A$10:$A$301),1, COUNTIF(A$4:$A118, 'Annex 2 EHV charges'!$A$10:$A$301)), 0)),"")</f>
        <v>INFSSE</v>
      </c>
      <c r="B119" s="93">
        <f>IF($A119="","",VLOOKUP($A119,'Annex 2 EHV charges'!$A:$O,2,0))</f>
        <v>604</v>
      </c>
      <c r="C119" s="94" t="str">
        <f>IF($A119="","",VLOOKUP($A119,'Annex 2 EHV charges'!$A:$O,3,0))</f>
        <v>1099000001162
1099000001171</v>
      </c>
      <c r="D119" s="93" t="str">
        <f>IF($A119="","",VLOOKUP($A119,'Annex 2 EHV charges'!$A:$O,7,0))</f>
        <v>INFSSE</v>
      </c>
      <c r="E119" s="173" t="str">
        <f>IFERROR(IF(VLOOKUP($A119,'Annex 2 EHV charges'!$A:$O,8,FALSE)=0,"",VLOOKUP($A119,'Annex 2 EHV charges'!$A:$O,8,FALSE)),"")</f>
        <v/>
      </c>
      <c r="F119" s="175">
        <f>IFERROR(IF(VLOOKUP($A119,'Annex 2 EHV charges'!$A:$O,9,FALSE)=0,"",VLOOKUP($A119,'Annex 2 EHV charges'!$A:$O,9,FALSE)),"")</f>
        <v>2857.54</v>
      </c>
      <c r="G119" s="174">
        <f>IFERROR(IF(VLOOKUP($A119,'Annex 2 EHV charges'!$A:$O,10,FALSE)=0,"",VLOOKUP($A119,'Annex 2 EHV charges'!$A:$O,10,FALSE)),"")</f>
        <v>1.62</v>
      </c>
      <c r="H119" s="174">
        <f>IFERROR(IF(VLOOKUP($A119,'Annex 2 EHV charges'!$A:$O,11,FALSE)=0,"",VLOOKUP($A119,'Annex 2 EHV charges'!$A:$O,11,FALSE)),"")</f>
        <v>1.62</v>
      </c>
    </row>
    <row r="120" spans="1:8" ht="12.75" customHeight="1" x14ac:dyDescent="0.2">
      <c r="A120" s="93" t="str">
        <f t="array" ref="A120">IFERROR(INDEX('Annex 2 EHV charges'!$A$10:$A$301, MATCH(0, IF(ISBLANK('Annex 2 EHV charges'!$A$10:$A$301),1, COUNTIF(A$4:$A119, 'Annex 2 EHV charges'!$A$10:$A$301)), 0)),"")</f>
        <v>JKSLNE</v>
      </c>
      <c r="B120" s="93">
        <f>IF($A120="","",VLOOKUP($A120,'Annex 2 EHV charges'!$A:$O,2,0))</f>
        <v>519</v>
      </c>
      <c r="C120" s="94">
        <f>IF($A120="","",VLOOKUP($A120,'Annex 2 EHV charges'!$A:$O,3,0))</f>
        <v>1050000556055</v>
      </c>
      <c r="D120" s="93" t="str">
        <f>IF($A120="","",VLOOKUP($A120,'Annex 2 EHV charges'!$A:$O,7,0))</f>
        <v>JKSLNE</v>
      </c>
      <c r="E120" s="173">
        <f>IFERROR(IF(VLOOKUP($A120,'Annex 2 EHV charges'!$A:$O,8,FALSE)=0,"",VLOOKUP($A120,'Annex 2 EHV charges'!$A:$O,8,FALSE)),"")</f>
        <v>1.6E-2</v>
      </c>
      <c r="F120" s="175">
        <f>IFERROR(IF(VLOOKUP($A120,'Annex 2 EHV charges'!$A:$O,9,FALSE)=0,"",VLOOKUP($A120,'Annex 2 EHV charges'!$A:$O,9,FALSE)),"")</f>
        <v>26.56</v>
      </c>
      <c r="G120" s="174">
        <f>IFERROR(IF(VLOOKUP($A120,'Annex 2 EHV charges'!$A:$O,10,FALSE)=0,"",VLOOKUP($A120,'Annex 2 EHV charges'!$A:$O,10,FALSE)),"")</f>
        <v>1.9</v>
      </c>
      <c r="H120" s="174">
        <f>IFERROR(IF(VLOOKUP($A120,'Annex 2 EHV charges'!$A:$O,11,FALSE)=0,"",VLOOKUP($A120,'Annex 2 EHV charges'!$A:$O,11,FALSE)),"")</f>
        <v>1.9</v>
      </c>
    </row>
    <row r="121" spans="1:8" ht="12.75" customHeight="1" x14ac:dyDescent="0.2">
      <c r="A121" s="93" t="str">
        <f t="array" ref="A121">IFERROR(INDEX('Annex 2 EHV charges'!$A$10:$A$301, MATCH(0, IF(ISBLANK('Annex 2 EHV charges'!$A$10:$A$301),1, COUNTIF(A$4:$A120, 'Annex 2 EHV charges'!$A$10:$A$301)), 0)),"")</f>
        <v>KLYN33</v>
      </c>
      <c r="B121" s="93">
        <f>IF($A121="","",VLOOKUP($A121,'Annex 2 EHV charges'!$A:$O,2,0))</f>
        <v>0</v>
      </c>
      <c r="C121" s="94" t="str">
        <f>IF($A121="","",VLOOKUP($A121,'Annex 2 EHV charges'!$A:$O,3,0))</f>
        <v xml:space="preserve"> MSID: 7044</v>
      </c>
      <c r="D121" s="93" t="str">
        <f>IF($A121="","",VLOOKUP($A121,'Annex 2 EHV charges'!$A:$O,7,0))</f>
        <v>KLYN33</v>
      </c>
      <c r="E121" s="173">
        <f>IFERROR(IF(VLOOKUP($A121,'Annex 2 EHV charges'!$A:$O,8,FALSE)=0,"",VLOOKUP($A121,'Annex 2 EHV charges'!$A:$O,8,FALSE)),"")</f>
        <v>7.0000000000000001E-3</v>
      </c>
      <c r="F121" s="175">
        <f>IFERROR(IF(VLOOKUP($A121,'Annex 2 EHV charges'!$A:$O,9,FALSE)=0,"",VLOOKUP($A121,'Annex 2 EHV charges'!$A:$O,9,FALSE)),"")</f>
        <v>257.99</v>
      </c>
      <c r="G121" s="174">
        <f>IFERROR(IF(VLOOKUP($A121,'Annex 2 EHV charges'!$A:$O,10,FALSE)=0,"",VLOOKUP($A121,'Annex 2 EHV charges'!$A:$O,10,FALSE)),"")</f>
        <v>1.66</v>
      </c>
      <c r="H121" s="174">
        <f>IFERROR(IF(VLOOKUP($A121,'Annex 2 EHV charges'!$A:$O,11,FALSE)=0,"",VLOOKUP($A121,'Annex 2 EHV charges'!$A:$O,11,FALSE)),"")</f>
        <v>1.66</v>
      </c>
    </row>
    <row r="122" spans="1:8" ht="12.75" customHeight="1" x14ac:dyDescent="0.2">
      <c r="A122" s="93" t="str">
        <f t="array" ref="A122">IFERROR(INDEX('Annex 2 EHV charges'!$A$10:$A$301, MATCH(0, IF(ISBLANK('Annex 2 EHV charges'!$A$10:$A$301),1, COUNTIF(A$4:$A121, 'Annex 2 EHV charges'!$A$10:$A$301)), 0)),"")</f>
        <v>KNGSLN</v>
      </c>
      <c r="B122" s="93">
        <f>IF($A122="","",VLOOKUP($A122,'Annex 2 EHV charges'!$A:$O,2,0))</f>
        <v>0</v>
      </c>
      <c r="C122" s="94" t="str">
        <f>IF($A122="","",VLOOKUP($A122,'Annex 2 EHV charges'!$A:$O,3,0))</f>
        <v xml:space="preserve"> MSID: 7044</v>
      </c>
      <c r="D122" s="93" t="str">
        <f>IF($A122="","",VLOOKUP($A122,'Annex 2 EHV charges'!$A:$O,7,0))</f>
        <v>KNGSLN</v>
      </c>
      <c r="E122" s="173" t="str">
        <f>IFERROR(IF(VLOOKUP($A122,'Annex 2 EHV charges'!$A:$O,8,FALSE)=0,"",VLOOKUP($A122,'Annex 2 EHV charges'!$A:$O,8,FALSE)),"")</f>
        <v/>
      </c>
      <c r="F122" s="175">
        <f>IFERROR(IF(VLOOKUP($A122,'Annex 2 EHV charges'!$A:$O,9,FALSE)=0,"",VLOOKUP($A122,'Annex 2 EHV charges'!$A:$O,9,FALSE)),"")</f>
        <v>26.09</v>
      </c>
      <c r="G122" s="174">
        <f>IFERROR(IF(VLOOKUP($A122,'Annex 2 EHV charges'!$A:$O,10,FALSE)=0,"",VLOOKUP($A122,'Annex 2 EHV charges'!$A:$O,10,FALSE)),"")</f>
        <v>1.63</v>
      </c>
      <c r="H122" s="174">
        <f>IFERROR(IF(VLOOKUP($A122,'Annex 2 EHV charges'!$A:$O,11,FALSE)=0,"",VLOOKUP($A122,'Annex 2 EHV charges'!$A:$O,11,FALSE)),"")</f>
        <v>1.63</v>
      </c>
    </row>
    <row r="123" spans="1:8" ht="12.75" customHeight="1" x14ac:dyDescent="0.2">
      <c r="A123" s="93" t="str">
        <f t="array" ref="A123">IFERROR(INDEX('Annex 2 EHV charges'!$A$10:$A$301, MATCH(0, IF(ISBLANK('Annex 2 EHV charges'!$A$10:$A$301),1, COUNTIF(A$4:$A122, 'Annex 2 EHV charges'!$A$10:$A$301)), 0)),"")</f>
        <v>KNNING</v>
      </c>
      <c r="B123" s="93">
        <f>IF($A123="","",VLOOKUP($A123,'Annex 2 EHV charges'!$A:$O,2,0))</f>
        <v>520</v>
      </c>
      <c r="C123" s="94">
        <f>IF($A123="","",VLOOKUP($A123,'Annex 2 EHV charges'!$A:$O,3,0))</f>
        <v>1050000823458</v>
      </c>
      <c r="D123" s="93" t="str">
        <f>IF($A123="","",VLOOKUP($A123,'Annex 2 EHV charges'!$A:$O,7,0))</f>
        <v>KNNING</v>
      </c>
      <c r="E123" s="173">
        <f>IFERROR(IF(VLOOKUP($A123,'Annex 2 EHV charges'!$A:$O,8,FALSE)=0,"",VLOOKUP($A123,'Annex 2 EHV charges'!$A:$O,8,FALSE)),"")</f>
        <v>0.69</v>
      </c>
      <c r="F123" s="175">
        <f>IFERROR(IF(VLOOKUP($A123,'Annex 2 EHV charges'!$A:$O,9,FALSE)=0,"",VLOOKUP($A123,'Annex 2 EHV charges'!$A:$O,9,FALSE)),"")</f>
        <v>4.4800000000000004</v>
      </c>
      <c r="G123" s="174">
        <f>IFERROR(IF(VLOOKUP($A123,'Annex 2 EHV charges'!$A:$O,10,FALSE)=0,"",VLOOKUP($A123,'Annex 2 EHV charges'!$A:$O,10,FALSE)),"")</f>
        <v>6.47</v>
      </c>
      <c r="H123" s="174">
        <f>IFERROR(IF(VLOOKUP($A123,'Annex 2 EHV charges'!$A:$O,11,FALSE)=0,"",VLOOKUP($A123,'Annex 2 EHV charges'!$A:$O,11,FALSE)),"")</f>
        <v>6.47</v>
      </c>
    </row>
    <row r="124" spans="1:8" ht="12.75" customHeight="1" x14ac:dyDescent="0.2">
      <c r="A124" s="93" t="str">
        <f t="array" ref="A124">IFERROR(INDEX('Annex 2 EHV charges'!$A$10:$A$301, MATCH(0, IF(ISBLANK('Annex 2 EHV charges'!$A$10:$A$301),1, COUNTIF(A$4:$A123, 'Annex 2 EHV charges'!$A$10:$A$301)), 0)),"")</f>
        <v>LAKENH</v>
      </c>
      <c r="B124" s="93">
        <f>IF($A124="","",VLOOKUP($A124,'Annex 2 EHV charges'!$A:$O,2,0))</f>
        <v>482</v>
      </c>
      <c r="C124" s="94">
        <f>IF($A124="","",VLOOKUP($A124,'Annex 2 EHV charges'!$A:$O,3,0))</f>
        <v>1023504932800</v>
      </c>
      <c r="D124" s="93" t="str">
        <f>IF($A124="","",VLOOKUP($A124,'Annex 2 EHV charges'!$A:$O,7,0))</f>
        <v>LAKENH</v>
      </c>
      <c r="E124" s="173">
        <f>IFERROR(IF(VLOOKUP($A124,'Annex 2 EHV charges'!$A:$O,8,FALSE)=0,"",VLOOKUP($A124,'Annex 2 EHV charges'!$A:$O,8,FALSE)),"")</f>
        <v>1.008</v>
      </c>
      <c r="F124" s="175">
        <f>IFERROR(IF(VLOOKUP($A124,'Annex 2 EHV charges'!$A:$O,9,FALSE)=0,"",VLOOKUP($A124,'Annex 2 EHV charges'!$A:$O,9,FALSE)),"")</f>
        <v>179.86</v>
      </c>
      <c r="G124" s="174">
        <f>IFERROR(IF(VLOOKUP($A124,'Annex 2 EHV charges'!$A:$O,10,FALSE)=0,"",VLOOKUP($A124,'Annex 2 EHV charges'!$A:$O,10,FALSE)),"")</f>
        <v>8.35</v>
      </c>
      <c r="H124" s="174">
        <f>IFERROR(IF(VLOOKUP($A124,'Annex 2 EHV charges'!$A:$O,11,FALSE)=0,"",VLOOKUP($A124,'Annex 2 EHV charges'!$A:$O,11,FALSE)),"")</f>
        <v>8.35</v>
      </c>
    </row>
    <row r="125" spans="1:8" ht="12.75" customHeight="1" x14ac:dyDescent="0.2">
      <c r="A125" s="93" t="str">
        <f t="array" ref="A125">IFERROR(INDEX('Annex 2 EHV charges'!$A$10:$A$301, MATCH(0, IF(ISBLANK('Annex 2 EHV charges'!$A$10:$A$301),1, COUNTIF(A$4:$A124, 'Annex 2 EHV charges'!$A$10:$A$301)), 0)),"")</f>
        <v>LBARPS</v>
      </c>
      <c r="B125" s="93">
        <f>IF($A125="","",VLOOKUP($A125,'Annex 2 EHV charges'!$A:$O,2,0))</f>
        <v>824</v>
      </c>
      <c r="C125" s="94">
        <f>IF($A125="","",VLOOKUP($A125,'Annex 2 EHV charges'!$A:$O,3,0))</f>
        <v>1014572529986</v>
      </c>
      <c r="D125" s="93" t="str">
        <f>IF($A125="","",VLOOKUP($A125,'Annex 2 EHV charges'!$A:$O,7,0))</f>
        <v>LBARPS</v>
      </c>
      <c r="E125" s="173">
        <f>IFERROR(IF(VLOOKUP($A125,'Annex 2 EHV charges'!$A:$O,8,FALSE)=0,"",VLOOKUP($A125,'Annex 2 EHV charges'!$A:$O,8,FALSE)),"")</f>
        <v>2.5000000000000001E-2</v>
      </c>
      <c r="F125" s="175">
        <f>IFERROR(IF(VLOOKUP($A125,'Annex 2 EHV charges'!$A:$O,9,FALSE)=0,"",VLOOKUP($A125,'Annex 2 EHV charges'!$A:$O,9,FALSE)),"")</f>
        <v>257.99</v>
      </c>
      <c r="G125" s="174">
        <f>IFERROR(IF(VLOOKUP($A125,'Annex 2 EHV charges'!$A:$O,10,FALSE)=0,"",VLOOKUP($A125,'Annex 2 EHV charges'!$A:$O,10,FALSE)),"")</f>
        <v>1.1399999999999999</v>
      </c>
      <c r="H125" s="174">
        <f>IFERROR(IF(VLOOKUP($A125,'Annex 2 EHV charges'!$A:$O,11,FALSE)=0,"",VLOOKUP($A125,'Annex 2 EHV charges'!$A:$O,11,FALSE)),"")</f>
        <v>1.1399999999999999</v>
      </c>
    </row>
    <row r="126" spans="1:8" ht="12.75" customHeight="1" x14ac:dyDescent="0.2">
      <c r="A126" s="93" t="str">
        <f t="array" ref="A126">IFERROR(INDEX('Annex 2 EHV charges'!$A$10:$A$301, MATCH(0, IF(ISBLANK('Annex 2 EHV charges'!$A$10:$A$301),1, COUNTIF(A$4:$A125, 'Annex 2 EHV charges'!$A$10:$A$301)), 0)),"")</f>
        <v>LBZSNS</v>
      </c>
      <c r="B126" s="93">
        <f>IF($A126="","",VLOOKUP($A126,'Annex 2 EHV charges'!$A:$O,2,0))</f>
        <v>549</v>
      </c>
      <c r="C126" s="94">
        <f>IF($A126="","",VLOOKUP($A126,'Annex 2 EHV charges'!$A:$O,3,0))</f>
        <v>1050000687486</v>
      </c>
      <c r="D126" s="93" t="str">
        <f>IF($A126="","",VLOOKUP($A126,'Annex 2 EHV charges'!$A:$O,7,0))</f>
        <v>LBZSNS</v>
      </c>
      <c r="E126" s="173">
        <f>IFERROR(IF(VLOOKUP($A126,'Annex 2 EHV charges'!$A:$O,8,FALSE)=0,"",VLOOKUP($A126,'Annex 2 EHV charges'!$A:$O,8,FALSE)),"")</f>
        <v>5.3280000000000003</v>
      </c>
      <c r="F126" s="175">
        <f>IFERROR(IF(VLOOKUP($A126,'Annex 2 EHV charges'!$A:$O,9,FALSE)=0,"",VLOOKUP($A126,'Annex 2 EHV charges'!$A:$O,9,FALSE)),"")</f>
        <v>134.88999999999999</v>
      </c>
      <c r="G126" s="174">
        <f>IFERROR(IF(VLOOKUP($A126,'Annex 2 EHV charges'!$A:$O,10,FALSE)=0,"",VLOOKUP($A126,'Annex 2 EHV charges'!$A:$O,10,FALSE)),"")</f>
        <v>1.42</v>
      </c>
      <c r="H126" s="174">
        <f>IFERROR(IF(VLOOKUP($A126,'Annex 2 EHV charges'!$A:$O,11,FALSE)=0,"",VLOOKUP($A126,'Annex 2 EHV charges'!$A:$O,11,FALSE)),"")</f>
        <v>1.42</v>
      </c>
    </row>
    <row r="127" spans="1:8" ht="12.75" customHeight="1" x14ac:dyDescent="0.2">
      <c r="A127" s="93" t="str">
        <f t="array" ref="A127">IFERROR(INDEX('Annex 2 EHV charges'!$A$10:$A$301, MATCH(0, IF(ISBLANK('Annex 2 EHV charges'!$A$10:$A$301),1, COUNTIF(A$4:$A126, 'Annex 2 EHV charges'!$A$10:$A$301)), 0)),"")</f>
        <v>LCKFRD</v>
      </c>
      <c r="B127" s="93">
        <f>IF($A127="","",VLOOKUP($A127,'Annex 2 EHV charges'!$A:$O,2,0))</f>
        <v>886</v>
      </c>
      <c r="C127" s="94">
        <f>IF($A127="","",VLOOKUP($A127,'Annex 2 EHV charges'!$A:$O,3,0))</f>
        <v>1050000578704</v>
      </c>
      <c r="D127" s="93" t="str">
        <f>IF($A127="","",VLOOKUP($A127,'Annex 2 EHV charges'!$A:$O,7,0))</f>
        <v>LCKFRD</v>
      </c>
      <c r="E127" s="173">
        <f>IFERROR(IF(VLOOKUP($A127,'Annex 2 EHV charges'!$A:$O,8,FALSE)=0,"",VLOOKUP($A127,'Annex 2 EHV charges'!$A:$O,8,FALSE)),"")</f>
        <v>9.8000000000000004E-2</v>
      </c>
      <c r="F127" s="175">
        <f>IFERROR(IF(VLOOKUP($A127,'Annex 2 EHV charges'!$A:$O,9,FALSE)=0,"",VLOOKUP($A127,'Annex 2 EHV charges'!$A:$O,9,FALSE)),"")</f>
        <v>1.65</v>
      </c>
      <c r="G127" s="174">
        <f>IFERROR(IF(VLOOKUP($A127,'Annex 2 EHV charges'!$A:$O,10,FALSE)=0,"",VLOOKUP($A127,'Annex 2 EHV charges'!$A:$O,10,FALSE)),"")</f>
        <v>4.03</v>
      </c>
      <c r="H127" s="174">
        <f>IFERROR(IF(VLOOKUP($A127,'Annex 2 EHV charges'!$A:$O,11,FALSE)=0,"",VLOOKUP($A127,'Annex 2 EHV charges'!$A:$O,11,FALSE)),"")</f>
        <v>4.03</v>
      </c>
    </row>
    <row r="128" spans="1:8" ht="12.75" customHeight="1" x14ac:dyDescent="0.2">
      <c r="A128" s="93" t="str">
        <f t="array" ref="A128">IFERROR(INDEX('Annex 2 EHV charges'!$A$10:$A$301, MATCH(0, IF(ISBLANK('Annex 2 EHV charges'!$A$10:$A$301),1, COUNTIF(A$4:$A127, 'Annex 2 EHV charges'!$A$10:$A$301)), 0)),"")</f>
        <v>LDAHSF</v>
      </c>
      <c r="B128" s="93">
        <f>IF($A128="","",VLOOKUP($A128,'Annex 2 EHV charges'!$A:$O,2,0))</f>
        <v>536</v>
      </c>
      <c r="C128" s="94">
        <f>IF($A128="","",VLOOKUP($A128,'Annex 2 EHV charges'!$A:$O,3,0))</f>
        <v>1030083806024</v>
      </c>
      <c r="D128" s="93" t="str">
        <f>IF($A128="","",VLOOKUP($A128,'Annex 2 EHV charges'!$A:$O,7,0))</f>
        <v>LDAHSF</v>
      </c>
      <c r="E128" s="173">
        <f>IFERROR(IF(VLOOKUP($A128,'Annex 2 EHV charges'!$A:$O,8,FALSE)=0,"",VLOOKUP($A128,'Annex 2 EHV charges'!$A:$O,8,FALSE)),"")</f>
        <v>3.5000000000000003E-2</v>
      </c>
      <c r="F128" s="175">
        <f>IFERROR(IF(VLOOKUP($A128,'Annex 2 EHV charges'!$A:$O,9,FALSE)=0,"",VLOOKUP($A128,'Annex 2 EHV charges'!$A:$O,9,FALSE)),"")</f>
        <v>5.85</v>
      </c>
      <c r="G128" s="174">
        <f>IFERROR(IF(VLOOKUP($A128,'Annex 2 EHV charges'!$A:$O,10,FALSE)=0,"",VLOOKUP($A128,'Annex 2 EHV charges'!$A:$O,10,FALSE)),"")</f>
        <v>2.48</v>
      </c>
      <c r="H128" s="174">
        <f>IFERROR(IF(VLOOKUP($A128,'Annex 2 EHV charges'!$A:$O,11,FALSE)=0,"",VLOOKUP($A128,'Annex 2 EHV charges'!$A:$O,11,FALSE)),"")</f>
        <v>2.48</v>
      </c>
    </row>
    <row r="129" spans="1:8" ht="12.75" customHeight="1" x14ac:dyDescent="0.2">
      <c r="A129" s="93" t="str">
        <f t="array" ref="A129">IFERROR(INDEX('Annex 2 EHV charges'!$A$10:$A$301, MATCH(0, IF(ISBLANK('Annex 2 EHV charges'!$A$10:$A$301),1, COUNTIF(A$4:$A128, 'Annex 2 EHV charges'!$A$10:$A$301)), 0)),"")</f>
        <v>LEICSQ</v>
      </c>
      <c r="B129" s="93">
        <f>IF($A129="","",VLOOKUP($A129,'Annex 2 EHV charges'!$A:$O,2,0))</f>
        <v>550</v>
      </c>
      <c r="C129" s="94">
        <f>IF($A129="","",VLOOKUP($A129,'Annex 2 EHV charges'!$A:$O,3,0))</f>
        <v>1050001008681</v>
      </c>
      <c r="D129" s="93" t="str">
        <f>IF($A129="","",VLOOKUP($A129,'Annex 2 EHV charges'!$A:$O,7,0))</f>
        <v>LEICSQ</v>
      </c>
      <c r="E129" s="173" t="str">
        <f>IFERROR(IF(VLOOKUP($A129,'Annex 2 EHV charges'!$A:$O,8,FALSE)=0,"",VLOOKUP($A129,'Annex 2 EHV charges'!$A:$O,8,FALSE)),"")</f>
        <v/>
      </c>
      <c r="F129" s="175">
        <f>IFERROR(IF(VLOOKUP($A129,'Annex 2 EHV charges'!$A:$O,9,FALSE)=0,"",VLOOKUP($A129,'Annex 2 EHV charges'!$A:$O,9,FALSE)),"")</f>
        <v>11.48</v>
      </c>
      <c r="G129" s="174">
        <f>IFERROR(IF(VLOOKUP($A129,'Annex 2 EHV charges'!$A:$O,10,FALSE)=0,"",VLOOKUP($A129,'Annex 2 EHV charges'!$A:$O,10,FALSE)),"")</f>
        <v>1.95</v>
      </c>
      <c r="H129" s="174">
        <f>IFERROR(IF(VLOOKUP($A129,'Annex 2 EHV charges'!$A:$O,11,FALSE)=0,"",VLOOKUP($A129,'Annex 2 EHV charges'!$A:$O,11,FALSE)),"")</f>
        <v>1.95</v>
      </c>
    </row>
    <row r="130" spans="1:8" ht="12.75" customHeight="1" x14ac:dyDescent="0.2">
      <c r="A130" s="93" t="str">
        <f t="array" ref="A130">IFERROR(INDEX('Annex 2 EHV charges'!$A$10:$A$301, MATCH(0, IF(ISBLANK('Annex 2 EHV charges'!$A$10:$A$301),1, COUNTIF(A$4:$A129, 'Annex 2 EHV charges'!$A$10:$A$301)), 0)),"")</f>
        <v>LEXHSF</v>
      </c>
      <c r="B130" s="93">
        <f>IF($A130="","",VLOOKUP($A130,'Annex 2 EHV charges'!$A:$O,2,0))</f>
        <v>889</v>
      </c>
      <c r="C130" s="94">
        <f>IF($A130="","",VLOOKUP($A130,'Annex 2 EHV charges'!$A:$O,3,0))</f>
        <v>1030083805563</v>
      </c>
      <c r="D130" s="93" t="str">
        <f>IF($A130="","",VLOOKUP($A130,'Annex 2 EHV charges'!$A:$O,7,0))</f>
        <v>LEXHSF</v>
      </c>
      <c r="E130" s="173">
        <f>IFERROR(IF(VLOOKUP($A130,'Annex 2 EHV charges'!$A:$O,8,FALSE)=0,"",VLOOKUP($A130,'Annex 2 EHV charges'!$A:$O,8,FALSE)),"")</f>
        <v>0.01</v>
      </c>
      <c r="F130" s="175">
        <f>IFERROR(IF(VLOOKUP($A130,'Annex 2 EHV charges'!$A:$O,9,FALSE)=0,"",VLOOKUP($A130,'Annex 2 EHV charges'!$A:$O,9,FALSE)),"")</f>
        <v>6.77</v>
      </c>
      <c r="G130" s="174">
        <f>IFERROR(IF(VLOOKUP($A130,'Annex 2 EHV charges'!$A:$O,10,FALSE)=0,"",VLOOKUP($A130,'Annex 2 EHV charges'!$A:$O,10,FALSE)),"")</f>
        <v>1.61</v>
      </c>
      <c r="H130" s="174">
        <f>IFERROR(IF(VLOOKUP($A130,'Annex 2 EHV charges'!$A:$O,11,FALSE)=0,"",VLOOKUP($A130,'Annex 2 EHV charges'!$A:$O,11,FALSE)),"")</f>
        <v>1.61</v>
      </c>
    </row>
    <row r="131" spans="1:8" ht="12.75" customHeight="1" x14ac:dyDescent="0.2">
      <c r="A131" s="93" t="str">
        <f t="array" ref="A131">IFERROR(INDEX('Annex 2 EHV charges'!$A$10:$A$301, MATCH(0, IF(ISBLANK('Annex 2 EHV charges'!$A$10:$A$301),1, COUNTIF(A$4:$A130, 'Annex 2 EHV charges'!$A$10:$A$301)), 0)),"")</f>
        <v>LNGFRD</v>
      </c>
      <c r="B131" s="93">
        <f>IF($A131="","",VLOOKUP($A131,'Annex 2 EHV charges'!$A:$O,2,0))</f>
        <v>521</v>
      </c>
      <c r="C131" s="94">
        <f>IF($A131="","",VLOOKUP($A131,'Annex 2 EHV charges'!$A:$O,3,0))</f>
        <v>1050000698283</v>
      </c>
      <c r="D131" s="93" t="str">
        <f>IF($A131="","",VLOOKUP($A131,'Annex 2 EHV charges'!$A:$O,7,0))</f>
        <v>LNGFRD</v>
      </c>
      <c r="E131" s="173" t="str">
        <f>IFERROR(IF(VLOOKUP($A131,'Annex 2 EHV charges'!$A:$O,8,FALSE)=0,"",VLOOKUP($A131,'Annex 2 EHV charges'!$A:$O,8,FALSE)),"")</f>
        <v/>
      </c>
      <c r="F131" s="175">
        <f>IFERROR(IF(VLOOKUP($A131,'Annex 2 EHV charges'!$A:$O,9,FALSE)=0,"",VLOOKUP($A131,'Annex 2 EHV charges'!$A:$O,9,FALSE)),"")</f>
        <v>14.15</v>
      </c>
      <c r="G131" s="174">
        <f>IFERROR(IF(VLOOKUP($A131,'Annex 2 EHV charges'!$A:$O,10,FALSE)=0,"",VLOOKUP($A131,'Annex 2 EHV charges'!$A:$O,10,FALSE)),"")</f>
        <v>3.41</v>
      </c>
      <c r="H131" s="174">
        <f>IFERROR(IF(VLOOKUP($A131,'Annex 2 EHV charges'!$A:$O,11,FALSE)=0,"",VLOOKUP($A131,'Annex 2 EHV charges'!$A:$O,11,FALSE)),"")</f>
        <v>3.41</v>
      </c>
    </row>
    <row r="132" spans="1:8" ht="12.75" customHeight="1" x14ac:dyDescent="0.2">
      <c r="A132" s="93" t="str">
        <f t="array" ref="A132">IFERROR(INDEX('Annex 2 EHV charges'!$A$10:$A$301, MATCH(0, IF(ISBLANK('Annex 2 EHV charges'!$A$10:$A$301),1, COUNTIF(A$4:$A131, 'Annex 2 EHV charges'!$A$10:$A$301)), 0)),"")</f>
        <v>LNGHO2</v>
      </c>
      <c r="B132" s="93">
        <f>IF($A132="","",VLOOKUP($A132,'Annex 2 EHV charges'!$A:$O,2,0))</f>
        <v>523</v>
      </c>
      <c r="C132" s="94">
        <f>IF($A132="","",VLOOKUP($A132,'Annex 2 EHV charges'!$A:$O,3,0))</f>
        <v>1050000802936</v>
      </c>
      <c r="D132" s="93" t="str">
        <f>IF($A132="","",VLOOKUP($A132,'Annex 2 EHV charges'!$A:$O,7,0))</f>
        <v>LNGHO2</v>
      </c>
      <c r="E132" s="173">
        <f>IFERROR(IF(VLOOKUP($A132,'Annex 2 EHV charges'!$A:$O,8,FALSE)=0,"",VLOOKUP($A132,'Annex 2 EHV charges'!$A:$O,8,FALSE)),"")</f>
        <v>0.19400000000000001</v>
      </c>
      <c r="F132" s="175">
        <f>IFERROR(IF(VLOOKUP($A132,'Annex 2 EHV charges'!$A:$O,9,FALSE)=0,"",VLOOKUP($A132,'Annex 2 EHV charges'!$A:$O,9,FALSE)),"")</f>
        <v>23.06</v>
      </c>
      <c r="G132" s="174">
        <f>IFERROR(IF(VLOOKUP($A132,'Annex 2 EHV charges'!$A:$O,10,FALSE)=0,"",VLOOKUP($A132,'Annex 2 EHV charges'!$A:$O,10,FALSE)),"")</f>
        <v>1.72</v>
      </c>
      <c r="H132" s="174">
        <f>IFERROR(IF(VLOOKUP($A132,'Annex 2 EHV charges'!$A:$O,11,FALSE)=0,"",VLOOKUP($A132,'Annex 2 EHV charges'!$A:$O,11,FALSE)),"")</f>
        <v>1.72</v>
      </c>
    </row>
    <row r="133" spans="1:8" ht="12.75" customHeight="1" x14ac:dyDescent="0.2">
      <c r="A133" s="93" t="str">
        <f t="array" ref="A133">IFERROR(INDEX('Annex 2 EHV charges'!$A$10:$A$301, MATCH(0, IF(ISBLANK('Annex 2 EHV charges'!$A$10:$A$301),1, COUNTIF(A$4:$A132, 'Annex 2 EHV charges'!$A$10:$A$301)), 0)),"")</f>
        <v>LNGHOE</v>
      </c>
      <c r="B133" s="93">
        <f>IF($A133="","",VLOOKUP($A133,'Annex 2 EHV charges'!$A:$O,2,0))</f>
        <v>522</v>
      </c>
      <c r="C133" s="94">
        <f>IF($A133="","",VLOOKUP($A133,'Annex 2 EHV charges'!$A:$O,3,0))</f>
        <v>1050000774109</v>
      </c>
      <c r="D133" s="93" t="str">
        <f>IF($A133="","",VLOOKUP($A133,'Annex 2 EHV charges'!$A:$O,7,0))</f>
        <v>LNGHOE</v>
      </c>
      <c r="E133" s="173">
        <f>IFERROR(IF(VLOOKUP($A133,'Annex 2 EHV charges'!$A:$O,8,FALSE)=0,"",VLOOKUP($A133,'Annex 2 EHV charges'!$A:$O,8,FALSE)),"")</f>
        <v>0.184</v>
      </c>
      <c r="F133" s="175">
        <f>IFERROR(IF(VLOOKUP($A133,'Annex 2 EHV charges'!$A:$O,9,FALSE)=0,"",VLOOKUP($A133,'Annex 2 EHV charges'!$A:$O,9,FALSE)),"")</f>
        <v>34.21</v>
      </c>
      <c r="G133" s="174">
        <f>IFERROR(IF(VLOOKUP($A133,'Annex 2 EHV charges'!$A:$O,10,FALSE)=0,"",VLOOKUP($A133,'Annex 2 EHV charges'!$A:$O,10,FALSE)),"")</f>
        <v>1.77</v>
      </c>
      <c r="H133" s="174">
        <f>IFERROR(IF(VLOOKUP($A133,'Annex 2 EHV charges'!$A:$O,11,FALSE)=0,"",VLOOKUP($A133,'Annex 2 EHV charges'!$A:$O,11,FALSE)),"")</f>
        <v>1.77</v>
      </c>
    </row>
    <row r="134" spans="1:8" ht="12.75" customHeight="1" x14ac:dyDescent="0.2">
      <c r="A134" s="93" t="str">
        <f t="array" ref="A134">IFERROR(INDEX('Annex 2 EHV charges'!$A$10:$A$301, MATCH(0, IF(ISBLANK('Annex 2 EHV charges'!$A$10:$A$301),1, COUNTIF(A$4:$A133, 'Annex 2 EHV charges'!$A$10:$A$301)), 0)),"")</f>
        <v>LONWST</v>
      </c>
      <c r="B134" s="93">
        <f>IF($A134="","",VLOOKUP($A134,'Annex 2 EHV charges'!$A:$O,2,0))</f>
        <v>826</v>
      </c>
      <c r="C134" s="94">
        <f>IF($A134="","",VLOOKUP($A134,'Annex 2 EHV charges'!$A:$O,3,0))</f>
        <v>1023497360519</v>
      </c>
      <c r="D134" s="93" t="str">
        <f>IF($A134="","",VLOOKUP($A134,'Annex 2 EHV charges'!$A:$O,7,0))</f>
        <v>LONWST</v>
      </c>
      <c r="E134" s="173" t="str">
        <f>IFERROR(IF(VLOOKUP($A134,'Annex 2 EHV charges'!$A:$O,8,FALSE)=0,"",VLOOKUP($A134,'Annex 2 EHV charges'!$A:$O,8,FALSE)),"")</f>
        <v/>
      </c>
      <c r="F134" s="175">
        <f>IFERROR(IF(VLOOKUP($A134,'Annex 2 EHV charges'!$A:$O,9,FALSE)=0,"",VLOOKUP($A134,'Annex 2 EHV charges'!$A:$O,9,FALSE)),"")</f>
        <v>162.65</v>
      </c>
      <c r="G134" s="174">
        <f>IFERROR(IF(VLOOKUP($A134,'Annex 2 EHV charges'!$A:$O,10,FALSE)=0,"",VLOOKUP($A134,'Annex 2 EHV charges'!$A:$O,10,FALSE)),"")</f>
        <v>1.1299999999999999</v>
      </c>
      <c r="H134" s="174">
        <f>IFERROR(IF(VLOOKUP($A134,'Annex 2 EHV charges'!$A:$O,11,FALSE)=0,"",VLOOKUP($A134,'Annex 2 EHV charges'!$A:$O,11,FALSE)),"")</f>
        <v>1.1299999999999999</v>
      </c>
    </row>
    <row r="135" spans="1:8" ht="12.75" customHeight="1" x14ac:dyDescent="0.2">
      <c r="A135" s="93" t="str">
        <f t="array" ref="A135">IFERROR(INDEX('Annex 2 EHV charges'!$A$10:$A$301, MATCH(0, IF(ISBLANK('Annex 2 EHV charges'!$A$10:$A$301),1, COUNTIF(A$4:$A134, 'Annex 2 EHV charges'!$A$10:$A$301)), 0)),"")</f>
        <v>LS&amp;E_N</v>
      </c>
      <c r="B135" s="93">
        <f>IF($A135="","",VLOOKUP($A135,'Annex 2 EHV charges'!$A:$O,2,0))</f>
        <v>823</v>
      </c>
      <c r="C135" s="94" t="str">
        <f>IF($A135="","",VLOOKUP($A135,'Annex 2 EHV charges'!$A:$O,3,0))</f>
        <v>1023477604661
1014568599280</v>
      </c>
      <c r="D135" s="93" t="str">
        <f>IF($A135="","",VLOOKUP($A135,'Annex 2 EHV charges'!$A:$O,7,0))</f>
        <v>LS&amp;E_N</v>
      </c>
      <c r="E135" s="173" t="str">
        <f>IFERROR(IF(VLOOKUP($A135,'Annex 2 EHV charges'!$A:$O,8,FALSE)=0,"",VLOOKUP($A135,'Annex 2 EHV charges'!$A:$O,8,FALSE)),"")</f>
        <v/>
      </c>
      <c r="F135" s="175">
        <f>IFERROR(IF(VLOOKUP($A135,'Annex 2 EHV charges'!$A:$O,9,FALSE)=0,"",VLOOKUP($A135,'Annex 2 EHV charges'!$A:$O,9,FALSE)),"")</f>
        <v>1559.17</v>
      </c>
      <c r="G135" s="174">
        <f>IFERROR(IF(VLOOKUP($A135,'Annex 2 EHV charges'!$A:$O,10,FALSE)=0,"",VLOOKUP($A135,'Annex 2 EHV charges'!$A:$O,10,FALSE)),"")</f>
        <v>1.57</v>
      </c>
      <c r="H135" s="174">
        <f>IFERROR(IF(VLOOKUP($A135,'Annex 2 EHV charges'!$A:$O,11,FALSE)=0,"",VLOOKUP($A135,'Annex 2 EHV charges'!$A:$O,11,FALSE)),"")</f>
        <v>1.57</v>
      </c>
    </row>
    <row r="136" spans="1:8" ht="12.75" customHeight="1" x14ac:dyDescent="0.2">
      <c r="A136" s="93" t="str">
        <f t="array" ref="A136">IFERROR(INDEX('Annex 2 EHV charges'!$A$10:$A$301, MATCH(0, IF(ISBLANK('Annex 2 EHV charges'!$A$10:$A$301),1, COUNTIF(A$4:$A135, 'Annex 2 EHV charges'!$A$10:$A$301)), 0)),"")</f>
        <v>LU_FIN</v>
      </c>
      <c r="B136" s="93">
        <f>IF($A136="","",VLOOKUP($A136,'Annex 2 EHV charges'!$A:$O,2,0))</f>
        <v>825</v>
      </c>
      <c r="C136" s="94" t="str">
        <f>IF($A136="","",VLOOKUP($A136,'Annex 2 EHV charges'!$A:$O,3,0))</f>
        <v>1023478728447
1023478728907</v>
      </c>
      <c r="D136" s="93" t="str">
        <f>IF($A136="","",VLOOKUP($A136,'Annex 2 EHV charges'!$A:$O,7,0))</f>
        <v>LU_FIN</v>
      </c>
      <c r="E136" s="173">
        <f>IFERROR(IF(VLOOKUP($A136,'Annex 2 EHV charges'!$A:$O,8,FALSE)=0,"",VLOOKUP($A136,'Annex 2 EHV charges'!$A:$O,8,FALSE)),"")</f>
        <v>0.33900000000000002</v>
      </c>
      <c r="F136" s="175">
        <f>IFERROR(IF(VLOOKUP($A136,'Annex 2 EHV charges'!$A:$O,9,FALSE)=0,"",VLOOKUP($A136,'Annex 2 EHV charges'!$A:$O,9,FALSE)),"")</f>
        <v>515.97</v>
      </c>
      <c r="G136" s="174">
        <f>IFERROR(IF(VLOOKUP($A136,'Annex 2 EHV charges'!$A:$O,10,FALSE)=0,"",VLOOKUP($A136,'Annex 2 EHV charges'!$A:$O,10,FALSE)),"")</f>
        <v>2.31</v>
      </c>
      <c r="H136" s="174">
        <f>IFERROR(IF(VLOOKUP($A136,'Annex 2 EHV charges'!$A:$O,11,FALSE)=0,"",VLOOKUP($A136,'Annex 2 EHV charges'!$A:$O,11,FALSE)),"")</f>
        <v>2.31</v>
      </c>
    </row>
    <row r="137" spans="1:8" ht="12.75" customHeight="1" x14ac:dyDescent="0.2">
      <c r="A137" s="93" t="str">
        <f t="array" ref="A137">IFERROR(INDEX('Annex 2 EHV charges'!$A$10:$A$301, MATCH(0, IF(ISBLANK('Annex 2 EHV charges'!$A$10:$A$301),1, COUNTIF(A$4:$A136, 'Annex 2 EHV charges'!$A$10:$A$301)), 0)),"")</f>
        <v>LU_MHO</v>
      </c>
      <c r="B137" s="93">
        <f>IF($A137="","",VLOOKUP($A137,'Annex 2 EHV charges'!$A:$O,2,0))</f>
        <v>864</v>
      </c>
      <c r="C137" s="94" t="str">
        <f>IF($A137="","",VLOOKUP($A137,'Annex 2 EHV charges'!$A:$O,3,0))</f>
        <v>1030059686387
1030060990025
1030060990257
1030060990489</v>
      </c>
      <c r="D137" s="93" t="str">
        <f>IF($A137="","",VLOOKUP($A137,'Annex 2 EHV charges'!$A:$O,7,0))</f>
        <v>LU_MHO</v>
      </c>
      <c r="E137" s="173" t="str">
        <f>IFERROR(IF(VLOOKUP($A137,'Annex 2 EHV charges'!$A:$O,8,FALSE)=0,"",VLOOKUP($A137,'Annex 2 EHV charges'!$A:$O,8,FALSE)),"")</f>
        <v/>
      </c>
      <c r="F137" s="175">
        <f>IFERROR(IF(VLOOKUP($A137,'Annex 2 EHV charges'!$A:$O,9,FALSE)=0,"",VLOOKUP($A137,'Annex 2 EHV charges'!$A:$O,9,FALSE)),"")</f>
        <v>46537.919999999998</v>
      </c>
      <c r="G137" s="174">
        <f>IFERROR(IF(VLOOKUP($A137,'Annex 2 EHV charges'!$A:$O,10,FALSE)=0,"",VLOOKUP($A137,'Annex 2 EHV charges'!$A:$O,10,FALSE)),"")</f>
        <v>2.3199999999999998</v>
      </c>
      <c r="H137" s="174">
        <f>IFERROR(IF(VLOOKUP($A137,'Annex 2 EHV charges'!$A:$O,11,FALSE)=0,"",VLOOKUP($A137,'Annex 2 EHV charges'!$A:$O,11,FALSE)),"")</f>
        <v>2.3199999999999998</v>
      </c>
    </row>
    <row r="138" spans="1:8" ht="12.75" customHeight="1" x14ac:dyDescent="0.2">
      <c r="A138" s="93" t="str">
        <f t="array" ref="A138">IFERROR(INDEX('Annex 2 EHV charges'!$A$10:$A$301, MATCH(0, IF(ISBLANK('Annex 2 EHV charges'!$A$10:$A$301),1, COUNTIF(A$4:$A137, 'Annex 2 EHV charges'!$A$10:$A$301)), 0)),"")</f>
        <v>LU_NEA</v>
      </c>
      <c r="B138" s="93">
        <f>IF($A138="","",VLOOKUP($A138,'Annex 2 EHV charges'!$A:$O,2,0))</f>
        <v>431</v>
      </c>
      <c r="C138" s="94" t="str">
        <f>IF($A138="","",VLOOKUP($A138,'Annex 2 EHV charges'!$A:$O,3,0))</f>
        <v>1050000907391
1050000907407
1050000907416
1050000907443</v>
      </c>
      <c r="D138" s="93" t="str">
        <f>IF($A138="","",VLOOKUP($A138,'Annex 2 EHV charges'!$A:$O,7,0))</f>
        <v>LU_NEA</v>
      </c>
      <c r="E138" s="173" t="str">
        <f>IFERROR(IF(VLOOKUP($A138,'Annex 2 EHV charges'!$A:$O,8,FALSE)=0,"",VLOOKUP($A138,'Annex 2 EHV charges'!$A:$O,8,FALSE)),"")</f>
        <v/>
      </c>
      <c r="F138" s="175">
        <f>IFERROR(IF(VLOOKUP($A138,'Annex 2 EHV charges'!$A:$O,9,FALSE)=0,"",VLOOKUP($A138,'Annex 2 EHV charges'!$A:$O,9,FALSE)),"")</f>
        <v>49935.07</v>
      </c>
      <c r="G138" s="174">
        <f>IFERROR(IF(VLOOKUP($A138,'Annex 2 EHV charges'!$A:$O,10,FALSE)=0,"",VLOOKUP($A138,'Annex 2 EHV charges'!$A:$O,10,FALSE)),"")</f>
        <v>3.33</v>
      </c>
      <c r="H138" s="174">
        <f>IFERROR(IF(VLOOKUP($A138,'Annex 2 EHV charges'!$A:$O,11,FALSE)=0,"",VLOOKUP($A138,'Annex 2 EHV charges'!$A:$O,11,FALSE)),"")</f>
        <v>3.33</v>
      </c>
    </row>
    <row r="139" spans="1:8" ht="12.75" customHeight="1" x14ac:dyDescent="0.2">
      <c r="A139" s="93" t="str">
        <f t="array" ref="A139">IFERROR(INDEX('Annex 2 EHV charges'!$A$10:$A$301, MATCH(0, IF(ISBLANK('Annex 2 EHV charges'!$A$10:$A$301),1, COUNTIF(A$4:$A138, 'Annex 2 EHV charges'!$A$10:$A$301)), 0)),"")</f>
        <v>LWRNCE</v>
      </c>
      <c r="B139" s="93">
        <f>IF($A139="","",VLOOKUP($A139,'Annex 2 EHV charges'!$A:$O,2,0))</f>
        <v>551</v>
      </c>
      <c r="C139" s="94">
        <f>IF($A139="","",VLOOKUP($A139,'Annex 2 EHV charges'!$A:$O,3,0))</f>
        <v>1050001008645</v>
      </c>
      <c r="D139" s="93" t="str">
        <f>IF($A139="","",VLOOKUP($A139,'Annex 2 EHV charges'!$A:$O,7,0))</f>
        <v>LWRNCE</v>
      </c>
      <c r="E139" s="173">
        <f>IFERROR(IF(VLOOKUP($A139,'Annex 2 EHV charges'!$A:$O,8,FALSE)=0,"",VLOOKUP($A139,'Annex 2 EHV charges'!$A:$O,8,FALSE)),"")</f>
        <v>4.8369999999999997</v>
      </c>
      <c r="F139" s="175">
        <f>IFERROR(IF(VLOOKUP($A139,'Annex 2 EHV charges'!$A:$O,9,FALSE)=0,"",VLOOKUP($A139,'Annex 2 EHV charges'!$A:$O,9,FALSE)),"")</f>
        <v>18.02</v>
      </c>
      <c r="G139" s="174">
        <f>IFERROR(IF(VLOOKUP($A139,'Annex 2 EHV charges'!$A:$O,10,FALSE)=0,"",VLOOKUP($A139,'Annex 2 EHV charges'!$A:$O,10,FALSE)),"")</f>
        <v>2.29</v>
      </c>
      <c r="H139" s="174">
        <f>IFERROR(IF(VLOOKUP($A139,'Annex 2 EHV charges'!$A:$O,11,FALSE)=0,"",VLOOKUP($A139,'Annex 2 EHV charges'!$A:$O,11,FALSE)),"")</f>
        <v>2.29</v>
      </c>
    </row>
    <row r="140" spans="1:8" ht="12.75" customHeight="1" x14ac:dyDescent="0.2">
      <c r="A140" s="93" t="str">
        <f t="array" ref="A140">IFERROR(INDEX('Annex 2 EHV charges'!$A$10:$A$301, MATCH(0, IF(ISBLANK('Annex 2 EHV charges'!$A$10:$A$301),1, COUNTIF(A$4:$A139, 'Annex 2 EHV charges'!$A$10:$A$301)), 0)),"")</f>
        <v>LYONSH</v>
      </c>
      <c r="B140" s="93">
        <f>IF($A140="","",VLOOKUP($A140,'Annex 2 EHV charges'!$A:$O,2,0))</f>
        <v>572</v>
      </c>
      <c r="C140" s="94">
        <f>IF($A140="","",VLOOKUP($A140,'Annex 2 EHV charges'!$A:$O,3,0))</f>
        <v>1050001205345</v>
      </c>
      <c r="D140" s="93" t="str">
        <f>IF($A140="","",VLOOKUP($A140,'Annex 2 EHV charges'!$A:$O,7,0))</f>
        <v>LYONSH</v>
      </c>
      <c r="E140" s="173" t="str">
        <f>IFERROR(IF(VLOOKUP($A140,'Annex 2 EHV charges'!$A:$O,8,FALSE)=0,"",VLOOKUP($A140,'Annex 2 EHV charges'!$A:$O,8,FALSE)),"")</f>
        <v/>
      </c>
      <c r="F140" s="175">
        <f>IFERROR(IF(VLOOKUP($A140,'Annex 2 EHV charges'!$A:$O,9,FALSE)=0,"",VLOOKUP($A140,'Annex 2 EHV charges'!$A:$O,9,FALSE)),"")</f>
        <v>2.7</v>
      </c>
      <c r="G140" s="174">
        <f>IFERROR(IF(VLOOKUP($A140,'Annex 2 EHV charges'!$A:$O,10,FALSE)=0,"",VLOOKUP($A140,'Annex 2 EHV charges'!$A:$O,10,FALSE)),"")</f>
        <v>2</v>
      </c>
      <c r="H140" s="174">
        <f>IFERROR(IF(VLOOKUP($A140,'Annex 2 EHV charges'!$A:$O,11,FALSE)=0,"",VLOOKUP($A140,'Annex 2 EHV charges'!$A:$O,11,FALSE)),"")</f>
        <v>2</v>
      </c>
    </row>
    <row r="141" spans="1:8" ht="12.75" customHeight="1" x14ac:dyDescent="0.2">
      <c r="A141" s="93" t="str">
        <f t="array" ref="A141">IFERROR(INDEX('Annex 2 EHV charges'!$A$10:$A$301, MATCH(0, IF(ISBLANK('Annex 2 EHV charges'!$A$10:$A$301),1, COUNTIF(A$4:$A140, 'Annex 2 EHV charges'!$A$10:$A$301)), 0)),"")</f>
        <v>MANFRM</v>
      </c>
      <c r="B141" s="93">
        <f>IF($A141="","",VLOOKUP($A141,'Annex 2 EHV charges'!$A:$O,2,0))</f>
        <v>552</v>
      </c>
      <c r="C141" s="94">
        <f>IF($A141="","",VLOOKUP($A141,'Annex 2 EHV charges'!$A:$O,3,0))</f>
        <v>1050000961361</v>
      </c>
      <c r="D141" s="93" t="str">
        <f>IF($A141="","",VLOOKUP($A141,'Annex 2 EHV charges'!$A:$O,7,0))</f>
        <v>MANFRM</v>
      </c>
      <c r="E141" s="173">
        <f>IFERROR(IF(VLOOKUP($A141,'Annex 2 EHV charges'!$A:$O,8,FALSE)=0,"",VLOOKUP($A141,'Annex 2 EHV charges'!$A:$O,8,FALSE)),"")</f>
        <v>0.28299999999999997</v>
      </c>
      <c r="F141" s="175">
        <f>IFERROR(IF(VLOOKUP($A141,'Annex 2 EHV charges'!$A:$O,9,FALSE)=0,"",VLOOKUP($A141,'Annex 2 EHV charges'!$A:$O,9,FALSE)),"")</f>
        <v>15.74</v>
      </c>
      <c r="G141" s="174">
        <f>IFERROR(IF(VLOOKUP($A141,'Annex 2 EHV charges'!$A:$O,10,FALSE)=0,"",VLOOKUP($A141,'Annex 2 EHV charges'!$A:$O,10,FALSE)),"")</f>
        <v>5.8</v>
      </c>
      <c r="H141" s="174">
        <f>IFERROR(IF(VLOOKUP($A141,'Annex 2 EHV charges'!$A:$O,11,FALSE)=0,"",VLOOKUP($A141,'Annex 2 EHV charges'!$A:$O,11,FALSE)),"")</f>
        <v>5.8</v>
      </c>
    </row>
    <row r="142" spans="1:8" ht="12.75" customHeight="1" x14ac:dyDescent="0.2">
      <c r="A142" s="93" t="str">
        <f t="array" ref="A142">IFERROR(INDEX('Annex 2 EHV charges'!$A$10:$A$301, MATCH(0, IF(ISBLANK('Annex 2 EHV charges'!$A$10:$A$301),1, COUNTIF(A$4:$A141, 'Annex 2 EHV charges'!$A$10:$A$301)), 0)),"")</f>
        <v>MANORF</v>
      </c>
      <c r="B142" s="93">
        <f>IF($A142="","",VLOOKUP($A142,'Annex 2 EHV charges'!$A:$O,2,0))</f>
        <v>524</v>
      </c>
      <c r="C142" s="94">
        <f>IF($A142="","",VLOOKUP($A142,'Annex 2 EHV charges'!$A:$O,3,0))</f>
        <v>1050000843640</v>
      </c>
      <c r="D142" s="93" t="str">
        <f>IF($A142="","",VLOOKUP($A142,'Annex 2 EHV charges'!$A:$O,7,0))</f>
        <v>MANORF</v>
      </c>
      <c r="E142" s="173">
        <f>IFERROR(IF(VLOOKUP($A142,'Annex 2 EHV charges'!$A:$O,8,FALSE)=0,"",VLOOKUP($A142,'Annex 2 EHV charges'!$A:$O,8,FALSE)),"")</f>
        <v>1E-3</v>
      </c>
      <c r="F142" s="175">
        <f>IFERROR(IF(VLOOKUP($A142,'Annex 2 EHV charges'!$A:$O,9,FALSE)=0,"",VLOOKUP($A142,'Annex 2 EHV charges'!$A:$O,9,FALSE)),"")</f>
        <v>49.68</v>
      </c>
      <c r="G142" s="174">
        <f>IFERROR(IF(VLOOKUP($A142,'Annex 2 EHV charges'!$A:$O,10,FALSE)=0,"",VLOOKUP($A142,'Annex 2 EHV charges'!$A:$O,10,FALSE)),"")</f>
        <v>1.71</v>
      </c>
      <c r="H142" s="174">
        <f>IFERROR(IF(VLOOKUP($A142,'Annex 2 EHV charges'!$A:$O,11,FALSE)=0,"",VLOOKUP($A142,'Annex 2 EHV charges'!$A:$O,11,FALSE)),"")</f>
        <v>1.71</v>
      </c>
    </row>
    <row r="143" spans="1:8" ht="12.75" customHeight="1" x14ac:dyDescent="0.2">
      <c r="A143" s="93" t="str">
        <f t="array" ref="A143">IFERROR(INDEX('Annex 2 EHV charges'!$A$10:$A$301, MATCH(0, IF(ISBLANK('Annex 2 EHV charges'!$A$10:$A$301),1, COUNTIF(A$4:$A142, 'Annex 2 EHV charges'!$A$10:$A$301)), 0)),"")</f>
        <v>MDLWCK</v>
      </c>
      <c r="B143" s="93">
        <f>IF($A143="","",VLOOKUP($A143,'Annex 2 EHV charges'!$A:$O,2,0))</f>
        <v>892</v>
      </c>
      <c r="C143" s="94">
        <f>IF($A143="","",VLOOKUP($A143,'Annex 2 EHV charges'!$A:$O,3,0))</f>
        <v>1050000543223</v>
      </c>
      <c r="D143" s="93" t="str">
        <f>IF($A143="","",VLOOKUP($A143,'Annex 2 EHV charges'!$A:$O,7,0))</f>
        <v>MDLWCK</v>
      </c>
      <c r="E143" s="173">
        <f>IFERROR(IF(VLOOKUP($A143,'Annex 2 EHV charges'!$A:$O,8,FALSE)=0,"",VLOOKUP($A143,'Annex 2 EHV charges'!$A:$O,8,FALSE)),"")</f>
        <v>1.2999999999999999E-2</v>
      </c>
      <c r="F143" s="175">
        <f>IFERROR(IF(VLOOKUP($A143,'Annex 2 EHV charges'!$A:$O,9,FALSE)=0,"",VLOOKUP($A143,'Annex 2 EHV charges'!$A:$O,9,FALSE)),"")</f>
        <v>39.36</v>
      </c>
      <c r="G143" s="174">
        <f>IFERROR(IF(VLOOKUP($A143,'Annex 2 EHV charges'!$A:$O,10,FALSE)=0,"",VLOOKUP($A143,'Annex 2 EHV charges'!$A:$O,10,FALSE)),"")</f>
        <v>1.86</v>
      </c>
      <c r="H143" s="174">
        <f>IFERROR(IF(VLOOKUP($A143,'Annex 2 EHV charges'!$A:$O,11,FALSE)=0,"",VLOOKUP($A143,'Annex 2 EHV charges'!$A:$O,11,FALSE)),"")</f>
        <v>1.86</v>
      </c>
    </row>
    <row r="144" spans="1:8" x14ac:dyDescent="0.2">
      <c r="A144" s="93" t="str">
        <f t="array" ref="A144">IFERROR(INDEX('Annex 2 EHV charges'!$A$10:$A$301, MATCH(0, IF(ISBLANK('Annex 2 EHV charges'!$A$10:$A$301),1, COUNTIF(A$4:$A143, 'Annex 2 EHV charges'!$A$10:$A$301)), 0)),"")</f>
        <v>MDWFRM</v>
      </c>
      <c r="B144" s="93">
        <f>IF($A144="","",VLOOKUP($A144,'Annex 2 EHV charges'!$A:$O,2,0))</f>
        <v>891</v>
      </c>
      <c r="C144" s="94">
        <f>IF($A144="","",VLOOKUP($A144,'Annex 2 EHV charges'!$A:$O,3,0))</f>
        <v>1050000589956</v>
      </c>
      <c r="D144" s="93" t="str">
        <f>IF($A144="","",VLOOKUP($A144,'Annex 2 EHV charges'!$A:$O,7,0))</f>
        <v>MDWFRM</v>
      </c>
      <c r="E144" s="173" t="str">
        <f>IFERROR(IF(VLOOKUP($A144,'Annex 2 EHV charges'!$A:$O,8,FALSE)=0,"",VLOOKUP($A144,'Annex 2 EHV charges'!$A:$O,8,FALSE)),"")</f>
        <v/>
      </c>
      <c r="F144" s="175">
        <f>IFERROR(IF(VLOOKUP($A144,'Annex 2 EHV charges'!$A:$O,9,FALSE)=0,"",VLOOKUP($A144,'Annex 2 EHV charges'!$A:$O,9,FALSE)),"")</f>
        <v>3.59</v>
      </c>
      <c r="G144" s="174">
        <f>IFERROR(IF(VLOOKUP($A144,'Annex 2 EHV charges'!$A:$O,10,FALSE)=0,"",VLOOKUP($A144,'Annex 2 EHV charges'!$A:$O,10,FALSE)),"")</f>
        <v>2.8</v>
      </c>
      <c r="H144" s="174">
        <f>IFERROR(IF(VLOOKUP($A144,'Annex 2 EHV charges'!$A:$O,11,FALSE)=0,"",VLOOKUP($A144,'Annex 2 EHV charges'!$A:$O,11,FALSE)),"")</f>
        <v>2.8</v>
      </c>
    </row>
    <row r="145" spans="1:8" x14ac:dyDescent="0.2">
      <c r="A145" s="93" t="str">
        <f t="array" ref="A145">IFERROR(INDEX('Annex 2 EHV charges'!$A$10:$A$301, MATCH(0, IF(ISBLANK('Annex 2 EHV charges'!$A$10:$A$301),1, COUNTIF(A$4:$A144, 'Annex 2 EHV charges'!$A$10:$A$301)), 0)),"")</f>
        <v>MELBRN</v>
      </c>
      <c r="B145" s="93">
        <f>IF($A145="","",VLOOKUP($A145,'Annex 2 EHV charges'!$A:$O,2,0))</f>
        <v>537</v>
      </c>
      <c r="C145" s="94">
        <f>IF($A145="","",VLOOKUP($A145,'Annex 2 EHV charges'!$A:$O,3,0))</f>
        <v>1050000810928</v>
      </c>
      <c r="D145" s="93" t="str">
        <f>IF($A145="","",VLOOKUP($A145,'Annex 2 EHV charges'!$A:$O,7,0))</f>
        <v>MELBRN</v>
      </c>
      <c r="E145" s="173" t="str">
        <f>IFERROR(IF(VLOOKUP($A145,'Annex 2 EHV charges'!$A:$O,8,FALSE)=0,"",VLOOKUP($A145,'Annex 2 EHV charges'!$A:$O,8,FALSE)),"")</f>
        <v/>
      </c>
      <c r="F145" s="175">
        <f>IFERROR(IF(VLOOKUP($A145,'Annex 2 EHV charges'!$A:$O,9,FALSE)=0,"",VLOOKUP($A145,'Annex 2 EHV charges'!$A:$O,9,FALSE)),"")</f>
        <v>8.77</v>
      </c>
      <c r="G145" s="174">
        <f>IFERROR(IF(VLOOKUP($A145,'Annex 2 EHV charges'!$A:$O,10,FALSE)=0,"",VLOOKUP($A145,'Annex 2 EHV charges'!$A:$O,10,FALSE)),"")</f>
        <v>2.1</v>
      </c>
      <c r="H145" s="174">
        <f>IFERROR(IF(VLOOKUP($A145,'Annex 2 EHV charges'!$A:$O,11,FALSE)=0,"",VLOOKUP($A145,'Annex 2 EHV charges'!$A:$O,11,FALSE)),"")</f>
        <v>2.1</v>
      </c>
    </row>
    <row r="146" spans="1:8" x14ac:dyDescent="0.2">
      <c r="A146" s="93" t="str">
        <f t="array" ref="A146">IFERROR(INDEX('Annex 2 EHV charges'!$A$10:$A$301, MATCH(0, IF(ISBLANK('Annex 2 EHV charges'!$A$10:$A$301),1, COUNTIF(A$4:$A145, 'Annex 2 EHV charges'!$A$10:$A$301)), 0)),"")</f>
        <v>MILLDR</v>
      </c>
      <c r="B146" s="93">
        <f>IF($A146="","",VLOOKUP($A146,'Annex 2 EHV charges'!$A:$O,2,0))</f>
        <v>573</v>
      </c>
      <c r="C146" s="94">
        <f>IF($A146="","",VLOOKUP($A146,'Annex 2 EHV charges'!$A:$O,3,0))</f>
        <v>1050001197855</v>
      </c>
      <c r="D146" s="93" t="str">
        <f>IF($A146="","",VLOOKUP($A146,'Annex 2 EHV charges'!$A:$O,7,0))</f>
        <v>MILLDR</v>
      </c>
      <c r="E146" s="173" t="str">
        <f>IFERROR(IF(VLOOKUP($A146,'Annex 2 EHV charges'!$A:$O,8,FALSE)=0,"",VLOOKUP($A146,'Annex 2 EHV charges'!$A:$O,8,FALSE)),"")</f>
        <v/>
      </c>
      <c r="F146" s="175">
        <f>IFERROR(IF(VLOOKUP($A146,'Annex 2 EHV charges'!$A:$O,9,FALSE)=0,"",VLOOKUP($A146,'Annex 2 EHV charges'!$A:$O,9,FALSE)),"")</f>
        <v>15.23</v>
      </c>
      <c r="G146" s="174">
        <f>IFERROR(IF(VLOOKUP($A146,'Annex 2 EHV charges'!$A:$O,10,FALSE)=0,"",VLOOKUP($A146,'Annex 2 EHV charges'!$A:$O,10,FALSE)),"")</f>
        <v>1.49</v>
      </c>
      <c r="H146" s="174">
        <f>IFERROR(IF(VLOOKUP($A146,'Annex 2 EHV charges'!$A:$O,11,FALSE)=0,"",VLOOKUP($A146,'Annex 2 EHV charges'!$A:$O,11,FALSE)),"")</f>
        <v>1.49</v>
      </c>
    </row>
    <row r="147" spans="1:8" x14ac:dyDescent="0.2">
      <c r="A147" s="93" t="str">
        <f t="array" ref="A147">IFERROR(INDEX('Annex 2 EHV charges'!$A$10:$A$301, MATCH(0, IF(ISBLANK('Annex 2 EHV charges'!$A$10:$A$301),1, COUNTIF(A$4:$A146, 'Annex 2 EHV charges'!$A$10:$A$301)), 0)),"")</f>
        <v>MILLFM</v>
      </c>
      <c r="B147" s="93">
        <f>IF($A147="","",VLOOKUP($A147,'Annex 2 EHV charges'!$A:$O,2,0))</f>
        <v>574</v>
      </c>
      <c r="C147" s="94">
        <f>IF($A147="","",VLOOKUP($A147,'Annex 2 EHV charges'!$A:$O,3,0))</f>
        <v>1050001261465</v>
      </c>
      <c r="D147" s="93" t="str">
        <f>IF($A147="","",VLOOKUP($A147,'Annex 2 EHV charges'!$A:$O,7,0))</f>
        <v>MILLFM</v>
      </c>
      <c r="E147" s="173">
        <f>IFERROR(IF(VLOOKUP($A147,'Annex 2 EHV charges'!$A:$O,8,FALSE)=0,"",VLOOKUP($A147,'Annex 2 EHV charges'!$A:$O,8,FALSE)),"")</f>
        <v>3.7989999999999999</v>
      </c>
      <c r="F147" s="175">
        <f>IFERROR(IF(VLOOKUP($A147,'Annex 2 EHV charges'!$A:$O,9,FALSE)=0,"",VLOOKUP($A147,'Annex 2 EHV charges'!$A:$O,9,FALSE)),"")</f>
        <v>13.31</v>
      </c>
      <c r="G147" s="174">
        <f>IFERROR(IF(VLOOKUP($A147,'Annex 2 EHV charges'!$A:$O,10,FALSE)=0,"",VLOOKUP($A147,'Annex 2 EHV charges'!$A:$O,10,FALSE)),"")</f>
        <v>2.5499999999999998</v>
      </c>
      <c r="H147" s="174">
        <f>IFERROR(IF(VLOOKUP($A147,'Annex 2 EHV charges'!$A:$O,11,FALSE)=0,"",VLOOKUP($A147,'Annex 2 EHV charges'!$A:$O,11,FALSE)),"")</f>
        <v>2.5499999999999998</v>
      </c>
    </row>
    <row r="148" spans="1:8" x14ac:dyDescent="0.2">
      <c r="A148" s="93" t="str">
        <f t="array" ref="A148">IFERROR(INDEX('Annex 2 EHV charges'!$A$10:$A$301, MATCH(0, IF(ISBLANK('Annex 2 EHV charges'!$A$10:$A$301),1, COUNTIF(A$4:$A147, 'Annex 2 EHV charges'!$A$10:$A$301)), 0)),"")</f>
        <v>MINGAY</v>
      </c>
      <c r="B148" s="93">
        <f>IF($A148="","",VLOOKUP($A148,'Annex 2 EHV charges'!$A:$O,2,0))</f>
        <v>893</v>
      </c>
      <c r="C148" s="94">
        <f>IF($A148="","",VLOOKUP($A148,'Annex 2 EHV charges'!$A:$O,3,0))</f>
        <v>1050000574667</v>
      </c>
      <c r="D148" s="93" t="str">
        <f>IF($A148="","",VLOOKUP($A148,'Annex 2 EHV charges'!$A:$O,7,0))</f>
        <v>MINGAY</v>
      </c>
      <c r="E148" s="173" t="str">
        <f>IFERROR(IF(VLOOKUP($A148,'Annex 2 EHV charges'!$A:$O,8,FALSE)=0,"",VLOOKUP($A148,'Annex 2 EHV charges'!$A:$O,8,FALSE)),"")</f>
        <v/>
      </c>
      <c r="F148" s="175">
        <f>IFERROR(IF(VLOOKUP($A148,'Annex 2 EHV charges'!$A:$O,9,FALSE)=0,"",VLOOKUP($A148,'Annex 2 EHV charges'!$A:$O,9,FALSE)),"")</f>
        <v>3.57</v>
      </c>
      <c r="G148" s="174">
        <f>IFERROR(IF(VLOOKUP($A148,'Annex 2 EHV charges'!$A:$O,10,FALSE)=0,"",VLOOKUP($A148,'Annex 2 EHV charges'!$A:$O,10,FALSE)),"")</f>
        <v>2.73</v>
      </c>
      <c r="H148" s="174">
        <f>IFERROR(IF(VLOOKUP($A148,'Annex 2 EHV charges'!$A:$O,11,FALSE)=0,"",VLOOKUP($A148,'Annex 2 EHV charges'!$A:$O,11,FALSE)),"")</f>
        <v>2.73</v>
      </c>
    </row>
    <row r="149" spans="1:8" x14ac:dyDescent="0.2">
      <c r="A149" s="93" t="str">
        <f t="array" ref="A149">IFERROR(INDEX('Annex 2 EHV charges'!$A$10:$A$301, MATCH(0, IF(ISBLANK('Annex 2 EHV charges'!$A$10:$A$301),1, COUNTIF(A$4:$A148, 'Annex 2 EHV charges'!$A$10:$A$301)), 0)),"")</f>
        <v>MLLFLD</v>
      </c>
      <c r="B149" s="93">
        <f>IF($A149="","",VLOOKUP($A149,'Annex 2 EHV charges'!$A:$O,2,0))</f>
        <v>314</v>
      </c>
      <c r="C149" s="94">
        <f>IF($A149="","",VLOOKUP($A149,'Annex 2 EHV charges'!$A:$O,3,0))</f>
        <v>1050001060050</v>
      </c>
      <c r="D149" s="93" t="str">
        <f>IF($A149="","",VLOOKUP($A149,'Annex 2 EHV charges'!$A:$O,7,0))</f>
        <v>MLLFLD</v>
      </c>
      <c r="E149" s="173">
        <f>IFERROR(IF(VLOOKUP($A149,'Annex 2 EHV charges'!$A:$O,8,FALSE)=0,"",VLOOKUP($A149,'Annex 2 EHV charges'!$A:$O,8,FALSE)),"")</f>
        <v>0.253</v>
      </c>
      <c r="F149" s="175">
        <f>IFERROR(IF(VLOOKUP($A149,'Annex 2 EHV charges'!$A:$O,9,FALSE)=0,"",VLOOKUP($A149,'Annex 2 EHV charges'!$A:$O,9,FALSE)),"")</f>
        <v>2.4900000000000002</v>
      </c>
      <c r="G149" s="174">
        <f>IFERROR(IF(VLOOKUP($A149,'Annex 2 EHV charges'!$A:$O,10,FALSE)=0,"",VLOOKUP($A149,'Annex 2 EHV charges'!$A:$O,10,FALSE)),"")</f>
        <v>2.48</v>
      </c>
      <c r="H149" s="174">
        <f>IFERROR(IF(VLOOKUP($A149,'Annex 2 EHV charges'!$A:$O,11,FALSE)=0,"",VLOOKUP($A149,'Annex 2 EHV charges'!$A:$O,11,FALSE)),"")</f>
        <v>2.48</v>
      </c>
    </row>
    <row r="150" spans="1:8" x14ac:dyDescent="0.2">
      <c r="A150" s="93" t="str">
        <f t="array" ref="A150">IFERROR(INDEX('Annex 2 EHV charges'!$A$10:$A$301, MATCH(0, IF(ISBLANK('Annex 2 EHV charges'!$A$10:$A$301),1, COUNTIF(A$4:$A149, 'Annex 2 EHV charges'!$A$10:$A$301)), 0)),"")</f>
        <v>MLVLCM</v>
      </c>
      <c r="B150" s="93">
        <f>IF($A150="","",VLOOKUP($A150,'Annex 2 EHV charges'!$A:$O,2,0))</f>
        <v>484</v>
      </c>
      <c r="C150" s="94">
        <f>IF($A150="","",VLOOKUP($A150,'Annex 2 EHV charges'!$A:$O,3,0))</f>
        <v>1030062915127</v>
      </c>
      <c r="D150" s="93" t="str">
        <f>IF($A150="","",VLOOKUP($A150,'Annex 2 EHV charges'!$A:$O,7,0))</f>
        <v>MLVLCM</v>
      </c>
      <c r="E150" s="173">
        <f>IFERROR(IF(VLOOKUP($A150,'Annex 2 EHV charges'!$A:$O,8,FALSE)=0,"",VLOOKUP($A150,'Annex 2 EHV charges'!$A:$O,8,FALSE)),"")</f>
        <v>4.1000000000000002E-2</v>
      </c>
      <c r="F150" s="175">
        <f>IFERROR(IF(VLOOKUP($A150,'Annex 2 EHV charges'!$A:$O,9,FALSE)=0,"",VLOOKUP($A150,'Annex 2 EHV charges'!$A:$O,9,FALSE)),"")</f>
        <v>89.93</v>
      </c>
      <c r="G150" s="174">
        <f>IFERROR(IF(VLOOKUP($A150,'Annex 2 EHV charges'!$A:$O,10,FALSE)=0,"",VLOOKUP($A150,'Annex 2 EHV charges'!$A:$O,10,FALSE)),"")</f>
        <v>1.21</v>
      </c>
      <c r="H150" s="174">
        <f>IFERROR(IF(VLOOKUP($A150,'Annex 2 EHV charges'!$A:$O,11,FALSE)=0,"",VLOOKUP($A150,'Annex 2 EHV charges'!$A:$O,11,FALSE)),"")</f>
        <v>1.21</v>
      </c>
    </row>
    <row r="151" spans="1:8" ht="25.5" x14ac:dyDescent="0.2">
      <c r="A151" s="93" t="str">
        <f t="array" ref="A151">IFERROR(INDEX('Annex 2 EHV charges'!$A$10:$A$301, MATCH(0, IF(ISBLANK('Annex 2 EHV charges'!$A$10:$A$301),1, COUNTIF(A$4:$A150, 'Annex 2 EHV charges'!$A$10:$A$301)), 0)),"")</f>
        <v>MNBRNZ</v>
      </c>
      <c r="B151" s="93">
        <f>IF($A151="","",VLOOKUP($A151,'Annex 2 EHV charges'!$A:$O,2,0))</f>
        <v>485</v>
      </c>
      <c r="C151" s="94" t="str">
        <f>IF($A151="","",VLOOKUP($A151,'Annex 2 EHV charges'!$A:$O,3,0))</f>
        <v>1014572268249
1023498487971</v>
      </c>
      <c r="D151" s="93" t="str">
        <f>IF($A151="","",VLOOKUP($A151,'Annex 2 EHV charges'!$A:$O,7,0))</f>
        <v>MNBRNZ</v>
      </c>
      <c r="E151" s="173" t="str">
        <f>IFERROR(IF(VLOOKUP($A151,'Annex 2 EHV charges'!$A:$O,8,FALSE)=0,"",VLOOKUP($A151,'Annex 2 EHV charges'!$A:$O,8,FALSE)),"")</f>
        <v/>
      </c>
      <c r="F151" s="175">
        <f>IFERROR(IF(VLOOKUP($A151,'Annex 2 EHV charges'!$A:$O,9,FALSE)=0,"",VLOOKUP($A151,'Annex 2 EHV charges'!$A:$O,9,FALSE)),"")</f>
        <v>1289.29</v>
      </c>
      <c r="G151" s="174">
        <f>IFERROR(IF(VLOOKUP($A151,'Annex 2 EHV charges'!$A:$O,10,FALSE)=0,"",VLOOKUP($A151,'Annex 2 EHV charges'!$A:$O,10,FALSE)),"")</f>
        <v>2.82</v>
      </c>
      <c r="H151" s="174">
        <f>IFERROR(IF(VLOOKUP($A151,'Annex 2 EHV charges'!$A:$O,11,FALSE)=0,"",VLOOKUP($A151,'Annex 2 EHV charges'!$A:$O,11,FALSE)),"")</f>
        <v>2.82</v>
      </c>
    </row>
    <row r="152" spans="1:8" x14ac:dyDescent="0.2">
      <c r="A152" s="93" t="str">
        <f t="array" ref="A152">IFERROR(INDEX('Annex 2 EHV charges'!$A$10:$A$301, MATCH(0, IF(ISBLANK('Annex 2 EHV charges'!$A$10:$A$301),1, COUNTIF(A$4:$A151, 'Annex 2 EHV charges'!$A$10:$A$301)), 0)),"")</f>
        <v>MOWLEM</v>
      </c>
      <c r="B152" s="93">
        <f>IF($A152="","",VLOOKUP($A152,'Annex 2 EHV charges'!$A:$O,2,0))</f>
        <v>575</v>
      </c>
      <c r="C152" s="94">
        <f>IF($A152="","",VLOOKUP($A152,'Annex 2 EHV charges'!$A:$O,3,0))</f>
        <v>1050001054233</v>
      </c>
      <c r="D152" s="93" t="str">
        <f>IF($A152="","",VLOOKUP($A152,'Annex 2 EHV charges'!$A:$O,7,0))</f>
        <v>MOWLEM</v>
      </c>
      <c r="E152" s="173" t="str">
        <f>IFERROR(IF(VLOOKUP($A152,'Annex 2 EHV charges'!$A:$O,8,FALSE)=0,"",VLOOKUP($A152,'Annex 2 EHV charges'!$A:$O,8,FALSE)),"")</f>
        <v/>
      </c>
      <c r="F152" s="175">
        <f>IFERROR(IF(VLOOKUP($A152,'Annex 2 EHV charges'!$A:$O,9,FALSE)=0,"",VLOOKUP($A152,'Annex 2 EHV charges'!$A:$O,9,FALSE)),"")</f>
        <v>23.33</v>
      </c>
      <c r="G152" s="174">
        <f>IFERROR(IF(VLOOKUP($A152,'Annex 2 EHV charges'!$A:$O,10,FALSE)=0,"",VLOOKUP($A152,'Annex 2 EHV charges'!$A:$O,10,FALSE)),"")</f>
        <v>1.25</v>
      </c>
      <c r="H152" s="174">
        <f>IFERROR(IF(VLOOKUP($A152,'Annex 2 EHV charges'!$A:$O,11,FALSE)=0,"",VLOOKUP($A152,'Annex 2 EHV charges'!$A:$O,11,FALSE)),"")</f>
        <v>1.25</v>
      </c>
    </row>
    <row r="153" spans="1:8" ht="25.5" x14ac:dyDescent="0.2">
      <c r="A153" s="93" t="str">
        <f t="array" ref="A153">IFERROR(INDEX('Annex 2 EHV charges'!$A$10:$A$301, MATCH(0, IF(ISBLANK('Annex 2 EHV charges'!$A$10:$A$301),1, COUNTIF(A$4:$A152, 'Annex 2 EHV charges'!$A$10:$A$301)), 0)),"")</f>
        <v>MSDHOD</v>
      </c>
      <c r="B153" s="93">
        <f>IF($A153="","",VLOOKUP($A153,'Annex 2 EHV charges'!$A:$O,2,0))</f>
        <v>828</v>
      </c>
      <c r="C153" s="94" t="str">
        <f>IF($A153="","",VLOOKUP($A153,'Annex 2 EHV charges'!$A:$O,3,0))</f>
        <v>1023533706269
1023533706490</v>
      </c>
      <c r="D153" s="93" t="str">
        <f>IF($A153="","",VLOOKUP($A153,'Annex 2 EHV charges'!$A:$O,7,0))</f>
        <v>MSDHOD</v>
      </c>
      <c r="E153" s="173" t="str">
        <f>IFERROR(IF(VLOOKUP($A153,'Annex 2 EHV charges'!$A:$O,8,FALSE)=0,"",VLOOKUP($A153,'Annex 2 EHV charges'!$A:$O,8,FALSE)),"")</f>
        <v/>
      </c>
      <c r="F153" s="175">
        <f>IFERROR(IF(VLOOKUP($A153,'Annex 2 EHV charges'!$A:$O,9,FALSE)=0,"",VLOOKUP($A153,'Annex 2 EHV charges'!$A:$O,9,FALSE)),"")</f>
        <v>3332.61</v>
      </c>
      <c r="G153" s="174">
        <f>IFERROR(IF(VLOOKUP($A153,'Annex 2 EHV charges'!$A:$O,10,FALSE)=0,"",VLOOKUP($A153,'Annex 2 EHV charges'!$A:$O,10,FALSE)),"")</f>
        <v>3.25</v>
      </c>
      <c r="H153" s="174">
        <f>IFERROR(IF(VLOOKUP($A153,'Annex 2 EHV charges'!$A:$O,11,FALSE)=0,"",VLOOKUP($A153,'Annex 2 EHV charges'!$A:$O,11,FALSE)),"")</f>
        <v>3.25</v>
      </c>
    </row>
    <row r="154" spans="1:8" x14ac:dyDescent="0.2">
      <c r="A154" s="93" t="str">
        <f t="array" ref="A154">IFERROR(INDEX('Annex 2 EHV charges'!$A$10:$A$301, MATCH(0, IF(ISBLANK('Annex 2 EHV charges'!$A$10:$A$301),1, COUNTIF(A$4:$A153, 'Annex 2 EHV charges'!$A$10:$A$301)), 0)),"")</f>
        <v>NEVEDN</v>
      </c>
      <c r="B154" s="93">
        <f>IF($A154="","",VLOOKUP($A154,'Annex 2 EHV charges'!$A:$O,2,0))</f>
        <v>315</v>
      </c>
      <c r="C154" s="94">
        <f>IF($A154="","",VLOOKUP($A154,'Annex 2 EHV charges'!$A:$O,3,0))</f>
        <v>1050001507449</v>
      </c>
      <c r="D154" s="93" t="str">
        <f>IF($A154="","",VLOOKUP($A154,'Annex 2 EHV charges'!$A:$O,7,0))</f>
        <v>NEVEDN</v>
      </c>
      <c r="E154" s="173">
        <f>IFERROR(IF(VLOOKUP($A154,'Annex 2 EHV charges'!$A:$O,8,FALSE)=0,"",VLOOKUP($A154,'Annex 2 EHV charges'!$A:$O,8,FALSE)),"")</f>
        <v>0.4</v>
      </c>
      <c r="F154" s="175">
        <f>IFERROR(IF(VLOOKUP($A154,'Annex 2 EHV charges'!$A:$O,9,FALSE)=0,"",VLOOKUP($A154,'Annex 2 EHV charges'!$A:$O,9,FALSE)),"")</f>
        <v>439.07</v>
      </c>
      <c r="G154" s="174">
        <f>IFERROR(IF(VLOOKUP($A154,'Annex 2 EHV charges'!$A:$O,10,FALSE)=0,"",VLOOKUP($A154,'Annex 2 EHV charges'!$A:$O,10,FALSE)),"")</f>
        <v>1.99</v>
      </c>
      <c r="H154" s="174">
        <f>IFERROR(IF(VLOOKUP($A154,'Annex 2 EHV charges'!$A:$O,11,FALSE)=0,"",VLOOKUP($A154,'Annex 2 EHV charges'!$A:$O,11,FALSE)),"")</f>
        <v>1.99</v>
      </c>
    </row>
    <row r="155" spans="1:8" x14ac:dyDescent="0.2">
      <c r="A155" s="93" t="str">
        <f t="array" ref="A155">IFERROR(INDEX('Annex 2 EHV charges'!$A$10:$A$301, MATCH(0, IF(ISBLANK('Annex 2 EHV charges'!$A$10:$A$301),1, COUNTIF(A$4:$A154, 'Annex 2 EHV charges'!$A$10:$A$301)), 0)),"")</f>
        <v>NEWHOL</v>
      </c>
      <c r="B155" s="93">
        <f>IF($A155="","",VLOOKUP($A155,'Annex 2 EHV charges'!$A:$O,2,0))</f>
        <v>807</v>
      </c>
      <c r="C155" s="94">
        <f>IF($A155="","",VLOOKUP($A155,'Annex 2 EHV charges'!$A:$O,3,0))</f>
        <v>1014569560220</v>
      </c>
      <c r="D155" s="93" t="str">
        <f>IF($A155="","",VLOOKUP($A155,'Annex 2 EHV charges'!$A:$O,7,0))</f>
        <v>NEWHOL</v>
      </c>
      <c r="E155" s="173">
        <f>IFERROR(IF(VLOOKUP($A155,'Annex 2 EHV charges'!$A:$O,8,FALSE)=0,"",VLOOKUP($A155,'Annex 2 EHV charges'!$A:$O,8,FALSE)),"")</f>
        <v>0.39900000000000002</v>
      </c>
      <c r="F155" s="175">
        <f>IFERROR(IF(VLOOKUP($A155,'Annex 2 EHV charges'!$A:$O,9,FALSE)=0,"",VLOOKUP($A155,'Annex 2 EHV charges'!$A:$O,9,FALSE)),"")</f>
        <v>4688.7700000000004</v>
      </c>
      <c r="G155" s="174">
        <f>IFERROR(IF(VLOOKUP($A155,'Annex 2 EHV charges'!$A:$O,10,FALSE)=0,"",VLOOKUP($A155,'Annex 2 EHV charges'!$A:$O,10,FALSE)),"")</f>
        <v>2.27</v>
      </c>
      <c r="H155" s="174">
        <f>IFERROR(IF(VLOOKUP($A155,'Annex 2 EHV charges'!$A:$O,11,FALSE)=0,"",VLOOKUP($A155,'Annex 2 EHV charges'!$A:$O,11,FALSE)),"")</f>
        <v>2.27</v>
      </c>
    </row>
    <row r="156" spans="1:8" ht="51" x14ac:dyDescent="0.2">
      <c r="A156" s="93" t="str">
        <f t="array" ref="A156">IFERROR(INDEX('Annex 2 EHV charges'!$A$10:$A$301, MATCH(0, IF(ISBLANK('Annex 2 EHV charges'!$A$10:$A$301),1, COUNTIF(A$4:$A155, 'Annex 2 EHV charges'!$A$10:$A$301)), 0)),"")</f>
        <v>NEWSIL</v>
      </c>
      <c r="B156" s="93">
        <f>IF($A156="","",VLOOKUP($A156,'Annex 2 EHV charges'!$A:$O,2,0))</f>
        <v>829</v>
      </c>
      <c r="C156" s="94" t="str">
        <f>IF($A156="","",VLOOKUP($A156,'Annex 2 EHV charges'!$A:$O,3,0))</f>
        <v>1030022814396
1030022814856
1030022815089
1030022814624</v>
      </c>
      <c r="D156" s="93" t="str">
        <f>IF($A156="","",VLOOKUP($A156,'Annex 2 EHV charges'!$A:$O,7,0))</f>
        <v>NEWSIL</v>
      </c>
      <c r="E156" s="173" t="str">
        <f>IFERROR(IF(VLOOKUP($A156,'Annex 2 EHV charges'!$A:$O,8,FALSE)=0,"",VLOOKUP($A156,'Annex 2 EHV charges'!$A:$O,8,FALSE)),"")</f>
        <v/>
      </c>
      <c r="F156" s="175">
        <f>IFERROR(IF(VLOOKUP($A156,'Annex 2 EHV charges'!$A:$O,9,FALSE)=0,"",VLOOKUP($A156,'Annex 2 EHV charges'!$A:$O,9,FALSE)),"")</f>
        <v>359.71</v>
      </c>
      <c r="G156" s="174">
        <f>IFERROR(IF(VLOOKUP($A156,'Annex 2 EHV charges'!$A:$O,10,FALSE)=0,"",VLOOKUP($A156,'Annex 2 EHV charges'!$A:$O,10,FALSE)),"")</f>
        <v>1.7</v>
      </c>
      <c r="H156" s="174">
        <f>IFERROR(IF(VLOOKUP($A156,'Annex 2 EHV charges'!$A:$O,11,FALSE)=0,"",VLOOKUP($A156,'Annex 2 EHV charges'!$A:$O,11,FALSE)),"")</f>
        <v>1.7</v>
      </c>
    </row>
    <row r="157" spans="1:8" x14ac:dyDescent="0.2">
      <c r="A157" s="93" t="str">
        <f t="array" ref="A157">IFERROR(INDEX('Annex 2 EHV charges'!$A$10:$A$301, MATCH(0, IF(ISBLANK('Annex 2 EHV charges'!$A$10:$A$301),1, COUNTIF(A$4:$A156, 'Annex 2 EHV charges'!$A$10:$A$301)), 0)),"")</f>
        <v>NEWTON</v>
      </c>
      <c r="B157" s="93">
        <f>IF($A157="","",VLOOKUP($A157,'Annex 2 EHV charges'!$A:$O,2,0))</f>
        <v>553</v>
      </c>
      <c r="C157" s="94">
        <f>IF($A157="","",VLOOKUP($A157,'Annex 2 EHV charges'!$A:$O,3,0))</f>
        <v>1050001042238</v>
      </c>
      <c r="D157" s="93" t="str">
        <f>IF($A157="","",VLOOKUP($A157,'Annex 2 EHV charges'!$A:$O,7,0))</f>
        <v>NEWTON</v>
      </c>
      <c r="E157" s="173">
        <f>IFERROR(IF(VLOOKUP($A157,'Annex 2 EHV charges'!$A:$O,8,FALSE)=0,"",VLOOKUP($A157,'Annex 2 EHV charges'!$A:$O,8,FALSE)),"")</f>
        <v>7.0999999999999994E-2</v>
      </c>
      <c r="F157" s="175">
        <f>IFERROR(IF(VLOOKUP($A157,'Annex 2 EHV charges'!$A:$O,9,FALSE)=0,"",VLOOKUP($A157,'Annex 2 EHV charges'!$A:$O,9,FALSE)),"")</f>
        <v>1.49</v>
      </c>
      <c r="G157" s="174">
        <f>IFERROR(IF(VLOOKUP($A157,'Annex 2 EHV charges'!$A:$O,10,FALSE)=0,"",VLOOKUP($A157,'Annex 2 EHV charges'!$A:$O,10,FALSE)),"")</f>
        <v>3.15</v>
      </c>
      <c r="H157" s="174">
        <f>IFERROR(IF(VLOOKUP($A157,'Annex 2 EHV charges'!$A:$O,11,FALSE)=0,"",VLOOKUP($A157,'Annex 2 EHV charges'!$A:$O,11,FALSE)),"")</f>
        <v>3.15</v>
      </c>
    </row>
    <row r="158" spans="1:8" x14ac:dyDescent="0.2">
      <c r="A158" s="93" t="str">
        <f t="array" ref="A158">IFERROR(INDEX('Annex 2 EHV charges'!$A$10:$A$301, MATCH(0, IF(ISBLANK('Annex 2 EHV charges'!$A$10:$A$301),1, COUNTIF(A$4:$A157, 'Annex 2 EHV charges'!$A$10:$A$301)), 0)),"")</f>
        <v>NNFKSF</v>
      </c>
      <c r="B158" s="93">
        <f>IF($A158="","",VLOOKUP($A158,'Annex 2 EHV charges'!$A:$O,2,0))</f>
        <v>894</v>
      </c>
      <c r="C158" s="94">
        <f>IF($A158="","",VLOOKUP($A158,'Annex 2 EHV charges'!$A:$O,3,0))</f>
        <v>1050000599909</v>
      </c>
      <c r="D158" s="93" t="str">
        <f>IF($A158="","",VLOOKUP($A158,'Annex 2 EHV charges'!$A:$O,7,0))</f>
        <v>NNFKSF</v>
      </c>
      <c r="E158" s="173">
        <f>IFERROR(IF(VLOOKUP($A158,'Annex 2 EHV charges'!$A:$O,8,FALSE)=0,"",VLOOKUP($A158,'Annex 2 EHV charges'!$A:$O,8,FALSE)),"")</f>
        <v>2.5000000000000001E-2</v>
      </c>
      <c r="F158" s="175">
        <f>IFERROR(IF(VLOOKUP($A158,'Annex 2 EHV charges'!$A:$O,9,FALSE)=0,"",VLOOKUP($A158,'Annex 2 EHV charges'!$A:$O,9,FALSE)),"")</f>
        <v>6.75</v>
      </c>
      <c r="G158" s="174">
        <f>IFERROR(IF(VLOOKUP($A158,'Annex 2 EHV charges'!$A:$O,10,FALSE)=0,"",VLOOKUP($A158,'Annex 2 EHV charges'!$A:$O,10,FALSE)),"")</f>
        <v>17.22</v>
      </c>
      <c r="H158" s="174">
        <f>IFERROR(IF(VLOOKUP($A158,'Annex 2 EHV charges'!$A:$O,11,FALSE)=0,"",VLOOKUP($A158,'Annex 2 EHV charges'!$A:$O,11,FALSE)),"")</f>
        <v>17.22</v>
      </c>
    </row>
    <row r="159" spans="1:8" x14ac:dyDescent="0.2">
      <c r="A159" s="93" t="str">
        <f t="array" ref="A159">IFERROR(INDEX('Annex 2 EHV charges'!$A$10:$A$301, MATCH(0, IF(ISBLANK('Annex 2 EHV charges'!$A$10:$A$301),1, COUNTIF(A$4:$A158, 'Annex 2 EHV charges'!$A$10:$A$301)), 0)),"")</f>
        <v>NR_BAS</v>
      </c>
      <c r="B159" s="93">
        <f>IF($A159="","",VLOOKUP($A159,'Annex 2 EHV charges'!$A:$O,2,0))</f>
        <v>840</v>
      </c>
      <c r="C159" s="94">
        <f>IF($A159="","",VLOOKUP($A159,'Annex 2 EHV charges'!$A:$O,3,0))</f>
        <v>1023478020044</v>
      </c>
      <c r="D159" s="93" t="str">
        <f>IF($A159="","",VLOOKUP($A159,'Annex 2 EHV charges'!$A:$O,7,0))</f>
        <v>NR_BAS</v>
      </c>
      <c r="E159" s="173" t="str">
        <f>IFERROR(IF(VLOOKUP($A159,'Annex 2 EHV charges'!$A:$O,8,FALSE)=0,"",VLOOKUP($A159,'Annex 2 EHV charges'!$A:$O,8,FALSE)),"")</f>
        <v/>
      </c>
      <c r="F159" s="175">
        <f>IFERROR(IF(VLOOKUP($A159,'Annex 2 EHV charges'!$A:$O,9,FALSE)=0,"",VLOOKUP($A159,'Annex 2 EHV charges'!$A:$O,9,FALSE)),"")</f>
        <v>6927.63</v>
      </c>
      <c r="G159" s="174">
        <f>IFERROR(IF(VLOOKUP($A159,'Annex 2 EHV charges'!$A:$O,10,FALSE)=0,"",VLOOKUP($A159,'Annex 2 EHV charges'!$A:$O,10,FALSE)),"")</f>
        <v>3.52</v>
      </c>
      <c r="H159" s="174">
        <f>IFERROR(IF(VLOOKUP($A159,'Annex 2 EHV charges'!$A:$O,11,FALSE)=0,"",VLOOKUP($A159,'Annex 2 EHV charges'!$A:$O,11,FALSE)),"")</f>
        <v>3.52</v>
      </c>
    </row>
    <row r="160" spans="1:8" ht="25.5" x14ac:dyDescent="0.2">
      <c r="A160" s="93" t="str">
        <f t="array" ref="A160">IFERROR(INDEX('Annex 2 EHV charges'!$A$10:$A$301, MATCH(0, IF(ISBLANK('Annex 2 EHV charges'!$A$10:$A$301),1, COUNTIF(A$4:$A159, 'Annex 2 EHV charges'!$A$10:$A$301)), 0)),"")</f>
        <v>NR_COL</v>
      </c>
      <c r="B160" s="93">
        <f>IF($A160="","",VLOOKUP($A160,'Annex 2 EHV charges'!$A:$O,2,0))</f>
        <v>842</v>
      </c>
      <c r="C160" s="94" t="str">
        <f>IF($A160="","",VLOOKUP($A160,'Annex 2 EHV charges'!$A:$O,3,0))</f>
        <v xml:space="preserve">1014572898446
1030076303426 </v>
      </c>
      <c r="D160" s="93" t="str">
        <f>IF($A160="","",VLOOKUP($A160,'Annex 2 EHV charges'!$A:$O,7,0))</f>
        <v>NR_COL</v>
      </c>
      <c r="E160" s="173">
        <f>IFERROR(IF(VLOOKUP($A160,'Annex 2 EHV charges'!$A:$O,8,FALSE)=0,"",VLOOKUP($A160,'Annex 2 EHV charges'!$A:$O,8,FALSE)),"")</f>
        <v>1.6E-2</v>
      </c>
      <c r="F160" s="175">
        <f>IFERROR(IF(VLOOKUP($A160,'Annex 2 EHV charges'!$A:$O,9,FALSE)=0,"",VLOOKUP($A160,'Annex 2 EHV charges'!$A:$O,9,FALSE)),"")</f>
        <v>5443.14</v>
      </c>
      <c r="G160" s="174">
        <f>IFERROR(IF(VLOOKUP($A160,'Annex 2 EHV charges'!$A:$O,10,FALSE)=0,"",VLOOKUP($A160,'Annex 2 EHV charges'!$A:$O,10,FALSE)),"")</f>
        <v>5.18</v>
      </c>
      <c r="H160" s="174">
        <f>IFERROR(IF(VLOOKUP($A160,'Annex 2 EHV charges'!$A:$O,11,FALSE)=0,"",VLOOKUP($A160,'Annex 2 EHV charges'!$A:$O,11,FALSE)),"")</f>
        <v>5.18</v>
      </c>
    </row>
    <row r="161" spans="1:8" x14ac:dyDescent="0.2">
      <c r="A161" s="93" t="str">
        <f t="array" ref="A161">IFERROR(INDEX('Annex 2 EHV charges'!$A$10:$A$301, MATCH(0, IF(ISBLANK('Annex 2 EHV charges'!$A$10:$A$301),1, COUNTIF(A$4:$A160, 'Annex 2 EHV charges'!$A$10:$A$301)), 0)),"")</f>
        <v>NR_CRW</v>
      </c>
      <c r="B161" s="93">
        <f>IF($A161="","",VLOOKUP($A161,'Annex 2 EHV charges'!$A:$O,2,0))</f>
        <v>843</v>
      </c>
      <c r="C161" s="94">
        <f>IF($A161="","",VLOOKUP($A161,'Annex 2 EHV charges'!$A:$O,3,0))</f>
        <v>1014572578742</v>
      </c>
      <c r="D161" s="93" t="str">
        <f>IF($A161="","",VLOOKUP($A161,'Annex 2 EHV charges'!$A:$O,7,0))</f>
        <v>NR_CRW</v>
      </c>
      <c r="E161" s="173">
        <f>IFERROR(IF(VLOOKUP($A161,'Annex 2 EHV charges'!$A:$O,8,FALSE)=0,"",VLOOKUP($A161,'Annex 2 EHV charges'!$A:$O,8,FALSE)),"")</f>
        <v>2E-3</v>
      </c>
      <c r="F161" s="175">
        <f>IFERROR(IF(VLOOKUP($A161,'Annex 2 EHV charges'!$A:$O,9,FALSE)=0,"",VLOOKUP($A161,'Annex 2 EHV charges'!$A:$O,9,FALSE)),"")</f>
        <v>6411.66</v>
      </c>
      <c r="G161" s="174">
        <f>IFERROR(IF(VLOOKUP($A161,'Annex 2 EHV charges'!$A:$O,10,FALSE)=0,"",VLOOKUP($A161,'Annex 2 EHV charges'!$A:$O,10,FALSE)),"")</f>
        <v>7.87</v>
      </c>
      <c r="H161" s="174">
        <f>IFERROR(IF(VLOOKUP($A161,'Annex 2 EHV charges'!$A:$O,11,FALSE)=0,"",VLOOKUP($A161,'Annex 2 EHV charges'!$A:$O,11,FALSE)),"")</f>
        <v>7.87</v>
      </c>
    </row>
    <row r="162" spans="1:8" x14ac:dyDescent="0.2">
      <c r="A162" s="93" t="str">
        <f t="array" ref="A162">IFERROR(INDEX('Annex 2 EHV charges'!$A$10:$A$301, MATCH(0, IF(ISBLANK('Annex 2 EHV charges'!$A$10:$A$301),1, COUNTIF(A$4:$A161, 'Annex 2 EHV charges'!$A$10:$A$301)), 0)),"")</f>
        <v>NR_GRA</v>
      </c>
      <c r="B162" s="93">
        <f>IF($A162="","",VLOOKUP($A162,'Annex 2 EHV charges'!$A:$O,2,0))</f>
        <v>844</v>
      </c>
      <c r="C162" s="94">
        <f>IF($A162="","",VLOOKUP($A162,'Annex 2 EHV charges'!$A:$O,3,0))</f>
        <v>1014573096936</v>
      </c>
      <c r="D162" s="93" t="str">
        <f>IF($A162="","",VLOOKUP($A162,'Annex 2 EHV charges'!$A:$O,7,0))</f>
        <v>NR_GRA</v>
      </c>
      <c r="E162" s="173" t="str">
        <f>IFERROR(IF(VLOOKUP($A162,'Annex 2 EHV charges'!$A:$O,8,FALSE)=0,"",VLOOKUP($A162,'Annex 2 EHV charges'!$A:$O,8,FALSE)),"")</f>
        <v/>
      </c>
      <c r="F162" s="175">
        <f>IFERROR(IF(VLOOKUP($A162,'Annex 2 EHV charges'!$A:$O,9,FALSE)=0,"",VLOOKUP($A162,'Annex 2 EHV charges'!$A:$O,9,FALSE)),"")</f>
        <v>3205.83</v>
      </c>
      <c r="G162" s="174">
        <f>IFERROR(IF(VLOOKUP($A162,'Annex 2 EHV charges'!$A:$O,10,FALSE)=0,"",VLOOKUP($A162,'Annex 2 EHV charges'!$A:$O,10,FALSE)),"")</f>
        <v>3.31</v>
      </c>
      <c r="H162" s="174">
        <f>IFERROR(IF(VLOOKUP($A162,'Annex 2 EHV charges'!$A:$O,11,FALSE)=0,"",VLOOKUP($A162,'Annex 2 EHV charges'!$A:$O,11,FALSE)),"")</f>
        <v>3.31</v>
      </c>
    </row>
    <row r="163" spans="1:8" x14ac:dyDescent="0.2">
      <c r="A163" s="93" t="str">
        <f t="array" ref="A163">IFERROR(INDEX('Annex 2 EHV charges'!$A$10:$A$301, MATCH(0, IF(ISBLANK('Annex 2 EHV charges'!$A$10:$A$301),1, COUNTIF(A$4:$A162, 'Annex 2 EHV charges'!$A$10:$A$301)), 0)),"")</f>
        <v>NR_HOR</v>
      </c>
      <c r="B163" s="93">
        <f>IF($A163="","",VLOOKUP($A163,'Annex 2 EHV charges'!$A:$O,2,0))</f>
        <v>845</v>
      </c>
      <c r="C163" s="94">
        <f>IF($A163="","",VLOOKUP($A163,'Annex 2 EHV charges'!$A:$O,3,0))</f>
        <v>1014572986535</v>
      </c>
      <c r="D163" s="93" t="str">
        <f>IF($A163="","",VLOOKUP($A163,'Annex 2 EHV charges'!$A:$O,7,0))</f>
        <v>NR_HOR</v>
      </c>
      <c r="E163" s="173" t="str">
        <f>IFERROR(IF(VLOOKUP($A163,'Annex 2 EHV charges'!$A:$O,8,FALSE)=0,"",VLOOKUP($A163,'Annex 2 EHV charges'!$A:$O,8,FALSE)),"")</f>
        <v/>
      </c>
      <c r="F163" s="175">
        <f>IFERROR(IF(VLOOKUP($A163,'Annex 2 EHV charges'!$A:$O,9,FALSE)=0,"",VLOOKUP($A163,'Annex 2 EHV charges'!$A:$O,9,FALSE)),"")</f>
        <v>3463.82</v>
      </c>
      <c r="G163" s="174">
        <f>IFERROR(IF(VLOOKUP($A163,'Annex 2 EHV charges'!$A:$O,10,FALSE)=0,"",VLOOKUP($A163,'Annex 2 EHV charges'!$A:$O,10,FALSE)),"")</f>
        <v>5.56</v>
      </c>
      <c r="H163" s="174">
        <f>IFERROR(IF(VLOOKUP($A163,'Annex 2 EHV charges'!$A:$O,11,FALSE)=0,"",VLOOKUP($A163,'Annex 2 EHV charges'!$A:$O,11,FALSE)),"")</f>
        <v>5.56</v>
      </c>
    </row>
    <row r="164" spans="1:8" x14ac:dyDescent="0.2">
      <c r="A164" s="93" t="str">
        <f t="array" ref="A164">IFERROR(INDEX('Annex 2 EHV charges'!$A$10:$A$301, MATCH(0, IF(ISBLANK('Annex 2 EHV charges'!$A$10:$A$301),1, COUNTIF(A$4:$A163, 'Annex 2 EHV charges'!$A$10:$A$301)), 0)),"")</f>
        <v>NR_KNG</v>
      </c>
      <c r="B164" s="93">
        <f>IF($A164="","",VLOOKUP($A164,'Annex 2 EHV charges'!$A:$O,2,0))</f>
        <v>846</v>
      </c>
      <c r="C164" s="94">
        <f>IF($A164="","",VLOOKUP($A164,'Annex 2 EHV charges'!$A:$O,3,0))</f>
        <v>1014572901666</v>
      </c>
      <c r="D164" s="93" t="str">
        <f>IF($A164="","",VLOOKUP($A164,'Annex 2 EHV charges'!$A:$O,7,0))</f>
        <v>NR_KNG</v>
      </c>
      <c r="E164" s="173" t="str">
        <f>IFERROR(IF(VLOOKUP($A164,'Annex 2 EHV charges'!$A:$O,8,FALSE)=0,"",VLOOKUP($A164,'Annex 2 EHV charges'!$A:$O,8,FALSE)),"")</f>
        <v/>
      </c>
      <c r="F164" s="175">
        <f>IFERROR(IF(VLOOKUP($A164,'Annex 2 EHV charges'!$A:$O,9,FALSE)=0,"",VLOOKUP($A164,'Annex 2 EHV charges'!$A:$O,9,FALSE)),"")</f>
        <v>3463.82</v>
      </c>
      <c r="G164" s="174">
        <f>IFERROR(IF(VLOOKUP($A164,'Annex 2 EHV charges'!$A:$O,10,FALSE)=0,"",VLOOKUP($A164,'Annex 2 EHV charges'!$A:$O,10,FALSE)),"")</f>
        <v>2.4500000000000002</v>
      </c>
      <c r="H164" s="174">
        <f>IFERROR(IF(VLOOKUP($A164,'Annex 2 EHV charges'!$A:$O,11,FALSE)=0,"",VLOOKUP($A164,'Annex 2 EHV charges'!$A:$O,11,FALSE)),"")</f>
        <v>2.4500000000000002</v>
      </c>
    </row>
    <row r="165" spans="1:8" x14ac:dyDescent="0.2">
      <c r="A165" s="93" t="str">
        <f t="array" ref="A165">IFERROR(INDEX('Annex 2 EHV charges'!$A$10:$A$301, MATCH(0, IF(ISBLANK('Annex 2 EHV charges'!$A$10:$A$301),1, COUNTIF(A$4:$A164, 'Annex 2 EHV charges'!$A$10:$A$301)), 0)),"")</f>
        <v>NR_LBR</v>
      </c>
      <c r="B165" s="93">
        <f>IF($A165="","",VLOOKUP($A165,'Annex 2 EHV charges'!$A:$O,2,0))</f>
        <v>847</v>
      </c>
      <c r="C165" s="94">
        <f>IF($A165="","",VLOOKUP($A165,'Annex 2 EHV charges'!$A:$O,3,0))</f>
        <v>1014572780683</v>
      </c>
      <c r="D165" s="93" t="str">
        <f>IF($A165="","",VLOOKUP($A165,'Annex 2 EHV charges'!$A:$O,7,0))</f>
        <v>NR_LBR</v>
      </c>
      <c r="E165" s="173" t="str">
        <f>IFERROR(IF(VLOOKUP($A165,'Annex 2 EHV charges'!$A:$O,8,FALSE)=0,"",VLOOKUP($A165,'Annex 2 EHV charges'!$A:$O,8,FALSE)),"")</f>
        <v/>
      </c>
      <c r="F165" s="175">
        <f>IFERROR(IF(VLOOKUP($A165,'Annex 2 EHV charges'!$A:$O,9,FALSE)=0,"",VLOOKUP($A165,'Annex 2 EHV charges'!$A:$O,9,FALSE)),"")</f>
        <v>9577.1299999999992</v>
      </c>
      <c r="G165" s="174">
        <f>IFERROR(IF(VLOOKUP($A165,'Annex 2 EHV charges'!$A:$O,10,FALSE)=0,"",VLOOKUP($A165,'Annex 2 EHV charges'!$A:$O,10,FALSE)),"")</f>
        <v>2.4500000000000002</v>
      </c>
      <c r="H165" s="174">
        <f>IFERROR(IF(VLOOKUP($A165,'Annex 2 EHV charges'!$A:$O,11,FALSE)=0,"",VLOOKUP($A165,'Annex 2 EHV charges'!$A:$O,11,FALSE)),"")</f>
        <v>2.4500000000000002</v>
      </c>
    </row>
    <row r="166" spans="1:8" x14ac:dyDescent="0.2">
      <c r="A166" s="93" t="str">
        <f t="array" ref="A166">IFERROR(INDEX('Annex 2 EHV charges'!$A$10:$A$301, MATCH(0, IF(ISBLANK('Annex 2 EHV charges'!$A$10:$A$301),1, COUNTIF(A$4:$A165, 'Annex 2 EHV charges'!$A$10:$A$301)), 0)),"")</f>
        <v>NR_MAN</v>
      </c>
      <c r="B166" s="93">
        <f>IF($A166="","",VLOOKUP($A166,'Annex 2 EHV charges'!$A:$O,2,0))</f>
        <v>848</v>
      </c>
      <c r="C166" s="94">
        <f>IF($A166="","",VLOOKUP($A166,'Annex 2 EHV charges'!$A:$O,3,0))</f>
        <v>1014572821160</v>
      </c>
      <c r="D166" s="93" t="str">
        <f>IF($A166="","",VLOOKUP($A166,'Annex 2 EHV charges'!$A:$O,7,0))</f>
        <v>NR_MAN</v>
      </c>
      <c r="E166" s="173" t="str">
        <f>IFERROR(IF(VLOOKUP($A166,'Annex 2 EHV charges'!$A:$O,8,FALSE)=0,"",VLOOKUP($A166,'Annex 2 EHV charges'!$A:$O,8,FALSE)),"")</f>
        <v/>
      </c>
      <c r="F166" s="175">
        <f>IFERROR(IF(VLOOKUP($A166,'Annex 2 EHV charges'!$A:$O,9,FALSE)=0,"",VLOOKUP($A166,'Annex 2 EHV charges'!$A:$O,9,FALSE)),"")</f>
        <v>3463.82</v>
      </c>
      <c r="G166" s="174">
        <f>IFERROR(IF(VLOOKUP($A166,'Annex 2 EHV charges'!$A:$O,10,FALSE)=0,"",VLOOKUP($A166,'Annex 2 EHV charges'!$A:$O,10,FALSE)),"")</f>
        <v>3.96</v>
      </c>
      <c r="H166" s="174">
        <f>IFERROR(IF(VLOOKUP($A166,'Annex 2 EHV charges'!$A:$O,11,FALSE)=0,"",VLOOKUP($A166,'Annex 2 EHV charges'!$A:$O,11,FALSE)),"")</f>
        <v>3.96</v>
      </c>
    </row>
    <row r="167" spans="1:8" x14ac:dyDescent="0.2">
      <c r="A167" s="93" t="str">
        <f t="array" ref="A167">IFERROR(INDEX('Annex 2 EHV charges'!$A$10:$A$301, MATCH(0, IF(ISBLANK('Annex 2 EHV charges'!$A$10:$A$301),1, COUNTIF(A$4:$A166, 'Annex 2 EHV charges'!$A$10:$A$301)), 0)),"")</f>
        <v>NR_MIL</v>
      </c>
      <c r="B167" s="93">
        <f>IF($A167="","",VLOOKUP($A167,'Annex 2 EHV charges'!$A:$O,2,0))</f>
        <v>849</v>
      </c>
      <c r="C167" s="94">
        <f>IF($A167="","",VLOOKUP($A167,'Annex 2 EHV charges'!$A:$O,3,0))</f>
        <v>1014573017580</v>
      </c>
      <c r="D167" s="93" t="str">
        <f>IF($A167="","",VLOOKUP($A167,'Annex 2 EHV charges'!$A:$O,7,0))</f>
        <v>NR_MIL</v>
      </c>
      <c r="E167" s="173" t="str">
        <f>IFERROR(IF(VLOOKUP($A167,'Annex 2 EHV charges'!$A:$O,8,FALSE)=0,"",VLOOKUP($A167,'Annex 2 EHV charges'!$A:$O,8,FALSE)),"")</f>
        <v/>
      </c>
      <c r="F167" s="175">
        <f>IFERROR(IF(VLOOKUP($A167,'Annex 2 EHV charges'!$A:$O,9,FALSE)=0,"",VLOOKUP($A167,'Annex 2 EHV charges'!$A:$O,9,FALSE)),"")</f>
        <v>7706.82</v>
      </c>
      <c r="G167" s="174">
        <f>IFERROR(IF(VLOOKUP($A167,'Annex 2 EHV charges'!$A:$O,10,FALSE)=0,"",VLOOKUP($A167,'Annex 2 EHV charges'!$A:$O,10,FALSE)),"")</f>
        <v>3.84</v>
      </c>
      <c r="H167" s="174">
        <f>IFERROR(IF(VLOOKUP($A167,'Annex 2 EHV charges'!$A:$O,11,FALSE)=0,"",VLOOKUP($A167,'Annex 2 EHV charges'!$A:$O,11,FALSE)),"")</f>
        <v>3.84</v>
      </c>
    </row>
    <row r="168" spans="1:8" x14ac:dyDescent="0.2">
      <c r="A168" s="93" t="str">
        <f t="array" ref="A168">IFERROR(INDEX('Annex 2 EHV charges'!$A$10:$A$301, MATCH(0, IF(ISBLANK('Annex 2 EHV charges'!$A$10:$A$301),1, COUNTIF(A$4:$A167, 'Annex 2 EHV charges'!$A$10:$A$301)), 0)),"")</f>
        <v>NR_NRW</v>
      </c>
      <c r="B168" s="93">
        <f>IF($A168="","",VLOOKUP($A168,'Annex 2 EHV charges'!$A:$O,2,0))</f>
        <v>850</v>
      </c>
      <c r="C168" s="94">
        <f>IF($A168="","",VLOOKUP($A168,'Annex 2 EHV charges'!$A:$O,3,0))</f>
        <v>1014572876363</v>
      </c>
      <c r="D168" s="93" t="str">
        <f>IF($A168="","",VLOOKUP($A168,'Annex 2 EHV charges'!$A:$O,7,0))</f>
        <v>NR_NRW</v>
      </c>
      <c r="E168" s="173" t="str">
        <f>IFERROR(IF(VLOOKUP($A168,'Annex 2 EHV charges'!$A:$O,8,FALSE)=0,"",VLOOKUP($A168,'Annex 2 EHV charges'!$A:$O,8,FALSE)),"")</f>
        <v/>
      </c>
      <c r="F168" s="175">
        <f>IFERROR(IF(VLOOKUP($A168,'Annex 2 EHV charges'!$A:$O,9,FALSE)=0,"",VLOOKUP($A168,'Annex 2 EHV charges'!$A:$O,9,FALSE)),"")</f>
        <v>3205.83</v>
      </c>
      <c r="G168" s="174">
        <f>IFERROR(IF(VLOOKUP($A168,'Annex 2 EHV charges'!$A:$O,10,FALSE)=0,"",VLOOKUP($A168,'Annex 2 EHV charges'!$A:$O,10,FALSE)),"")</f>
        <v>4.0999999999999996</v>
      </c>
      <c r="H168" s="174">
        <f>IFERROR(IF(VLOOKUP($A168,'Annex 2 EHV charges'!$A:$O,11,FALSE)=0,"",VLOOKUP($A168,'Annex 2 EHV charges'!$A:$O,11,FALSE)),"")</f>
        <v>4.0999999999999996</v>
      </c>
    </row>
    <row r="169" spans="1:8" x14ac:dyDescent="0.2">
      <c r="A169" s="93" t="str">
        <f t="array" ref="A169">IFERROR(INDEX('Annex 2 EHV charges'!$A$10:$A$301, MATCH(0, IF(ISBLANK('Annex 2 EHV charges'!$A$10:$A$301),1, COUNTIF(A$4:$A168, 'Annex 2 EHV charges'!$A$10:$A$301)), 0)),"")</f>
        <v>NR_PET</v>
      </c>
      <c r="B169" s="93">
        <f>IF($A169="","",VLOOKUP($A169,'Annex 2 EHV charges'!$A:$O,2,0))</f>
        <v>851</v>
      </c>
      <c r="C169" s="94">
        <f>IF($A169="","",VLOOKUP($A169,'Annex 2 EHV charges'!$A:$O,3,0))</f>
        <v>1014573170075</v>
      </c>
      <c r="D169" s="93" t="str">
        <f>IF($A169="","",VLOOKUP($A169,'Annex 2 EHV charges'!$A:$O,7,0))</f>
        <v>NR_PET</v>
      </c>
      <c r="E169" s="173">
        <f>IFERROR(IF(VLOOKUP($A169,'Annex 2 EHV charges'!$A:$O,8,FALSE)=0,"",VLOOKUP($A169,'Annex 2 EHV charges'!$A:$O,8,FALSE)),"")</f>
        <v>2E-3</v>
      </c>
      <c r="F169" s="175">
        <f>IFERROR(IF(VLOOKUP($A169,'Annex 2 EHV charges'!$A:$O,9,FALSE)=0,"",VLOOKUP($A169,'Annex 2 EHV charges'!$A:$O,9,FALSE)),"")</f>
        <v>3205.83</v>
      </c>
      <c r="G169" s="174">
        <f>IFERROR(IF(VLOOKUP($A169,'Annex 2 EHV charges'!$A:$O,10,FALSE)=0,"",VLOOKUP($A169,'Annex 2 EHV charges'!$A:$O,10,FALSE)),"")</f>
        <v>4.4400000000000004</v>
      </c>
      <c r="H169" s="174">
        <f>IFERROR(IF(VLOOKUP($A169,'Annex 2 EHV charges'!$A:$O,11,FALSE)=0,"",VLOOKUP($A169,'Annex 2 EHV charges'!$A:$O,11,FALSE)),"")</f>
        <v>4.4400000000000004</v>
      </c>
    </row>
    <row r="170" spans="1:8" x14ac:dyDescent="0.2">
      <c r="A170" s="93" t="str">
        <f t="array" ref="A170">IFERROR(INDEX('Annex 2 EHV charges'!$A$10:$A$301, MATCH(0, IF(ISBLANK('Annex 2 EHV charges'!$A$10:$A$301),1, COUNTIF(A$4:$A169, 'Annex 2 EHV charges'!$A$10:$A$301)), 0)),"")</f>
        <v>NR_RAY</v>
      </c>
      <c r="B170" s="93">
        <f>IF($A170="","",VLOOKUP($A170,'Annex 2 EHV charges'!$A:$O,2,0))</f>
        <v>852</v>
      </c>
      <c r="C170" s="94">
        <f>IF($A170="","",VLOOKUP($A170,'Annex 2 EHV charges'!$A:$O,3,0))</f>
        <v>1014573010682</v>
      </c>
      <c r="D170" s="93" t="str">
        <f>IF($A170="","",VLOOKUP($A170,'Annex 2 EHV charges'!$A:$O,7,0))</f>
        <v>NR_RAY</v>
      </c>
      <c r="E170" s="173" t="str">
        <f>IFERROR(IF(VLOOKUP($A170,'Annex 2 EHV charges'!$A:$O,8,FALSE)=0,"",VLOOKUP($A170,'Annex 2 EHV charges'!$A:$O,8,FALSE)),"")</f>
        <v/>
      </c>
      <c r="F170" s="175">
        <f>IFERROR(IF(VLOOKUP($A170,'Annex 2 EHV charges'!$A:$O,9,FALSE)=0,"",VLOOKUP($A170,'Annex 2 EHV charges'!$A:$O,9,FALSE)),"")</f>
        <v>6669.65</v>
      </c>
      <c r="G170" s="174">
        <f>IFERROR(IF(VLOOKUP($A170,'Annex 2 EHV charges'!$A:$O,10,FALSE)=0,"",VLOOKUP($A170,'Annex 2 EHV charges'!$A:$O,10,FALSE)),"")</f>
        <v>3.07</v>
      </c>
      <c r="H170" s="174">
        <f>IFERROR(IF(VLOOKUP($A170,'Annex 2 EHV charges'!$A:$O,11,FALSE)=0,"",VLOOKUP($A170,'Annex 2 EHV charges'!$A:$O,11,FALSE)),"")</f>
        <v>3.07</v>
      </c>
    </row>
    <row r="171" spans="1:8" x14ac:dyDescent="0.2">
      <c r="A171" s="93" t="str">
        <f t="array" ref="A171">IFERROR(INDEX('Annex 2 EHV charges'!$A$10:$A$301, MATCH(0, IF(ISBLANK('Annex 2 EHV charges'!$A$10:$A$301),1, COUNTIF(A$4:$A170, 'Annex 2 EHV charges'!$A$10:$A$301)), 0)),"")</f>
        <v>NR_RYE</v>
      </c>
      <c r="B171" s="93">
        <f>IF($A171="","",VLOOKUP($A171,'Annex 2 EHV charges'!$A:$O,2,0))</f>
        <v>853</v>
      </c>
      <c r="C171" s="94">
        <f>IF($A171="","",VLOOKUP($A171,'Annex 2 EHV charges'!$A:$O,3,0))</f>
        <v>1014572632104</v>
      </c>
      <c r="D171" s="93" t="str">
        <f>IF($A171="","",VLOOKUP($A171,'Annex 2 EHV charges'!$A:$O,7,0))</f>
        <v>NR_RYE</v>
      </c>
      <c r="E171" s="173" t="str">
        <f>IFERROR(IF(VLOOKUP($A171,'Annex 2 EHV charges'!$A:$O,8,FALSE)=0,"",VLOOKUP($A171,'Annex 2 EHV charges'!$A:$O,8,FALSE)),"")</f>
        <v/>
      </c>
      <c r="F171" s="175">
        <f>IFERROR(IF(VLOOKUP($A171,'Annex 2 EHV charges'!$A:$O,9,FALSE)=0,"",VLOOKUP($A171,'Annex 2 EHV charges'!$A:$O,9,FALSE)),"")</f>
        <v>6927.63</v>
      </c>
      <c r="G171" s="174">
        <f>IFERROR(IF(VLOOKUP($A171,'Annex 2 EHV charges'!$A:$O,10,FALSE)=0,"",VLOOKUP($A171,'Annex 2 EHV charges'!$A:$O,10,FALSE)),"")</f>
        <v>2.66</v>
      </c>
      <c r="H171" s="174">
        <f>IFERROR(IF(VLOOKUP($A171,'Annex 2 EHV charges'!$A:$O,11,FALSE)=0,"",VLOOKUP($A171,'Annex 2 EHV charges'!$A:$O,11,FALSE)),"")</f>
        <v>2.66</v>
      </c>
    </row>
    <row r="172" spans="1:8" x14ac:dyDescent="0.2">
      <c r="A172" s="93" t="str">
        <f t="array" ref="A172">IFERROR(INDEX('Annex 2 EHV charges'!$A$10:$A$301, MATCH(0, IF(ISBLANK('Annex 2 EHV charges'!$A$10:$A$301),1, COUNTIF(A$4:$A171, 'Annex 2 EHV charges'!$A$10:$A$301)), 0)),"")</f>
        <v>NR_SED</v>
      </c>
      <c r="B172" s="93">
        <f>IF($A172="","",VLOOKUP($A172,'Annex 2 EHV charges'!$A:$O,2,0))</f>
        <v>855</v>
      </c>
      <c r="C172" s="94">
        <f>IF($A172="","",VLOOKUP($A172,'Annex 2 EHV charges'!$A:$O,3,0))</f>
        <v>1014572682017</v>
      </c>
      <c r="D172" s="93" t="str">
        <f>IF($A172="","",VLOOKUP($A172,'Annex 2 EHV charges'!$A:$O,7,0))</f>
        <v>NR_SED</v>
      </c>
      <c r="E172" s="173" t="str">
        <f>IFERROR(IF(VLOOKUP($A172,'Annex 2 EHV charges'!$A:$O,8,FALSE)=0,"",VLOOKUP($A172,'Annex 2 EHV charges'!$A:$O,8,FALSE)),"")</f>
        <v/>
      </c>
      <c r="F172" s="175">
        <f>IFERROR(IF(VLOOKUP($A172,'Annex 2 EHV charges'!$A:$O,9,FALSE)=0,"",VLOOKUP($A172,'Annex 2 EHV charges'!$A:$O,9,FALSE)),"")</f>
        <v>6411.66</v>
      </c>
      <c r="G172" s="174">
        <f>IFERROR(IF(VLOOKUP($A172,'Annex 2 EHV charges'!$A:$O,10,FALSE)=0,"",VLOOKUP($A172,'Annex 2 EHV charges'!$A:$O,10,FALSE)),"")</f>
        <v>4.28</v>
      </c>
      <c r="H172" s="174">
        <f>IFERROR(IF(VLOOKUP($A172,'Annex 2 EHV charges'!$A:$O,11,FALSE)=0,"",VLOOKUP($A172,'Annex 2 EHV charges'!$A:$O,11,FALSE)),"")</f>
        <v>4.28</v>
      </c>
    </row>
    <row r="173" spans="1:8" x14ac:dyDescent="0.2">
      <c r="A173" s="93" t="str">
        <f t="array" ref="A173">IFERROR(INDEX('Annex 2 EHV charges'!$A$10:$A$301, MATCH(0, IF(ISBLANK('Annex 2 EHV charges'!$A$10:$A$301),1, COUNTIF(A$4:$A172, 'Annex 2 EHV charges'!$A$10:$A$301)), 0)),"")</f>
        <v>NR_SHN</v>
      </c>
      <c r="B173" s="93">
        <f>IF($A173="","",VLOOKUP($A173,'Annex 2 EHV charges'!$A:$O,2,0))</f>
        <v>854</v>
      </c>
      <c r="C173" s="94">
        <f>IF($A173="","",VLOOKUP($A173,'Annex 2 EHV charges'!$A:$O,3,0))</f>
        <v>1023478597119</v>
      </c>
      <c r="D173" s="93" t="str">
        <f>IF($A173="","",VLOOKUP($A173,'Annex 2 EHV charges'!$A:$O,7,0))</f>
        <v>NR_SHN</v>
      </c>
      <c r="E173" s="173">
        <f>IFERROR(IF(VLOOKUP($A173,'Annex 2 EHV charges'!$A:$O,8,FALSE)=0,"",VLOOKUP($A173,'Annex 2 EHV charges'!$A:$O,8,FALSE)),"")</f>
        <v>2E-3</v>
      </c>
      <c r="F173" s="175">
        <f>IFERROR(IF(VLOOKUP($A173,'Annex 2 EHV charges'!$A:$O,9,FALSE)=0,"",VLOOKUP($A173,'Annex 2 EHV charges'!$A:$O,9,FALSE)),"")</f>
        <v>6927.63</v>
      </c>
      <c r="G173" s="174">
        <f>IFERROR(IF(VLOOKUP($A173,'Annex 2 EHV charges'!$A:$O,10,FALSE)=0,"",VLOOKUP($A173,'Annex 2 EHV charges'!$A:$O,10,FALSE)),"")</f>
        <v>3.5</v>
      </c>
      <c r="H173" s="174">
        <f>IFERROR(IF(VLOOKUP($A173,'Annex 2 EHV charges'!$A:$O,11,FALSE)=0,"",VLOOKUP($A173,'Annex 2 EHV charges'!$A:$O,11,FALSE)),"")</f>
        <v>3.5</v>
      </c>
    </row>
    <row r="174" spans="1:8" x14ac:dyDescent="0.2">
      <c r="A174" s="93" t="str">
        <f t="array" ref="A174">IFERROR(INDEX('Annex 2 EHV charges'!$A$10:$A$301, MATCH(0, IF(ISBLANK('Annex 2 EHV charges'!$A$10:$A$301),1, COUNTIF(A$4:$A173, 'Annex 2 EHV charges'!$A$10:$A$301)), 0)),"")</f>
        <v>NR_SPR</v>
      </c>
      <c r="B174" s="93">
        <f>IF($A174="","",VLOOKUP($A174,'Annex 2 EHV charges'!$A:$O,2,0))</f>
        <v>856</v>
      </c>
      <c r="C174" s="94">
        <f>IF($A174="","",VLOOKUP($A174,'Annex 2 EHV charges'!$A:$O,3,0))</f>
        <v>1014572602660</v>
      </c>
      <c r="D174" s="93" t="str">
        <f>IF($A174="","",VLOOKUP($A174,'Annex 2 EHV charges'!$A:$O,7,0))</f>
        <v>NR_SPR</v>
      </c>
      <c r="E174" s="173" t="str">
        <f>IFERROR(IF(VLOOKUP($A174,'Annex 2 EHV charges'!$A:$O,8,FALSE)=0,"",VLOOKUP($A174,'Annex 2 EHV charges'!$A:$O,8,FALSE)),"")</f>
        <v/>
      </c>
      <c r="F174" s="175">
        <f>IFERROR(IF(VLOOKUP($A174,'Annex 2 EHV charges'!$A:$O,9,FALSE)=0,"",VLOOKUP($A174,'Annex 2 EHV charges'!$A:$O,9,FALSE)),"")</f>
        <v>6927.63</v>
      </c>
      <c r="G174" s="174">
        <f>IFERROR(IF(VLOOKUP($A174,'Annex 2 EHV charges'!$A:$O,10,FALSE)=0,"",VLOOKUP($A174,'Annex 2 EHV charges'!$A:$O,10,FALSE)),"")</f>
        <v>5.78</v>
      </c>
      <c r="H174" s="174">
        <f>IFERROR(IF(VLOOKUP($A174,'Annex 2 EHV charges'!$A:$O,11,FALSE)=0,"",VLOOKUP($A174,'Annex 2 EHV charges'!$A:$O,11,FALSE)),"")</f>
        <v>5.78</v>
      </c>
    </row>
    <row r="175" spans="1:8" x14ac:dyDescent="0.2">
      <c r="A175" s="93" t="str">
        <f t="array" ref="A175">IFERROR(INDEX('Annex 2 EHV charges'!$A$10:$A$301, MATCH(0, IF(ISBLANK('Annex 2 EHV charges'!$A$10:$A$301),1, COUNTIF(A$4:$A174, 'Annex 2 EHV charges'!$A$10:$A$301)), 0)),"")</f>
        <v>NR_STW</v>
      </c>
      <c r="B175" s="93">
        <f>IF($A175="","",VLOOKUP($A175,'Annex 2 EHV charges'!$A:$O,2,0))</f>
        <v>857</v>
      </c>
      <c r="C175" s="94">
        <f>IF($A175="","",VLOOKUP($A175,'Annex 2 EHV charges'!$A:$O,3,0))</f>
        <v>1014572719730</v>
      </c>
      <c r="D175" s="93" t="str">
        <f>IF($A175="","",VLOOKUP($A175,'Annex 2 EHV charges'!$A:$O,7,0))</f>
        <v>NR_STW</v>
      </c>
      <c r="E175" s="173">
        <f>IFERROR(IF(VLOOKUP($A175,'Annex 2 EHV charges'!$A:$O,8,FALSE)=0,"",VLOOKUP($A175,'Annex 2 EHV charges'!$A:$O,8,FALSE)),"")</f>
        <v>1.9E-2</v>
      </c>
      <c r="F175" s="175">
        <f>IFERROR(IF(VLOOKUP($A175,'Annex 2 EHV charges'!$A:$O,9,FALSE)=0,"",VLOOKUP($A175,'Annex 2 EHV charges'!$A:$O,9,FALSE)),"")</f>
        <v>6411.66</v>
      </c>
      <c r="G175" s="174">
        <f>IFERROR(IF(VLOOKUP($A175,'Annex 2 EHV charges'!$A:$O,10,FALSE)=0,"",VLOOKUP($A175,'Annex 2 EHV charges'!$A:$O,10,FALSE)),"")</f>
        <v>4.7699999999999996</v>
      </c>
      <c r="H175" s="174">
        <f>IFERROR(IF(VLOOKUP($A175,'Annex 2 EHV charges'!$A:$O,11,FALSE)=0,"",VLOOKUP($A175,'Annex 2 EHV charges'!$A:$O,11,FALSE)),"")</f>
        <v>4.7699999999999996</v>
      </c>
    </row>
    <row r="176" spans="1:8" x14ac:dyDescent="0.2">
      <c r="A176" s="93" t="str">
        <f t="array" ref="A176">IFERROR(INDEX('Annex 2 EHV charges'!$A$10:$A$301, MATCH(0, IF(ISBLANK('Annex 2 EHV charges'!$A$10:$A$301),1, COUNTIF(A$4:$A175, 'Annex 2 EHV charges'!$A$10:$A$301)), 0)),"")</f>
        <v>NR_SUN</v>
      </c>
      <c r="B176" s="93">
        <f>IF($A176="","",VLOOKUP($A176,'Annex 2 EHV charges'!$A:$O,2,0))</f>
        <v>858</v>
      </c>
      <c r="C176" s="94">
        <f>IF($A176="","",VLOOKUP($A176,'Annex 2 EHV charges'!$A:$O,3,0))</f>
        <v>1014572853366</v>
      </c>
      <c r="D176" s="93" t="str">
        <f>IF($A176="","",VLOOKUP($A176,'Annex 2 EHV charges'!$A:$O,7,0))</f>
        <v>NR_SUN</v>
      </c>
      <c r="E176" s="173" t="str">
        <f>IFERROR(IF(VLOOKUP($A176,'Annex 2 EHV charges'!$A:$O,8,FALSE)=0,"",VLOOKUP($A176,'Annex 2 EHV charges'!$A:$O,8,FALSE)),"")</f>
        <v/>
      </c>
      <c r="F176" s="175">
        <f>IFERROR(IF(VLOOKUP($A176,'Annex 2 EHV charges'!$A:$O,9,FALSE)=0,"",VLOOKUP($A176,'Annex 2 EHV charges'!$A:$O,9,FALSE)),"")</f>
        <v>8190.52</v>
      </c>
      <c r="G176" s="174">
        <f>IFERROR(IF(VLOOKUP($A176,'Annex 2 EHV charges'!$A:$O,10,FALSE)=0,"",VLOOKUP($A176,'Annex 2 EHV charges'!$A:$O,10,FALSE)),"")</f>
        <v>2.41</v>
      </c>
      <c r="H176" s="174">
        <f>IFERROR(IF(VLOOKUP($A176,'Annex 2 EHV charges'!$A:$O,11,FALSE)=0,"",VLOOKUP($A176,'Annex 2 EHV charges'!$A:$O,11,FALSE)),"")</f>
        <v>2.41</v>
      </c>
    </row>
    <row r="177" spans="1:8" x14ac:dyDescent="0.2">
      <c r="A177" s="93" t="str">
        <f t="array" ref="A177">IFERROR(INDEX('Annex 2 EHV charges'!$A$10:$A$301, MATCH(0, IF(ISBLANK('Annex 2 EHV charges'!$A$10:$A$301),1, COUNTIF(A$4:$A176, 'Annex 2 EHV charges'!$A$10:$A$301)), 0)),"")</f>
        <v>NR_TOT</v>
      </c>
      <c r="B177" s="93">
        <f>IF($A177="","",VLOOKUP($A177,'Annex 2 EHV charges'!$A:$O,2,0))</f>
        <v>859</v>
      </c>
      <c r="C177" s="94">
        <f>IF($A177="","",VLOOKUP($A177,'Annex 2 EHV charges'!$A:$O,3,0))</f>
        <v>1014573142245</v>
      </c>
      <c r="D177" s="93" t="str">
        <f>IF($A177="","",VLOOKUP($A177,'Annex 2 EHV charges'!$A:$O,7,0))</f>
        <v>NR_TOT</v>
      </c>
      <c r="E177" s="173" t="str">
        <f>IFERROR(IF(VLOOKUP($A177,'Annex 2 EHV charges'!$A:$O,8,FALSE)=0,"",VLOOKUP($A177,'Annex 2 EHV charges'!$A:$O,8,FALSE)),"")</f>
        <v/>
      </c>
      <c r="F177" s="175">
        <f>IFERROR(IF(VLOOKUP($A177,'Annex 2 EHV charges'!$A:$O,9,FALSE)=0,"",VLOOKUP($A177,'Annex 2 EHV charges'!$A:$O,9,FALSE)),"")</f>
        <v>6927.63</v>
      </c>
      <c r="G177" s="174">
        <f>IFERROR(IF(VLOOKUP($A177,'Annex 2 EHV charges'!$A:$O,10,FALSE)=0,"",VLOOKUP($A177,'Annex 2 EHV charges'!$A:$O,10,FALSE)),"")</f>
        <v>2.6</v>
      </c>
      <c r="H177" s="174">
        <f>IFERROR(IF(VLOOKUP($A177,'Annex 2 EHV charges'!$A:$O,11,FALSE)=0,"",VLOOKUP($A177,'Annex 2 EHV charges'!$A:$O,11,FALSE)),"")</f>
        <v>2.6</v>
      </c>
    </row>
    <row r="178" spans="1:8" x14ac:dyDescent="0.2">
      <c r="A178" s="93" t="str">
        <f t="array" ref="A178">IFERROR(INDEX('Annex 2 EHV charges'!$A$10:$A$301, MATCH(0, IF(ISBLANK('Annex 2 EHV charges'!$A$10:$A$301),1, COUNTIF(A$4:$A177, 'Annex 2 EHV charges'!$A$10:$A$301)), 0)),"")</f>
        <v>NR_UGL</v>
      </c>
      <c r="B178" s="93">
        <f>IF($A178="","",VLOOKUP($A178,'Annex 2 EHV charges'!$A:$O,2,0))</f>
        <v>860</v>
      </c>
      <c r="C178" s="94">
        <f>IF($A178="","",VLOOKUP($A178,'Annex 2 EHV charges'!$A:$O,3,0))</f>
        <v>1014573113954</v>
      </c>
      <c r="D178" s="93" t="str">
        <f>IF($A178="","",VLOOKUP($A178,'Annex 2 EHV charges'!$A:$O,7,0))</f>
        <v>NR_UGL</v>
      </c>
      <c r="E178" s="173" t="str">
        <f>IFERROR(IF(VLOOKUP($A178,'Annex 2 EHV charges'!$A:$O,8,FALSE)=0,"",VLOOKUP($A178,'Annex 2 EHV charges'!$A:$O,8,FALSE)),"")</f>
        <v/>
      </c>
      <c r="F178" s="175">
        <f>IFERROR(IF(VLOOKUP($A178,'Annex 2 EHV charges'!$A:$O,9,FALSE)=0,"",VLOOKUP($A178,'Annex 2 EHV charges'!$A:$O,9,FALSE)),"")</f>
        <v>3205.83</v>
      </c>
      <c r="G178" s="174">
        <f>IFERROR(IF(VLOOKUP($A178,'Annex 2 EHV charges'!$A:$O,10,FALSE)=0,"",VLOOKUP($A178,'Annex 2 EHV charges'!$A:$O,10,FALSE)),"")</f>
        <v>3.74</v>
      </c>
      <c r="H178" s="174">
        <f>IFERROR(IF(VLOOKUP($A178,'Annex 2 EHV charges'!$A:$O,11,FALSE)=0,"",VLOOKUP($A178,'Annex 2 EHV charges'!$A:$O,11,FALSE)),"")</f>
        <v>3.74</v>
      </c>
    </row>
    <row r="179" spans="1:8" x14ac:dyDescent="0.2">
      <c r="A179" s="93" t="str">
        <f t="array" ref="A179">IFERROR(INDEX('Annex 2 EHV charges'!$A$10:$A$301, MATCH(0, IF(ISBLANK('Annex 2 EHV charges'!$A$10:$A$301),1, COUNTIF(A$4:$A178, 'Annex 2 EHV charges'!$A$10:$A$301)), 0)),"")</f>
        <v>NR_WEL</v>
      </c>
      <c r="B179" s="93">
        <f>IF($A179="","",VLOOKUP($A179,'Annex 2 EHV charges'!$A:$O,2,0))</f>
        <v>861</v>
      </c>
      <c r="C179" s="94">
        <f>IF($A179="","",VLOOKUP($A179,'Annex 2 EHV charges'!$A:$O,3,0))</f>
        <v>1014572501466</v>
      </c>
      <c r="D179" s="93" t="str">
        <f>IF($A179="","",VLOOKUP($A179,'Annex 2 EHV charges'!$A:$O,7,0))</f>
        <v>NR_WEL</v>
      </c>
      <c r="E179" s="173" t="str">
        <f>IFERROR(IF(VLOOKUP($A179,'Annex 2 EHV charges'!$A:$O,8,FALSE)=0,"",VLOOKUP($A179,'Annex 2 EHV charges'!$A:$O,8,FALSE)),"")</f>
        <v/>
      </c>
      <c r="F179" s="175">
        <f>IFERROR(IF(VLOOKUP($A179,'Annex 2 EHV charges'!$A:$O,9,FALSE)=0,"",VLOOKUP($A179,'Annex 2 EHV charges'!$A:$O,9,FALSE)),"")</f>
        <v>6927.63</v>
      </c>
      <c r="G179" s="174">
        <f>IFERROR(IF(VLOOKUP($A179,'Annex 2 EHV charges'!$A:$O,10,FALSE)=0,"",VLOOKUP($A179,'Annex 2 EHV charges'!$A:$O,10,FALSE)),"")</f>
        <v>5.6</v>
      </c>
      <c r="H179" s="174">
        <f>IFERROR(IF(VLOOKUP($A179,'Annex 2 EHV charges'!$A:$O,11,FALSE)=0,"",VLOOKUP($A179,'Annex 2 EHV charges'!$A:$O,11,FALSE)),"")</f>
        <v>5.6</v>
      </c>
    </row>
    <row r="180" spans="1:8" ht="25.5" x14ac:dyDescent="0.2">
      <c r="A180" s="93" t="str">
        <f t="array" ref="A180">IFERROR(INDEX('Annex 2 EHV charges'!$A$10:$A$301, MATCH(0, IF(ISBLANK('Annex 2 EHV charges'!$A$10:$A$301),1, COUNTIF(A$4:$A179, 'Annex 2 EHV charges'!$A$10:$A$301)), 0)),"")</f>
        <v>NRAUTH</v>
      </c>
      <c r="B180" s="93">
        <f>IF($A180="","",VLOOKUP($A180,'Annex 2 EHV charges'!$A:$O,2,0))</f>
        <v>486</v>
      </c>
      <c r="C180" s="94" t="str">
        <f>IF($A180="","",VLOOKUP($A180,'Annex 2 EHV charges'!$A:$O,3,0))</f>
        <v>1014572907871
1023484600573</v>
      </c>
      <c r="D180" s="93" t="str">
        <f>IF($A180="","",VLOOKUP($A180,'Annex 2 EHV charges'!$A:$O,7,0))</f>
        <v>NRAUTH</v>
      </c>
      <c r="E180" s="173" t="str">
        <f>IFERROR(IF(VLOOKUP($A180,'Annex 2 EHV charges'!$A:$O,8,FALSE)=0,"",VLOOKUP($A180,'Annex 2 EHV charges'!$A:$O,8,FALSE)),"")</f>
        <v/>
      </c>
      <c r="F180" s="175">
        <f>IFERROR(IF(VLOOKUP($A180,'Annex 2 EHV charges'!$A:$O,9,FALSE)=0,"",VLOOKUP($A180,'Annex 2 EHV charges'!$A:$O,9,FALSE)),"")</f>
        <v>179.86</v>
      </c>
      <c r="G180" s="174">
        <f>IFERROR(IF(VLOOKUP($A180,'Annex 2 EHV charges'!$A:$O,10,FALSE)=0,"",VLOOKUP($A180,'Annex 2 EHV charges'!$A:$O,10,FALSE)),"")</f>
        <v>3.03</v>
      </c>
      <c r="H180" s="174">
        <f>IFERROR(IF(VLOOKUP($A180,'Annex 2 EHV charges'!$A:$O,11,FALSE)=0,"",VLOOKUP($A180,'Annex 2 EHV charges'!$A:$O,11,FALSE)),"")</f>
        <v>3.03</v>
      </c>
    </row>
    <row r="181" spans="1:8" x14ac:dyDescent="0.2">
      <c r="A181" s="93" t="str">
        <f t="array" ref="A181">IFERROR(INDEX('Annex 2 EHV charges'!$A$10:$A$301, MATCH(0, IF(ISBLANK('Annex 2 EHV charges'!$A$10:$A$301),1, COUNTIF(A$4:$A180, 'Annex 2 EHV charges'!$A$10:$A$301)), 0)),"")</f>
        <v>NVASCT</v>
      </c>
      <c r="B181" s="93">
        <f>IF($A181="","",VLOOKUP($A181,'Annex 2 EHV charges'!$A:$O,2,0))</f>
        <v>890</v>
      </c>
      <c r="C181" s="94">
        <f>IF($A181="","",VLOOKUP($A181,'Annex 2 EHV charges'!$A:$O,3,0))</f>
        <v>1050000588206</v>
      </c>
      <c r="D181" s="93" t="str">
        <f>IF($A181="","",VLOOKUP($A181,'Annex 2 EHV charges'!$A:$O,7,0))</f>
        <v>NVASCT</v>
      </c>
      <c r="E181" s="173">
        <f>IFERROR(IF(VLOOKUP($A181,'Annex 2 EHV charges'!$A:$O,8,FALSE)=0,"",VLOOKUP($A181,'Annex 2 EHV charges'!$A:$O,8,FALSE)),"")</f>
        <v>13.019</v>
      </c>
      <c r="F181" s="175">
        <f>IFERROR(IF(VLOOKUP($A181,'Annex 2 EHV charges'!$A:$O,9,FALSE)=0,"",VLOOKUP($A181,'Annex 2 EHV charges'!$A:$O,9,FALSE)),"")</f>
        <v>28.16</v>
      </c>
      <c r="G181" s="174">
        <f>IFERROR(IF(VLOOKUP($A181,'Annex 2 EHV charges'!$A:$O,10,FALSE)=0,"",VLOOKUP($A181,'Annex 2 EHV charges'!$A:$O,10,FALSE)),"")</f>
        <v>2.12</v>
      </c>
      <c r="H181" s="174">
        <f>IFERROR(IF(VLOOKUP($A181,'Annex 2 EHV charges'!$A:$O,11,FALSE)=0,"",VLOOKUP($A181,'Annex 2 EHV charges'!$A:$O,11,FALSE)),"")</f>
        <v>2.12</v>
      </c>
    </row>
    <row r="182" spans="1:8" ht="25.5" x14ac:dyDescent="0.2">
      <c r="A182" s="93" t="str">
        <f t="array" ref="A182">IFERROR(INDEX('Annex 2 EHV charges'!$A$10:$A$301, MATCH(0, IF(ISBLANK('Annex 2 EHV charges'!$A$10:$A$301),1, COUNTIF(A$4:$A181, 'Annex 2 EHV charges'!$A$10:$A$301)), 0)),"")</f>
        <v>NYSEIB</v>
      </c>
      <c r="B182" s="93">
        <f>IF($A182="","",VLOOKUP($A182,'Annex 2 EHV charges'!$A:$O,2,0))</f>
        <v>487</v>
      </c>
      <c r="C182" s="94" t="str">
        <f>IF($A182="","",VLOOKUP($A182,'Annex 2 EHV charges'!$A:$O,3,0))</f>
        <v>1030062357839
1030062357607</v>
      </c>
      <c r="D182" s="93" t="str">
        <f>IF($A182="","",VLOOKUP($A182,'Annex 2 EHV charges'!$A:$O,7,0))</f>
        <v>NYSEIB</v>
      </c>
      <c r="E182" s="173">
        <f>IFERROR(IF(VLOOKUP($A182,'Annex 2 EHV charges'!$A:$O,8,FALSE)=0,"",VLOOKUP($A182,'Annex 2 EHV charges'!$A:$O,8,FALSE)),"")</f>
        <v>0.40200000000000002</v>
      </c>
      <c r="F182" s="175">
        <f>IFERROR(IF(VLOOKUP($A182,'Annex 2 EHV charges'!$A:$O,9,FALSE)=0,"",VLOOKUP($A182,'Annex 2 EHV charges'!$A:$O,9,FALSE)),"")</f>
        <v>5241.03</v>
      </c>
      <c r="G182" s="174">
        <f>IFERROR(IF(VLOOKUP($A182,'Annex 2 EHV charges'!$A:$O,10,FALSE)=0,"",VLOOKUP($A182,'Annex 2 EHV charges'!$A:$O,10,FALSE)),"")</f>
        <v>1.95</v>
      </c>
      <c r="H182" s="174">
        <f>IFERROR(IF(VLOOKUP($A182,'Annex 2 EHV charges'!$A:$O,11,FALSE)=0,"",VLOOKUP($A182,'Annex 2 EHV charges'!$A:$O,11,FALSE)),"")</f>
        <v>1.95</v>
      </c>
    </row>
    <row r="183" spans="1:8" x14ac:dyDescent="0.2">
      <c r="A183" s="93" t="str">
        <f t="array" ref="A183">IFERROR(INDEX('Annex 2 EHV charges'!$A$10:$A$301, MATCH(0, IF(ISBLANK('Annex 2 EHV charges'!$A$10:$A$301),1, COUNTIF(A$4:$A182, 'Annex 2 EHV charges'!$A$10:$A$301)), 0)),"")</f>
        <v>OLDAIR</v>
      </c>
      <c r="B183" s="93">
        <f>IF($A183="","",VLOOKUP($A183,'Annex 2 EHV charges'!$A:$O,2,0))</f>
        <v>525</v>
      </c>
      <c r="C183" s="94">
        <f>IF($A183="","",VLOOKUP($A183,'Annex 2 EHV charges'!$A:$O,3,0))</f>
        <v>1050000890756</v>
      </c>
      <c r="D183" s="93" t="str">
        <f>IF($A183="","",VLOOKUP($A183,'Annex 2 EHV charges'!$A:$O,7,0))</f>
        <v>OLDAIR</v>
      </c>
      <c r="E183" s="173">
        <f>IFERROR(IF(VLOOKUP($A183,'Annex 2 EHV charges'!$A:$O,8,FALSE)=0,"",VLOOKUP($A183,'Annex 2 EHV charges'!$A:$O,8,FALSE)),"")</f>
        <v>0.40500000000000003</v>
      </c>
      <c r="F183" s="175">
        <f>IFERROR(IF(VLOOKUP($A183,'Annex 2 EHV charges'!$A:$O,9,FALSE)=0,"",VLOOKUP($A183,'Annex 2 EHV charges'!$A:$O,9,FALSE)),"")</f>
        <v>13.12</v>
      </c>
      <c r="G183" s="174">
        <f>IFERROR(IF(VLOOKUP($A183,'Annex 2 EHV charges'!$A:$O,10,FALSE)=0,"",VLOOKUP($A183,'Annex 2 EHV charges'!$A:$O,10,FALSE)),"")</f>
        <v>1.63</v>
      </c>
      <c r="H183" s="174">
        <f>IFERROR(IF(VLOOKUP($A183,'Annex 2 EHV charges'!$A:$O,11,FALSE)=0,"",VLOOKUP($A183,'Annex 2 EHV charges'!$A:$O,11,FALSE)),"")</f>
        <v>1.63</v>
      </c>
    </row>
    <row r="184" spans="1:8" x14ac:dyDescent="0.2">
      <c r="A184" s="93" t="str">
        <f t="array" ref="A184">IFERROR(INDEX('Annex 2 EHV charges'!$A$10:$A$301, MATCH(0, IF(ISBLANK('Annex 2 EHV charges'!$A$10:$A$301),1, COUNTIF(A$4:$A183, 'Annex 2 EHV charges'!$A$10:$A$301)), 0)),"")</f>
        <v>OULTON</v>
      </c>
      <c r="B184" s="93">
        <f>IF($A184="","",VLOOKUP($A184,'Annex 2 EHV charges'!$A:$O,2,0))</f>
        <v>554</v>
      </c>
      <c r="C184" s="94">
        <f>IF($A184="","",VLOOKUP($A184,'Annex 2 EHV charges'!$A:$O,3,0))</f>
        <v>1050001028544</v>
      </c>
      <c r="D184" s="93" t="str">
        <f>IF($A184="","",VLOOKUP($A184,'Annex 2 EHV charges'!$A:$O,7,0))</f>
        <v>OULTON</v>
      </c>
      <c r="E184" s="173">
        <f>IFERROR(IF(VLOOKUP($A184,'Annex 2 EHV charges'!$A:$O,8,FALSE)=0,"",VLOOKUP($A184,'Annex 2 EHV charges'!$A:$O,8,FALSE)),"")</f>
        <v>2.3E-2</v>
      </c>
      <c r="F184" s="175">
        <f>IFERROR(IF(VLOOKUP($A184,'Annex 2 EHV charges'!$A:$O,9,FALSE)=0,"",VLOOKUP($A184,'Annex 2 EHV charges'!$A:$O,9,FALSE)),"")</f>
        <v>2.2999999999999998</v>
      </c>
      <c r="G184" s="174">
        <f>IFERROR(IF(VLOOKUP($A184,'Annex 2 EHV charges'!$A:$O,10,FALSE)=0,"",VLOOKUP($A184,'Annex 2 EHV charges'!$A:$O,10,FALSE)),"")</f>
        <v>14.22</v>
      </c>
      <c r="H184" s="174">
        <f>IFERROR(IF(VLOOKUP($A184,'Annex 2 EHV charges'!$A:$O,11,FALSE)=0,"",VLOOKUP($A184,'Annex 2 EHV charges'!$A:$O,11,FALSE)),"")</f>
        <v>14.22</v>
      </c>
    </row>
    <row r="185" spans="1:8" x14ac:dyDescent="0.2">
      <c r="A185" s="93" t="str">
        <f t="array" ref="A185">IFERROR(INDEX('Annex 2 EHV charges'!$A$10:$A$301, MATCH(0, IF(ISBLANK('Annex 2 EHV charges'!$A$10:$A$301),1, COUNTIF(A$4:$A184, 'Annex 2 EHV charges'!$A$10:$A$301)), 0)),"")</f>
        <v>OUTWDS</v>
      </c>
      <c r="B185" s="93">
        <f>IF($A185="","",VLOOKUP($A185,'Annex 2 EHV charges'!$A:$O,2,0))</f>
        <v>576</v>
      </c>
      <c r="C185" s="94">
        <f>IF($A185="","",VLOOKUP($A185,'Annex 2 EHV charges'!$A:$O,3,0))</f>
        <v>1050001054190</v>
      </c>
      <c r="D185" s="93" t="str">
        <f>IF($A185="","",VLOOKUP($A185,'Annex 2 EHV charges'!$A:$O,7,0))</f>
        <v>OUTWDS</v>
      </c>
      <c r="E185" s="173">
        <f>IFERROR(IF(VLOOKUP($A185,'Annex 2 EHV charges'!$A:$O,8,FALSE)=0,"",VLOOKUP($A185,'Annex 2 EHV charges'!$A:$O,8,FALSE)),"")</f>
        <v>0.40200000000000002</v>
      </c>
      <c r="F185" s="175">
        <f>IFERROR(IF(VLOOKUP($A185,'Annex 2 EHV charges'!$A:$O,9,FALSE)=0,"",VLOOKUP($A185,'Annex 2 EHV charges'!$A:$O,9,FALSE)),"")</f>
        <v>5.34</v>
      </c>
      <c r="G185" s="174">
        <f>IFERROR(IF(VLOOKUP($A185,'Annex 2 EHV charges'!$A:$O,10,FALSE)=0,"",VLOOKUP($A185,'Annex 2 EHV charges'!$A:$O,10,FALSE)),"")</f>
        <v>1.67</v>
      </c>
      <c r="H185" s="174">
        <f>IFERROR(IF(VLOOKUP($A185,'Annex 2 EHV charges'!$A:$O,11,FALSE)=0,"",VLOOKUP($A185,'Annex 2 EHV charges'!$A:$O,11,FALSE)),"")</f>
        <v>1.67</v>
      </c>
    </row>
    <row r="186" spans="1:8" x14ac:dyDescent="0.2">
      <c r="A186" s="93" t="str">
        <f t="array" ref="A186">IFERROR(INDEX('Annex 2 EHV charges'!$A$10:$A$301, MATCH(0, IF(ISBLANK('Annex 2 EHV charges'!$A$10:$A$301),1, COUNTIF(A$4:$A185, 'Annex 2 EHV charges'!$A$10:$A$301)), 0)),"")</f>
        <v>PBPS_2</v>
      </c>
      <c r="B186" s="93">
        <f>IF($A186="","",VLOOKUP($A186,'Annex 2 EHV charges'!$A:$O,2,0))</f>
        <v>316</v>
      </c>
      <c r="C186" s="94">
        <f>IF($A186="","",VLOOKUP($A186,'Annex 2 EHV charges'!$A:$O,3,0))</f>
        <v>1050001368323</v>
      </c>
      <c r="D186" s="93" t="str">
        <f>IF($A186="","",VLOOKUP($A186,'Annex 2 EHV charges'!$A:$O,7,0))</f>
        <v>PBPS_2</v>
      </c>
      <c r="E186" s="173" t="str">
        <f>IFERROR(IF(VLOOKUP($A186,'Annex 2 EHV charges'!$A:$O,8,FALSE)=0,"",VLOOKUP($A186,'Annex 2 EHV charges'!$A:$O,8,FALSE)),"")</f>
        <v/>
      </c>
      <c r="F186" s="175">
        <f>IFERROR(IF(VLOOKUP($A186,'Annex 2 EHV charges'!$A:$O,9,FALSE)=0,"",VLOOKUP($A186,'Annex 2 EHV charges'!$A:$O,9,FALSE)),"")</f>
        <v>6.51</v>
      </c>
      <c r="G186" s="174">
        <f>IFERROR(IF(VLOOKUP($A186,'Annex 2 EHV charges'!$A:$O,10,FALSE)=0,"",VLOOKUP($A186,'Annex 2 EHV charges'!$A:$O,10,FALSE)),"")</f>
        <v>1.47</v>
      </c>
      <c r="H186" s="174">
        <f>IFERROR(IF(VLOOKUP($A186,'Annex 2 EHV charges'!$A:$O,11,FALSE)=0,"",VLOOKUP($A186,'Annex 2 EHV charges'!$A:$O,11,FALSE)),"")</f>
        <v>1.47</v>
      </c>
    </row>
    <row r="187" spans="1:8" x14ac:dyDescent="0.2">
      <c r="A187" s="93" t="str">
        <f t="array" ref="A187">IFERROR(INDEX('Annex 2 EHV charges'!$A$10:$A$301, MATCH(0, IF(ISBLANK('Annex 2 EHV charges'!$A$10:$A$301),1, COUNTIF(A$4:$A186, 'Annex 2 EHV charges'!$A$10:$A$301)), 0)),"")</f>
        <v>PICKEN</v>
      </c>
      <c r="B187" s="93">
        <f>IF($A187="","",VLOOKUP($A187,'Annex 2 EHV charges'!$A:$O,2,0))</f>
        <v>830</v>
      </c>
      <c r="C187" s="94">
        <f>IF($A187="","",VLOOKUP($A187,'Annex 2 EHV charges'!$A:$O,3,0))</f>
        <v>1030030431071</v>
      </c>
      <c r="D187" s="93" t="str">
        <f>IF($A187="","",VLOOKUP($A187,'Annex 2 EHV charges'!$A:$O,7,0))</f>
        <v>PICKEN</v>
      </c>
      <c r="E187" s="173">
        <f>IFERROR(IF(VLOOKUP($A187,'Annex 2 EHV charges'!$A:$O,8,FALSE)=0,"",VLOOKUP($A187,'Annex 2 EHV charges'!$A:$O,8,FALSE)),"")</f>
        <v>0.156</v>
      </c>
      <c r="F187" s="175">
        <f>IFERROR(IF(VLOOKUP($A187,'Annex 2 EHV charges'!$A:$O,9,FALSE)=0,"",VLOOKUP($A187,'Annex 2 EHV charges'!$A:$O,9,FALSE)),"")</f>
        <v>6.76</v>
      </c>
      <c r="G187" s="174">
        <f>IFERROR(IF(VLOOKUP($A187,'Annex 2 EHV charges'!$A:$O,10,FALSE)=0,"",VLOOKUP($A187,'Annex 2 EHV charges'!$A:$O,10,FALSE)),"")</f>
        <v>1.24</v>
      </c>
      <c r="H187" s="174">
        <f>IFERROR(IF(VLOOKUP($A187,'Annex 2 EHV charges'!$A:$O,11,FALSE)=0,"",VLOOKUP($A187,'Annex 2 EHV charges'!$A:$O,11,FALSE)),"")</f>
        <v>1.24</v>
      </c>
    </row>
    <row r="188" spans="1:8" ht="25.5" x14ac:dyDescent="0.2">
      <c r="A188" s="93" t="str">
        <f t="array" ref="A188">IFERROR(INDEX('Annex 2 EHV charges'!$A$10:$A$301, MATCH(0, IF(ISBLANK('Annex 2 EHV charges'!$A$10:$A$301),1, COUNTIF(A$4:$A187, 'Annex 2 EHV charges'!$A$10:$A$301)), 0)),"")</f>
        <v>PLMPPR</v>
      </c>
      <c r="B188" s="93">
        <f>IF($A188="","",VLOOKUP($A188,'Annex 2 EHV charges'!$A:$O,2,0))</f>
        <v>831</v>
      </c>
      <c r="C188" s="94" t="str">
        <f>IF($A188="","",VLOOKUP($A188,'Annex 2 EHV charges'!$A:$O,3,0))</f>
        <v>1030062872341
1030062872573</v>
      </c>
      <c r="D188" s="93" t="str">
        <f>IF($A188="","",VLOOKUP($A188,'Annex 2 EHV charges'!$A:$O,7,0))</f>
        <v>PLMPPR</v>
      </c>
      <c r="E188" s="173">
        <f>IFERROR(IF(VLOOKUP($A188,'Annex 2 EHV charges'!$A:$O,8,FALSE)=0,"",VLOOKUP($A188,'Annex 2 EHV charges'!$A:$O,8,FALSE)),"")</f>
        <v>0.32600000000000001</v>
      </c>
      <c r="F188" s="175">
        <f>IFERROR(IF(VLOOKUP($A188,'Annex 2 EHV charges'!$A:$O,9,FALSE)=0,"",VLOOKUP($A188,'Annex 2 EHV charges'!$A:$O,9,FALSE)),"")</f>
        <v>1526.13</v>
      </c>
      <c r="G188" s="174">
        <f>IFERROR(IF(VLOOKUP($A188,'Annex 2 EHV charges'!$A:$O,10,FALSE)=0,"",VLOOKUP($A188,'Annex 2 EHV charges'!$A:$O,10,FALSE)),"")</f>
        <v>3.35</v>
      </c>
      <c r="H188" s="174">
        <f>IFERROR(IF(VLOOKUP($A188,'Annex 2 EHV charges'!$A:$O,11,FALSE)=0,"",VLOOKUP($A188,'Annex 2 EHV charges'!$A:$O,11,FALSE)),"")</f>
        <v>3.35</v>
      </c>
    </row>
    <row r="189" spans="1:8" x14ac:dyDescent="0.2">
      <c r="A189" s="93" t="str">
        <f t="array" ref="A189">IFERROR(INDEX('Annex 2 EHV charges'!$A$10:$A$301, MATCH(0, IF(ISBLANK('Annex 2 EHV charges'!$A$10:$A$301),1, COUNTIF(A$4:$A188, 'Annex 2 EHV charges'!$A$10:$A$301)), 0)),"")</f>
        <v>PLYTRS</v>
      </c>
      <c r="B189" s="93">
        <f>IF($A189="","",VLOOKUP($A189,'Annex 2 EHV charges'!$A:$O,2,0))</f>
        <v>577</v>
      </c>
      <c r="C189" s="94">
        <f>IF($A189="","",VLOOKUP($A189,'Annex 2 EHV charges'!$A:$O,3,0))</f>
        <v>1050000903165</v>
      </c>
      <c r="D189" s="93" t="str">
        <f>IF($A189="","",VLOOKUP($A189,'Annex 2 EHV charges'!$A:$O,7,0))</f>
        <v>PLYTRS</v>
      </c>
      <c r="E189" s="173">
        <f>IFERROR(IF(VLOOKUP($A189,'Annex 2 EHV charges'!$A:$O,8,FALSE)=0,"",VLOOKUP($A189,'Annex 2 EHV charges'!$A:$O,8,FALSE)),"")</f>
        <v>6.8000000000000005E-2</v>
      </c>
      <c r="F189" s="175">
        <f>IFERROR(IF(VLOOKUP($A189,'Annex 2 EHV charges'!$A:$O,9,FALSE)=0,"",VLOOKUP($A189,'Annex 2 EHV charges'!$A:$O,9,FALSE)),"")</f>
        <v>23.16</v>
      </c>
      <c r="G189" s="174">
        <f>IFERROR(IF(VLOOKUP($A189,'Annex 2 EHV charges'!$A:$O,10,FALSE)=0,"",VLOOKUP($A189,'Annex 2 EHV charges'!$A:$O,10,FALSE)),"")</f>
        <v>1.97</v>
      </c>
      <c r="H189" s="174">
        <f>IFERROR(IF(VLOOKUP($A189,'Annex 2 EHV charges'!$A:$O,11,FALSE)=0,"",VLOOKUP($A189,'Annex 2 EHV charges'!$A:$O,11,FALSE)),"")</f>
        <v>1.97</v>
      </c>
    </row>
    <row r="190" spans="1:8" x14ac:dyDescent="0.2">
      <c r="A190" s="93" t="str">
        <f t="array" ref="A190">IFERROR(INDEX('Annex 2 EHV charges'!$A$10:$A$301, MATCH(0, IF(ISBLANK('Annex 2 EHV charges'!$A$10:$A$301),1, COUNTIF(A$4:$A189, 'Annex 2 EHV charges'!$A$10:$A$301)), 0)),"")</f>
        <v>POBAIL</v>
      </c>
      <c r="B190" s="93">
        <f>IF($A190="","",VLOOKUP($A190,'Annex 2 EHV charges'!$A:$O,2,0))</f>
        <v>565</v>
      </c>
      <c r="C190" s="94">
        <f>IF($A190="","",VLOOKUP($A190,'Annex 2 EHV charges'!$A:$O,3,0))</f>
        <v>1050001118598</v>
      </c>
      <c r="D190" s="93" t="str">
        <f>IF($A190="","",VLOOKUP($A190,'Annex 2 EHV charges'!$A:$O,7,0))</f>
        <v>POBAIL</v>
      </c>
      <c r="E190" s="173" t="str">
        <f>IFERROR(IF(VLOOKUP($A190,'Annex 2 EHV charges'!$A:$O,8,FALSE)=0,"",VLOOKUP($A190,'Annex 2 EHV charges'!$A:$O,8,FALSE)),"")</f>
        <v/>
      </c>
      <c r="F190" s="175">
        <f>IFERROR(IF(VLOOKUP($A190,'Annex 2 EHV charges'!$A:$O,9,FALSE)=0,"",VLOOKUP($A190,'Annex 2 EHV charges'!$A:$O,9,FALSE)),"")</f>
        <v>5.1100000000000003</v>
      </c>
      <c r="G190" s="174">
        <f>IFERROR(IF(VLOOKUP($A190,'Annex 2 EHV charges'!$A:$O,10,FALSE)=0,"",VLOOKUP($A190,'Annex 2 EHV charges'!$A:$O,10,FALSE)),"")</f>
        <v>1.88</v>
      </c>
      <c r="H190" s="174">
        <f>IFERROR(IF(VLOOKUP($A190,'Annex 2 EHV charges'!$A:$O,11,FALSE)=0,"",VLOOKUP($A190,'Annex 2 EHV charges'!$A:$O,11,FALSE)),"")</f>
        <v>1.88</v>
      </c>
    </row>
    <row r="191" spans="1:8" x14ac:dyDescent="0.2">
      <c r="A191" s="93" t="str">
        <f t="array" ref="A191">IFERROR(INDEX('Annex 2 EHV charges'!$A$10:$A$301, MATCH(0, IF(ISBLANK('Annex 2 EHV charges'!$A$10:$A$301),1, COUNTIF(A$4:$A190, 'Annex 2 EHV charges'!$A$10:$A$301)), 0)),"")</f>
        <v>PP_COR</v>
      </c>
      <c r="B191" s="93">
        <f>IF($A191="","",VLOOKUP($A191,'Annex 2 EHV charges'!$A:$O,2,0))</f>
        <v>832</v>
      </c>
      <c r="C191" s="94">
        <f>IF($A191="","",VLOOKUP($A191,'Annex 2 EHV charges'!$A:$O,3,0))</f>
        <v>1014569523654</v>
      </c>
      <c r="D191" s="93" t="str">
        <f>IF($A191="","",VLOOKUP($A191,'Annex 2 EHV charges'!$A:$O,7,0))</f>
        <v>PP_COR</v>
      </c>
      <c r="E191" s="173" t="str">
        <f>IFERROR(IF(VLOOKUP($A191,'Annex 2 EHV charges'!$A:$O,8,FALSE)=0,"",VLOOKUP($A191,'Annex 2 EHV charges'!$A:$O,8,FALSE)),"")</f>
        <v/>
      </c>
      <c r="F191" s="175">
        <f>IFERROR(IF(VLOOKUP($A191,'Annex 2 EHV charges'!$A:$O,9,FALSE)=0,"",VLOOKUP($A191,'Annex 2 EHV charges'!$A:$O,9,FALSE)),"")</f>
        <v>1031.95</v>
      </c>
      <c r="G191" s="174">
        <f>IFERROR(IF(VLOOKUP($A191,'Annex 2 EHV charges'!$A:$O,10,FALSE)=0,"",VLOOKUP($A191,'Annex 2 EHV charges'!$A:$O,10,FALSE)),"")</f>
        <v>2.17</v>
      </c>
      <c r="H191" s="174">
        <f>IFERROR(IF(VLOOKUP($A191,'Annex 2 EHV charges'!$A:$O,11,FALSE)=0,"",VLOOKUP($A191,'Annex 2 EHV charges'!$A:$O,11,FALSE)),"")</f>
        <v>2.17</v>
      </c>
    </row>
    <row r="192" spans="1:8" ht="25.5" x14ac:dyDescent="0.2">
      <c r="A192" s="93" t="str">
        <f t="array" ref="A192">IFERROR(INDEX('Annex 2 EHV charges'!$A$10:$A$301, MATCH(0, IF(ISBLANK('Annex 2 EHV charges'!$A$10:$A$301),1, COUNTIF(A$4:$A191, 'Annex 2 EHV charges'!$A$10:$A$301)), 0)),"")</f>
        <v>PRECIS</v>
      </c>
      <c r="B192" s="93">
        <f>IF($A192="","",VLOOKUP($A192,'Annex 2 EHV charges'!$A:$O,2,0))</f>
        <v>488</v>
      </c>
      <c r="C192" s="94" t="str">
        <f>IF($A192="","",VLOOKUP($A192,'Annex 2 EHV charges'!$A:$O,3,0))</f>
        <v>1014572632790
1015685836242</v>
      </c>
      <c r="D192" s="93" t="str">
        <f>IF($A192="","",VLOOKUP($A192,'Annex 2 EHV charges'!$A:$O,7,0))</f>
        <v>PRECIS</v>
      </c>
      <c r="E192" s="173">
        <f>IFERROR(IF(VLOOKUP($A192,'Annex 2 EHV charges'!$A:$O,8,FALSE)=0,"",VLOOKUP($A192,'Annex 2 EHV charges'!$A:$O,8,FALSE)),"")</f>
        <v>1.0309999999999999</v>
      </c>
      <c r="F192" s="175">
        <f>IFERROR(IF(VLOOKUP($A192,'Annex 2 EHV charges'!$A:$O,9,FALSE)=0,"",VLOOKUP($A192,'Annex 2 EHV charges'!$A:$O,9,FALSE)),"")</f>
        <v>179.86</v>
      </c>
      <c r="G192" s="174">
        <f>IFERROR(IF(VLOOKUP($A192,'Annex 2 EHV charges'!$A:$O,10,FALSE)=0,"",VLOOKUP($A192,'Annex 2 EHV charges'!$A:$O,10,FALSE)),"")</f>
        <v>8.17</v>
      </c>
      <c r="H192" s="174">
        <f>IFERROR(IF(VLOOKUP($A192,'Annex 2 EHV charges'!$A:$O,11,FALSE)=0,"",VLOOKUP($A192,'Annex 2 EHV charges'!$A:$O,11,FALSE)),"")</f>
        <v>8.17</v>
      </c>
    </row>
    <row r="193" spans="1:8" x14ac:dyDescent="0.2">
      <c r="A193" s="93" t="str">
        <f t="array" ref="A193">IFERROR(INDEX('Annex 2 EHV charges'!$A$10:$A$301, MATCH(0, IF(ISBLANK('Annex 2 EHV charges'!$A$10:$A$301),1, COUNTIF(A$4:$A192, 'Annex 2 EHV charges'!$A$10:$A$301)), 0)),"")</f>
        <v>PRHMSF</v>
      </c>
      <c r="B193" s="93">
        <f>IF($A193="","",VLOOKUP($A193,'Annex 2 EHV charges'!$A:$O,2,0))</f>
        <v>895</v>
      </c>
      <c r="C193" s="94">
        <f>IF($A193="","",VLOOKUP($A193,'Annex 2 EHV charges'!$A:$O,3,0))</f>
        <v>1030085099084</v>
      </c>
      <c r="D193" s="93" t="str">
        <f>IF($A193="","",VLOOKUP($A193,'Annex 2 EHV charges'!$A:$O,7,0))</f>
        <v>PRHMSF</v>
      </c>
      <c r="E193" s="173">
        <f>IFERROR(IF(VLOOKUP($A193,'Annex 2 EHV charges'!$A:$O,8,FALSE)=0,"",VLOOKUP($A193,'Annex 2 EHV charges'!$A:$O,8,FALSE)),"")</f>
        <v>2.1179999999999999</v>
      </c>
      <c r="F193" s="175">
        <f>IFERROR(IF(VLOOKUP($A193,'Annex 2 EHV charges'!$A:$O,9,FALSE)=0,"",VLOOKUP($A193,'Annex 2 EHV charges'!$A:$O,9,FALSE)),"")</f>
        <v>7.09</v>
      </c>
      <c r="G193" s="174">
        <f>IFERROR(IF(VLOOKUP($A193,'Annex 2 EHV charges'!$A:$O,10,FALSE)=0,"",VLOOKUP($A193,'Annex 2 EHV charges'!$A:$O,10,FALSE)),"")</f>
        <v>11.48</v>
      </c>
      <c r="H193" s="174">
        <f>IFERROR(IF(VLOOKUP($A193,'Annex 2 EHV charges'!$A:$O,11,FALSE)=0,"",VLOOKUP($A193,'Annex 2 EHV charges'!$A:$O,11,FALSE)),"")</f>
        <v>11.48</v>
      </c>
    </row>
    <row r="194" spans="1:8" ht="25.5" x14ac:dyDescent="0.2">
      <c r="A194" s="93" t="str">
        <f t="array" ref="A194">IFERROR(INDEX('Annex 2 EHV charges'!$A$10:$A$301, MATCH(0, IF(ISBLANK('Annex 2 EHV charges'!$A$10:$A$301),1, COUNTIF(A$4:$A193, 'Annex 2 EHV charges'!$A$10:$A$301)), 0)),"")</f>
        <v>PRMFDS</v>
      </c>
      <c r="B194" s="93">
        <f>IF($A194="","",VLOOKUP($A194,'Annex 2 EHV charges'!$A:$O,2,0))</f>
        <v>489</v>
      </c>
      <c r="C194" s="94" t="str">
        <f>IF($A194="","",VLOOKUP($A194,'Annex 2 EHV charges'!$A:$O,3,0))</f>
        <v>1014572860726
1023479474560</v>
      </c>
      <c r="D194" s="93" t="str">
        <f>IF($A194="","",VLOOKUP($A194,'Annex 2 EHV charges'!$A:$O,7,0))</f>
        <v>PRMFDS</v>
      </c>
      <c r="E194" s="173">
        <f>IFERROR(IF(VLOOKUP($A194,'Annex 2 EHV charges'!$A:$O,8,FALSE)=0,"",VLOOKUP($A194,'Annex 2 EHV charges'!$A:$O,8,FALSE)),"")</f>
        <v>1.4970000000000001</v>
      </c>
      <c r="F194" s="175">
        <f>IFERROR(IF(VLOOKUP($A194,'Annex 2 EHV charges'!$A:$O,9,FALSE)=0,"",VLOOKUP($A194,'Annex 2 EHV charges'!$A:$O,9,FALSE)),"")</f>
        <v>179.86</v>
      </c>
      <c r="G194" s="174">
        <f>IFERROR(IF(VLOOKUP($A194,'Annex 2 EHV charges'!$A:$O,10,FALSE)=0,"",VLOOKUP($A194,'Annex 2 EHV charges'!$A:$O,10,FALSE)),"")</f>
        <v>6.41</v>
      </c>
      <c r="H194" s="174">
        <f>IFERROR(IF(VLOOKUP($A194,'Annex 2 EHV charges'!$A:$O,11,FALSE)=0,"",VLOOKUP($A194,'Annex 2 EHV charges'!$A:$O,11,FALSE)),"")</f>
        <v>6.41</v>
      </c>
    </row>
    <row r="195" spans="1:8" x14ac:dyDescent="0.2">
      <c r="A195" s="93" t="str">
        <f t="array" ref="A195">IFERROR(INDEX('Annex 2 EHV charges'!$A$10:$A$301, MATCH(0, IF(ISBLANK('Annex 2 EHV charges'!$A$10:$A$301),1, COUNTIF(A$4:$A194, 'Annex 2 EHV charges'!$A$10:$A$301)), 0)),"")</f>
        <v>PTRBRO</v>
      </c>
      <c r="B195" s="93">
        <f>IF($A195="","",VLOOKUP($A195,'Annex 2 EHV charges'!$A:$O,2,0))</f>
        <v>0</v>
      </c>
      <c r="C195" s="94" t="str">
        <f>IF($A195="","",VLOOKUP($A195,'Annex 2 EHV charges'!$A:$O,3,0))</f>
        <v xml:space="preserve"> MSID: 7006</v>
      </c>
      <c r="D195" s="93" t="str">
        <f>IF($A195="","",VLOOKUP($A195,'Annex 2 EHV charges'!$A:$O,7,0))</f>
        <v>PTRBRO</v>
      </c>
      <c r="E195" s="173" t="str">
        <f>IFERROR(IF(VLOOKUP($A195,'Annex 2 EHV charges'!$A:$O,8,FALSE)=0,"",VLOOKUP($A195,'Annex 2 EHV charges'!$A:$O,8,FALSE)),"")</f>
        <v/>
      </c>
      <c r="F195" s="175">
        <f>IFERROR(IF(VLOOKUP($A195,'Annex 2 EHV charges'!$A:$O,9,FALSE)=0,"",VLOOKUP($A195,'Annex 2 EHV charges'!$A:$O,9,FALSE)),"")</f>
        <v>19.52</v>
      </c>
      <c r="G195" s="174">
        <f>IFERROR(IF(VLOOKUP($A195,'Annex 2 EHV charges'!$A:$O,10,FALSE)=0,"",VLOOKUP($A195,'Annex 2 EHV charges'!$A:$O,10,FALSE)),"")</f>
        <v>1.51</v>
      </c>
      <c r="H195" s="174">
        <f>IFERROR(IF(VLOOKUP($A195,'Annex 2 EHV charges'!$A:$O,11,FALSE)=0,"",VLOOKUP($A195,'Annex 2 EHV charges'!$A:$O,11,FALSE)),"")</f>
        <v>1.51</v>
      </c>
    </row>
    <row r="196" spans="1:8" x14ac:dyDescent="0.2">
      <c r="A196" s="93" t="str">
        <f t="array" ref="A196">IFERROR(INDEX('Annex 2 EHV charges'!$A$10:$A$301, MATCH(0, IF(ISBLANK('Annex 2 EHV charges'!$A$10:$A$301),1, COUNTIF(A$4:$A195, 'Annex 2 EHV charges'!$A$10:$A$301)), 0)),"")</f>
        <v>QNETIC</v>
      </c>
      <c r="B196" s="93">
        <f>IF($A196="","",VLOOKUP($A196,'Annex 2 EHV charges'!$A:$O,2,0))</f>
        <v>490</v>
      </c>
      <c r="C196" s="94">
        <f>IF($A196="","",VLOOKUP($A196,'Annex 2 EHV charges'!$A:$O,3,0))</f>
        <v>1014572722956</v>
      </c>
      <c r="D196" s="93" t="str">
        <f>IF($A196="","",VLOOKUP($A196,'Annex 2 EHV charges'!$A:$O,7,0))</f>
        <v>QNETIC</v>
      </c>
      <c r="E196" s="173">
        <f>IFERROR(IF(VLOOKUP($A196,'Annex 2 EHV charges'!$A:$O,8,FALSE)=0,"",VLOOKUP($A196,'Annex 2 EHV charges'!$A:$O,8,FALSE)),"")</f>
        <v>4.0000000000000001E-3</v>
      </c>
      <c r="F196" s="175">
        <f>IFERROR(IF(VLOOKUP($A196,'Annex 2 EHV charges'!$A:$O,9,FALSE)=0,"",VLOOKUP($A196,'Annex 2 EHV charges'!$A:$O,9,FALSE)),"")</f>
        <v>89.93</v>
      </c>
      <c r="G196" s="174">
        <f>IFERROR(IF(VLOOKUP($A196,'Annex 2 EHV charges'!$A:$O,10,FALSE)=0,"",VLOOKUP($A196,'Annex 2 EHV charges'!$A:$O,10,FALSE)),"")</f>
        <v>3</v>
      </c>
      <c r="H196" s="174">
        <f>IFERROR(IF(VLOOKUP($A196,'Annex 2 EHV charges'!$A:$O,11,FALSE)=0,"",VLOOKUP($A196,'Annex 2 EHV charges'!$A:$O,11,FALSE)),"")</f>
        <v>3</v>
      </c>
    </row>
    <row r="197" spans="1:8" x14ac:dyDescent="0.2">
      <c r="A197" s="93" t="str">
        <f t="array" ref="A197">IFERROR(INDEX('Annex 2 EHV charges'!$A$10:$A$301, MATCH(0, IF(ISBLANK('Annex 2 EHV charges'!$A$10:$A$301),1, COUNTIF(A$4:$A196, 'Annex 2 EHV charges'!$A$10:$A$301)), 0)),"")</f>
        <v>QRRNDN</v>
      </c>
      <c r="B197" s="93">
        <f>IF($A197="","",VLOOKUP($A197,'Annex 2 EHV charges'!$A:$O,2,0))</f>
        <v>526</v>
      </c>
      <c r="C197" s="94">
        <f>IF($A197="","",VLOOKUP($A197,'Annex 2 EHV charges'!$A:$O,3,0))</f>
        <v>1050000768550</v>
      </c>
      <c r="D197" s="93" t="str">
        <f>IF($A197="","",VLOOKUP($A197,'Annex 2 EHV charges'!$A:$O,7,0))</f>
        <v>QRRNDN</v>
      </c>
      <c r="E197" s="173">
        <f>IFERROR(IF(VLOOKUP($A197,'Annex 2 EHV charges'!$A:$O,8,FALSE)=0,"",VLOOKUP($A197,'Annex 2 EHV charges'!$A:$O,8,FALSE)),"")</f>
        <v>1.698</v>
      </c>
      <c r="F197" s="175">
        <f>IFERROR(IF(VLOOKUP($A197,'Annex 2 EHV charges'!$A:$O,9,FALSE)=0,"",VLOOKUP($A197,'Annex 2 EHV charges'!$A:$O,9,FALSE)),"")</f>
        <v>34.31</v>
      </c>
      <c r="G197" s="174">
        <f>IFERROR(IF(VLOOKUP($A197,'Annex 2 EHV charges'!$A:$O,10,FALSE)=0,"",VLOOKUP($A197,'Annex 2 EHV charges'!$A:$O,10,FALSE)),"")</f>
        <v>6.65</v>
      </c>
      <c r="H197" s="174">
        <f>IFERROR(IF(VLOOKUP($A197,'Annex 2 EHV charges'!$A:$O,11,FALSE)=0,"",VLOOKUP($A197,'Annex 2 EHV charges'!$A:$O,11,FALSE)),"")</f>
        <v>6.65</v>
      </c>
    </row>
    <row r="198" spans="1:8" x14ac:dyDescent="0.2">
      <c r="A198" s="93" t="str">
        <f t="array" ref="A198">IFERROR(INDEX('Annex 2 EHV charges'!$A$10:$A$301, MATCH(0, IF(ISBLANK('Annex 2 EHV charges'!$A$10:$A$301),1, COUNTIF(A$4:$A197, 'Annex 2 EHV charges'!$A$10:$A$301)), 0)),"")</f>
        <v>RAF_AL</v>
      </c>
      <c r="B198" s="93">
        <f>IF($A198="","",VLOOKUP($A198,'Annex 2 EHV charges'!$A:$O,2,0))</f>
        <v>491</v>
      </c>
      <c r="C198" s="94">
        <f>IF($A198="","",VLOOKUP($A198,'Annex 2 EHV charges'!$A:$O,3,0))</f>
        <v>1014572929954</v>
      </c>
      <c r="D198" s="93" t="str">
        <f>IF($A198="","",VLOOKUP($A198,'Annex 2 EHV charges'!$A:$O,7,0))</f>
        <v>RAF_AL</v>
      </c>
      <c r="E198" s="173">
        <f>IFERROR(IF(VLOOKUP($A198,'Annex 2 EHV charges'!$A:$O,8,FALSE)=0,"",VLOOKUP($A198,'Annex 2 EHV charges'!$A:$O,8,FALSE)),"")</f>
        <v>0.99</v>
      </c>
      <c r="F198" s="175">
        <f>IFERROR(IF(VLOOKUP($A198,'Annex 2 EHV charges'!$A:$O,9,FALSE)=0,"",VLOOKUP($A198,'Annex 2 EHV charges'!$A:$O,9,FALSE)),"")</f>
        <v>1199.3599999999999</v>
      </c>
      <c r="G198" s="174">
        <f>IFERROR(IF(VLOOKUP($A198,'Annex 2 EHV charges'!$A:$O,10,FALSE)=0,"",VLOOKUP($A198,'Annex 2 EHV charges'!$A:$O,10,FALSE)),"")</f>
        <v>5.55</v>
      </c>
      <c r="H198" s="174">
        <f>IFERROR(IF(VLOOKUP($A198,'Annex 2 EHV charges'!$A:$O,11,FALSE)=0,"",VLOOKUP($A198,'Annex 2 EHV charges'!$A:$O,11,FALSE)),"")</f>
        <v>5.55</v>
      </c>
    </row>
    <row r="199" spans="1:8" ht="25.5" x14ac:dyDescent="0.2">
      <c r="A199" s="93" t="str">
        <f t="array" ref="A199">IFERROR(INDEX('Annex 2 EHV charges'!$A$10:$A$301, MATCH(0, IF(ISBLANK('Annex 2 EHV charges'!$A$10:$A$301),1, COUNTIF(A$4:$A198, 'Annex 2 EHV charges'!$A$10:$A$301)), 0)),"")</f>
        <v>RAINHM</v>
      </c>
      <c r="B199" s="93">
        <f>IF($A199="","",VLOOKUP($A199,'Annex 2 EHV charges'!$A:$O,2,0))</f>
        <v>862</v>
      </c>
      <c r="C199" s="94" t="str">
        <f>IF($A199="","",VLOOKUP($A199,'Annex 2 EHV charges'!$A:$O,3,0))</f>
        <v>1023487353212
1023487352751</v>
      </c>
      <c r="D199" s="93" t="str">
        <f>IF($A199="","",VLOOKUP($A199,'Annex 2 EHV charges'!$A:$O,7,0))</f>
        <v>RAINHM</v>
      </c>
      <c r="E199" s="173">
        <f>IFERROR(IF(VLOOKUP($A199,'Annex 2 EHV charges'!$A:$O,8,FALSE)=0,"",VLOOKUP($A199,'Annex 2 EHV charges'!$A:$O,8,FALSE)),"")</f>
        <v>0.82</v>
      </c>
      <c r="F199" s="175">
        <f>IFERROR(IF(VLOOKUP($A199,'Annex 2 EHV charges'!$A:$O,9,FALSE)=0,"",VLOOKUP($A199,'Annex 2 EHV charges'!$A:$O,9,FALSE)),"")</f>
        <v>23.25</v>
      </c>
      <c r="G199" s="174">
        <f>IFERROR(IF(VLOOKUP($A199,'Annex 2 EHV charges'!$A:$O,10,FALSE)=0,"",VLOOKUP($A199,'Annex 2 EHV charges'!$A:$O,10,FALSE)),"")</f>
        <v>1.79</v>
      </c>
      <c r="H199" s="174">
        <f>IFERROR(IF(VLOOKUP($A199,'Annex 2 EHV charges'!$A:$O,11,FALSE)=0,"",VLOOKUP($A199,'Annex 2 EHV charges'!$A:$O,11,FALSE)),"")</f>
        <v>1.79</v>
      </c>
    </row>
    <row r="200" spans="1:8" x14ac:dyDescent="0.2">
      <c r="A200" s="93" t="str">
        <f t="array" ref="A200">IFERROR(INDEX('Annex 2 EHV charges'!$A$10:$A$301, MATCH(0, IF(ISBLANK('Annex 2 EHV charges'!$A$10:$A$301),1, COUNTIF(A$4:$A199, 'Annex 2 EHV charges'!$A$10:$A$301)), 0)),"")</f>
        <v>RANDCS</v>
      </c>
      <c r="B200" s="93">
        <f>IF($A200="","",VLOOKUP($A200,'Annex 2 EHV charges'!$A:$O,2,0))</f>
        <v>555</v>
      </c>
      <c r="C200" s="94">
        <f>IF($A200="","",VLOOKUP($A200,'Annex 2 EHV charges'!$A:$O,3,0))</f>
        <v>1050001041962</v>
      </c>
      <c r="D200" s="93" t="str">
        <f>IF($A200="","",VLOOKUP($A200,'Annex 2 EHV charges'!$A:$O,7,0))</f>
        <v>RANDCS</v>
      </c>
      <c r="E200" s="173" t="str">
        <f>IFERROR(IF(VLOOKUP($A200,'Annex 2 EHV charges'!$A:$O,8,FALSE)=0,"",VLOOKUP($A200,'Annex 2 EHV charges'!$A:$O,8,FALSE)),"")</f>
        <v/>
      </c>
      <c r="F200" s="175">
        <f>IFERROR(IF(VLOOKUP($A200,'Annex 2 EHV charges'!$A:$O,9,FALSE)=0,"",VLOOKUP($A200,'Annex 2 EHV charges'!$A:$O,9,FALSE)),"")</f>
        <v>5.62</v>
      </c>
      <c r="G200" s="174">
        <f>IFERROR(IF(VLOOKUP($A200,'Annex 2 EHV charges'!$A:$O,10,FALSE)=0,"",VLOOKUP($A200,'Annex 2 EHV charges'!$A:$O,10,FALSE)),"")</f>
        <v>3.15</v>
      </c>
      <c r="H200" s="174">
        <f>IFERROR(IF(VLOOKUP($A200,'Annex 2 EHV charges'!$A:$O,11,FALSE)=0,"",VLOOKUP($A200,'Annex 2 EHV charges'!$A:$O,11,FALSE)),"")</f>
        <v>3.15</v>
      </c>
    </row>
    <row r="201" spans="1:8" x14ac:dyDescent="0.2">
      <c r="A201" s="93" t="str">
        <f t="array" ref="A201">IFERROR(INDEX('Annex 2 EHV charges'!$A$10:$A$301, MATCH(0, IF(ISBLANK('Annex 2 EHV charges'!$A$10:$A$301),1, COUNTIF(A$4:$A200, 'Annex 2 EHV charges'!$A$10:$A$301)), 0)),"")</f>
        <v>RANJAC</v>
      </c>
      <c r="B201" s="93">
        <f>IF($A201="","",VLOOKUP($A201,'Annex 2 EHV charges'!$A:$O,2,0))</f>
        <v>492</v>
      </c>
      <c r="C201" s="94">
        <f>IF($A201="","",VLOOKUP($A201,'Annex 2 EHV charges'!$A:$O,3,0))</f>
        <v>1014712345991</v>
      </c>
      <c r="D201" s="93" t="str">
        <f>IF($A201="","",VLOOKUP($A201,'Annex 2 EHV charges'!$A:$O,7,0))</f>
        <v>RANJAC</v>
      </c>
      <c r="E201" s="173">
        <f>IFERROR(IF(VLOOKUP($A201,'Annex 2 EHV charges'!$A:$O,8,FALSE)=0,"",VLOOKUP($A201,'Annex 2 EHV charges'!$A:$O,8,FALSE)),"")</f>
        <v>0.124</v>
      </c>
      <c r="F201" s="175">
        <f>IFERROR(IF(VLOOKUP($A201,'Annex 2 EHV charges'!$A:$O,9,FALSE)=0,"",VLOOKUP($A201,'Annex 2 EHV charges'!$A:$O,9,FALSE)),"")</f>
        <v>89.93</v>
      </c>
      <c r="G201" s="174">
        <f>IFERROR(IF(VLOOKUP($A201,'Annex 2 EHV charges'!$A:$O,10,FALSE)=0,"",VLOOKUP($A201,'Annex 2 EHV charges'!$A:$O,10,FALSE)),"")</f>
        <v>3.1</v>
      </c>
      <c r="H201" s="174">
        <f>IFERROR(IF(VLOOKUP($A201,'Annex 2 EHV charges'!$A:$O,11,FALSE)=0,"",VLOOKUP($A201,'Annex 2 EHV charges'!$A:$O,11,FALSE)),"")</f>
        <v>3.1</v>
      </c>
    </row>
    <row r="202" spans="1:8" x14ac:dyDescent="0.2">
      <c r="A202" s="93" t="str">
        <f t="array" ref="A202">IFERROR(INDEX('Annex 2 EHV charges'!$A$10:$A$301, MATCH(0, IF(ISBLANK('Annex 2 EHV charges'!$A$10:$A$301),1, COUNTIF(A$4:$A201, 'Annex 2 EHV charges'!$A$10:$A$301)), 0)),"")</f>
        <v>RANSON</v>
      </c>
      <c r="B202" s="93">
        <f>IF($A202="","",VLOOKUP($A202,'Annex 2 EHV charges'!$A:$O,2,0))</f>
        <v>834</v>
      </c>
      <c r="C202" s="94">
        <f>IF($A202="","",VLOOKUP($A202,'Annex 2 EHV charges'!$A:$O,3,0))</f>
        <v>1030034117745</v>
      </c>
      <c r="D202" s="93" t="str">
        <f>IF($A202="","",VLOOKUP($A202,'Annex 2 EHV charges'!$A:$O,7,0))</f>
        <v>RANSON</v>
      </c>
      <c r="E202" s="173" t="str">
        <f>IFERROR(IF(VLOOKUP($A202,'Annex 2 EHV charges'!$A:$O,8,FALSE)=0,"",VLOOKUP($A202,'Annex 2 EHV charges'!$A:$O,8,FALSE)),"")</f>
        <v/>
      </c>
      <c r="F202" s="175">
        <f>IFERROR(IF(VLOOKUP($A202,'Annex 2 EHV charges'!$A:$O,9,FALSE)=0,"",VLOOKUP($A202,'Annex 2 EHV charges'!$A:$O,9,FALSE)),"")</f>
        <v>2.5</v>
      </c>
      <c r="G202" s="174">
        <f>IFERROR(IF(VLOOKUP($A202,'Annex 2 EHV charges'!$A:$O,10,FALSE)=0,"",VLOOKUP($A202,'Annex 2 EHV charges'!$A:$O,10,FALSE)),"")</f>
        <v>1.65</v>
      </c>
      <c r="H202" s="174">
        <f>IFERROR(IF(VLOOKUP($A202,'Annex 2 EHV charges'!$A:$O,11,FALSE)=0,"",VLOOKUP($A202,'Annex 2 EHV charges'!$A:$O,11,FALSE)),"")</f>
        <v>1.65</v>
      </c>
    </row>
    <row r="203" spans="1:8" ht="25.5" x14ac:dyDescent="0.2">
      <c r="A203" s="93" t="str">
        <f t="array" ref="A203">IFERROR(INDEX('Annex 2 EHV charges'!$A$10:$A$301, MATCH(0, IF(ISBLANK('Annex 2 EHV charges'!$A$10:$A$301),1, COUNTIF(A$4:$A202, 'Annex 2 EHV charges'!$A$10:$A$301)), 0)),"")</f>
        <v>REDTI1</v>
      </c>
      <c r="B203" s="93">
        <f>IF($A203="","",VLOOKUP($A203,'Annex 2 EHV charges'!$A:$O,2,0))</f>
        <v>815</v>
      </c>
      <c r="C203" s="94" t="str">
        <f>IF($A203="","",VLOOKUP($A203,'Annex 2 EHV charges'!$A:$O,3,0))</f>
        <v>1030037720697
1030037258165</v>
      </c>
      <c r="D203" s="93" t="str">
        <f>IF($A203="","",VLOOKUP($A203,'Annex 2 EHV charges'!$A:$O,7,0))</f>
        <v>REDTI1</v>
      </c>
      <c r="E203" s="173">
        <f>IFERROR(IF(VLOOKUP($A203,'Annex 2 EHV charges'!$A:$O,8,FALSE)=0,"",VLOOKUP($A203,'Annex 2 EHV charges'!$A:$O,8,FALSE)),"")</f>
        <v>0.13200000000000001</v>
      </c>
      <c r="F203" s="175">
        <f>IFERROR(IF(VLOOKUP($A203,'Annex 2 EHV charges'!$A:$O,9,FALSE)=0,"",VLOOKUP($A203,'Annex 2 EHV charges'!$A:$O,9,FALSE)),"")</f>
        <v>155.13999999999999</v>
      </c>
      <c r="G203" s="174">
        <f>IFERROR(IF(VLOOKUP($A203,'Annex 2 EHV charges'!$A:$O,10,FALSE)=0,"",VLOOKUP($A203,'Annex 2 EHV charges'!$A:$O,10,FALSE)),"")</f>
        <v>2.71</v>
      </c>
      <c r="H203" s="174">
        <f>IFERROR(IF(VLOOKUP($A203,'Annex 2 EHV charges'!$A:$O,11,FALSE)=0,"",VLOOKUP($A203,'Annex 2 EHV charges'!$A:$O,11,FALSE)),"")</f>
        <v>2.71</v>
      </c>
    </row>
    <row r="204" spans="1:8" x14ac:dyDescent="0.2">
      <c r="A204" s="93" t="str">
        <f t="array" ref="A204">IFERROR(INDEX('Annex 2 EHV charges'!$A$10:$A$301, MATCH(0, IF(ISBLANK('Annex 2 EHV charges'!$A$10:$A$301),1, COUNTIF(A$4:$A203, 'Annex 2 EHV charges'!$A$10:$A$301)), 0)),"")</f>
        <v>REYDON</v>
      </c>
      <c r="B204" s="93">
        <f>IF($A204="","",VLOOKUP($A204,'Annex 2 EHV charges'!$A:$O,2,0))</f>
        <v>896</v>
      </c>
      <c r="C204" s="94">
        <f>IF($A204="","",VLOOKUP($A204,'Annex 2 EHV charges'!$A:$O,3,0))</f>
        <v>1050000612816</v>
      </c>
      <c r="D204" s="93" t="str">
        <f>IF($A204="","",VLOOKUP($A204,'Annex 2 EHV charges'!$A:$O,7,0))</f>
        <v>REYDON</v>
      </c>
      <c r="E204" s="173">
        <f>IFERROR(IF(VLOOKUP($A204,'Annex 2 EHV charges'!$A:$O,8,FALSE)=0,"",VLOOKUP($A204,'Annex 2 EHV charges'!$A:$O,8,FALSE)),"")</f>
        <v>3.9E-2</v>
      </c>
      <c r="F204" s="175">
        <f>IFERROR(IF(VLOOKUP($A204,'Annex 2 EHV charges'!$A:$O,9,FALSE)=0,"",VLOOKUP($A204,'Annex 2 EHV charges'!$A:$O,9,FALSE)),"")</f>
        <v>3.53</v>
      </c>
      <c r="G204" s="174">
        <f>IFERROR(IF(VLOOKUP($A204,'Annex 2 EHV charges'!$A:$O,10,FALSE)=0,"",VLOOKUP($A204,'Annex 2 EHV charges'!$A:$O,10,FALSE)),"")</f>
        <v>2.85</v>
      </c>
      <c r="H204" s="174">
        <f>IFERROR(IF(VLOOKUP($A204,'Annex 2 EHV charges'!$A:$O,11,FALSE)=0,"",VLOOKUP($A204,'Annex 2 EHV charges'!$A:$O,11,FALSE)),"")</f>
        <v>2.85</v>
      </c>
    </row>
    <row r="205" spans="1:8" x14ac:dyDescent="0.2">
      <c r="A205" s="93" t="str">
        <f t="array" ref="A205">IFERROR(INDEX('Annex 2 EHV charges'!$A$10:$A$301, MATCH(0, IF(ISBLANK('Annex 2 EHV charges'!$A$10:$A$301),1, COUNTIF(A$4:$A204, 'Annex 2 EHV charges'!$A$10:$A$301)), 0)),"")</f>
        <v>RMSYSF</v>
      </c>
      <c r="B205" s="93">
        <f>IF($A205="","",VLOOKUP($A205,'Annex 2 EHV charges'!$A:$O,2,0))</f>
        <v>556</v>
      </c>
      <c r="C205" s="94">
        <f>IF($A205="","",VLOOKUP($A205,'Annex 2 EHV charges'!$A:$O,3,0))</f>
        <v>1050001036651</v>
      </c>
      <c r="D205" s="93" t="str">
        <f>IF($A205="","",VLOOKUP($A205,'Annex 2 EHV charges'!$A:$O,7,0))</f>
        <v>RMSYSF</v>
      </c>
      <c r="E205" s="173">
        <f>IFERROR(IF(VLOOKUP($A205,'Annex 2 EHV charges'!$A:$O,8,FALSE)=0,"",VLOOKUP($A205,'Annex 2 EHV charges'!$A:$O,8,FALSE)),"")</f>
        <v>0.35499999999999998</v>
      </c>
      <c r="F205" s="175">
        <f>IFERROR(IF(VLOOKUP($A205,'Annex 2 EHV charges'!$A:$O,9,FALSE)=0,"",VLOOKUP($A205,'Annex 2 EHV charges'!$A:$O,9,FALSE)),"")</f>
        <v>206.06</v>
      </c>
      <c r="G205" s="174">
        <f>IFERROR(IF(VLOOKUP($A205,'Annex 2 EHV charges'!$A:$O,10,FALSE)=0,"",VLOOKUP($A205,'Annex 2 EHV charges'!$A:$O,10,FALSE)),"")</f>
        <v>1.87</v>
      </c>
      <c r="H205" s="174">
        <f>IFERROR(IF(VLOOKUP($A205,'Annex 2 EHV charges'!$A:$O,11,FALSE)=0,"",VLOOKUP($A205,'Annex 2 EHV charges'!$A:$O,11,FALSE)),"")</f>
        <v>1.87</v>
      </c>
    </row>
    <row r="206" spans="1:8" x14ac:dyDescent="0.2">
      <c r="A206" s="93" t="str">
        <f t="array" ref="A206">IFERROR(INDEX('Annex 2 EHV charges'!$A$10:$A$301, MATCH(0, IF(ISBLANK('Annex 2 EHV charges'!$A$10:$A$301),1, COUNTIF(A$4:$A205, 'Annex 2 EHV charges'!$A$10:$A$301)), 0)),"")</f>
        <v>RMWFII</v>
      </c>
      <c r="B206" s="93">
        <f>IF($A206="","",VLOOKUP($A206,'Annex 2 EHV charges'!$A:$O,2,0))</f>
        <v>557</v>
      </c>
      <c r="C206" s="94">
        <f>IF($A206="","",VLOOKUP($A206,'Annex 2 EHV charges'!$A:$O,3,0))</f>
        <v>1050000811220</v>
      </c>
      <c r="D206" s="93" t="str">
        <f>IF($A206="","",VLOOKUP($A206,'Annex 2 EHV charges'!$A:$O,7,0))</f>
        <v>RMWFII</v>
      </c>
      <c r="E206" s="173">
        <f>IFERROR(IF(VLOOKUP($A206,'Annex 2 EHV charges'!$A:$O,8,FALSE)=0,"",VLOOKUP($A206,'Annex 2 EHV charges'!$A:$O,8,FALSE)),"")</f>
        <v>0.114</v>
      </c>
      <c r="F206" s="175">
        <f>IFERROR(IF(VLOOKUP($A206,'Annex 2 EHV charges'!$A:$O,9,FALSE)=0,"",VLOOKUP($A206,'Annex 2 EHV charges'!$A:$O,9,FALSE)),"")</f>
        <v>9.59</v>
      </c>
      <c r="G206" s="174">
        <f>IFERROR(IF(VLOOKUP($A206,'Annex 2 EHV charges'!$A:$O,10,FALSE)=0,"",VLOOKUP($A206,'Annex 2 EHV charges'!$A:$O,10,FALSE)),"")</f>
        <v>1.63</v>
      </c>
      <c r="H206" s="174">
        <f>IFERROR(IF(VLOOKUP($A206,'Annex 2 EHV charges'!$A:$O,11,FALSE)=0,"",VLOOKUP($A206,'Annex 2 EHV charges'!$A:$O,11,FALSE)),"")</f>
        <v>1.63</v>
      </c>
    </row>
    <row r="207" spans="1:8" x14ac:dyDescent="0.2">
      <c r="A207" s="93" t="str">
        <f t="array" ref="A207">IFERROR(INDEX('Annex 2 EHV charges'!$A$10:$A$301, MATCH(0, IF(ISBLANK('Annex 2 EHV charges'!$A$10:$A$301),1, COUNTIF(A$4:$A206, 'Annex 2 EHV charges'!$A$10:$A$301)), 0)),"")</f>
        <v>RNDMHS</v>
      </c>
      <c r="B207" s="93">
        <f>IF($A207="","",VLOOKUP($A207,'Annex 2 EHV charges'!$A:$O,2,0))</f>
        <v>493</v>
      </c>
      <c r="C207" s="94">
        <f>IF($A207="","",VLOOKUP($A207,'Annex 2 EHV charges'!$A:$O,3,0))</f>
        <v>1014571768453</v>
      </c>
      <c r="D207" s="93" t="str">
        <f>IF($A207="","",VLOOKUP($A207,'Annex 2 EHV charges'!$A:$O,7,0))</f>
        <v>RNDMHS</v>
      </c>
      <c r="E207" s="173">
        <f>IFERROR(IF(VLOOKUP($A207,'Annex 2 EHV charges'!$A:$O,8,FALSE)=0,"",VLOOKUP($A207,'Annex 2 EHV charges'!$A:$O,8,FALSE)),"")</f>
        <v>0.04</v>
      </c>
      <c r="F207" s="175">
        <f>IFERROR(IF(VLOOKUP($A207,'Annex 2 EHV charges'!$A:$O,9,FALSE)=0,"",VLOOKUP($A207,'Annex 2 EHV charges'!$A:$O,9,FALSE)),"")</f>
        <v>89.93</v>
      </c>
      <c r="G207" s="174">
        <f>IFERROR(IF(VLOOKUP($A207,'Annex 2 EHV charges'!$A:$O,10,FALSE)=0,"",VLOOKUP($A207,'Annex 2 EHV charges'!$A:$O,10,FALSE)),"")</f>
        <v>1.93</v>
      </c>
      <c r="H207" s="174">
        <f>IFERROR(IF(VLOOKUP($A207,'Annex 2 EHV charges'!$A:$O,11,FALSE)=0,"",VLOOKUP($A207,'Annex 2 EHV charges'!$A:$O,11,FALSE)),"")</f>
        <v>1.93</v>
      </c>
    </row>
    <row r="208" spans="1:8" x14ac:dyDescent="0.2">
      <c r="A208" s="93" t="str">
        <f t="array" ref="A208">IFERROR(INDEX('Annex 2 EHV charges'!$A$10:$A$301, MATCH(0, IF(ISBLANK('Annex 2 EHV charges'!$A$10:$A$301),1, COUNTIF(A$4:$A207, 'Annex 2 EHV charges'!$A$10:$A$301)), 0)),"")</f>
        <v>ROOKRY</v>
      </c>
      <c r="B208" s="93">
        <f>IF($A208="","",VLOOKUP($A208,'Annex 2 EHV charges'!$A:$O,2,0))</f>
        <v>558</v>
      </c>
      <c r="C208" s="94">
        <f>IF($A208="","",VLOOKUP($A208,'Annex 2 EHV charges'!$A:$O,3,0))</f>
        <v>1050001028465</v>
      </c>
      <c r="D208" s="93" t="str">
        <f>IF($A208="","",VLOOKUP($A208,'Annex 2 EHV charges'!$A:$O,7,0))</f>
        <v>ROOKRY</v>
      </c>
      <c r="E208" s="173">
        <f>IFERROR(IF(VLOOKUP($A208,'Annex 2 EHV charges'!$A:$O,8,FALSE)=0,"",VLOOKUP($A208,'Annex 2 EHV charges'!$A:$O,8,FALSE)),"")</f>
        <v>1.845</v>
      </c>
      <c r="F208" s="175">
        <f>IFERROR(IF(VLOOKUP($A208,'Annex 2 EHV charges'!$A:$O,9,FALSE)=0,"",VLOOKUP($A208,'Annex 2 EHV charges'!$A:$O,9,FALSE)),"")</f>
        <v>5.89</v>
      </c>
      <c r="G208" s="174">
        <f>IFERROR(IF(VLOOKUP($A208,'Annex 2 EHV charges'!$A:$O,10,FALSE)=0,"",VLOOKUP($A208,'Annex 2 EHV charges'!$A:$O,10,FALSE)),"")</f>
        <v>1.69</v>
      </c>
      <c r="H208" s="174">
        <f>IFERROR(IF(VLOOKUP($A208,'Annex 2 EHV charges'!$A:$O,11,FALSE)=0,"",VLOOKUP($A208,'Annex 2 EHV charges'!$A:$O,11,FALSE)),"")</f>
        <v>1.69</v>
      </c>
    </row>
    <row r="209" spans="1:8" x14ac:dyDescent="0.2">
      <c r="A209" s="93" t="str">
        <f t="array" ref="A209">IFERROR(INDEX('Annex 2 EHV charges'!$A$10:$A$301, MATCH(0, IF(ISBLANK('Annex 2 EHV charges'!$A$10:$A$301),1, COUNTIF(A$4:$A208, 'Annex 2 EHV charges'!$A$10:$A$301)), 0)),"")</f>
        <v>ROYSTN</v>
      </c>
      <c r="B209" s="93">
        <f>IF($A209="","",VLOOKUP($A209,'Annex 2 EHV charges'!$A:$O,2,0))</f>
        <v>559</v>
      </c>
      <c r="C209" s="94">
        <f>IF($A209="","",VLOOKUP($A209,'Annex 2 EHV charges'!$A:$O,3,0))</f>
        <v>1050000996105</v>
      </c>
      <c r="D209" s="93" t="str">
        <f>IF($A209="","",VLOOKUP($A209,'Annex 2 EHV charges'!$A:$O,7,0))</f>
        <v>ROYSTN</v>
      </c>
      <c r="E209" s="173" t="str">
        <f>IFERROR(IF(VLOOKUP($A209,'Annex 2 EHV charges'!$A:$O,8,FALSE)=0,"",VLOOKUP($A209,'Annex 2 EHV charges'!$A:$O,8,FALSE)),"")</f>
        <v/>
      </c>
      <c r="F209" s="175">
        <f>IFERROR(IF(VLOOKUP($A209,'Annex 2 EHV charges'!$A:$O,9,FALSE)=0,"",VLOOKUP($A209,'Annex 2 EHV charges'!$A:$O,9,FALSE)),"")</f>
        <v>4.8</v>
      </c>
      <c r="G209" s="174">
        <f>IFERROR(IF(VLOOKUP($A209,'Annex 2 EHV charges'!$A:$O,10,FALSE)=0,"",VLOOKUP($A209,'Annex 2 EHV charges'!$A:$O,10,FALSE)),"")</f>
        <v>3.54</v>
      </c>
      <c r="H209" s="174">
        <f>IFERROR(IF(VLOOKUP($A209,'Annex 2 EHV charges'!$A:$O,11,FALSE)=0,"",VLOOKUP($A209,'Annex 2 EHV charges'!$A:$O,11,FALSE)),"")</f>
        <v>3.54</v>
      </c>
    </row>
    <row r="210" spans="1:8" x14ac:dyDescent="0.2">
      <c r="A210" s="93" t="str">
        <f t="array" ref="A210">IFERROR(INDEX('Annex 2 EHV charges'!$A$10:$A$301, MATCH(0, IF(ISBLANK('Annex 2 EHV charges'!$A$10:$A$301),1, COUNTIF(A$4:$A209, 'Annex 2 EHV charges'!$A$10:$A$301)), 0)),"")</f>
        <v>RPRLTD</v>
      </c>
      <c r="B210" s="93">
        <f>IF($A210="","",VLOOKUP($A210,'Annex 2 EHV charges'!$A:$O,2,0))</f>
        <v>494</v>
      </c>
      <c r="C210" s="94">
        <f>IF($A210="","",VLOOKUP($A210,'Annex 2 EHV charges'!$A:$O,3,0))</f>
        <v>1014569969627</v>
      </c>
      <c r="D210" s="93" t="str">
        <f>IF($A210="","",VLOOKUP($A210,'Annex 2 EHV charges'!$A:$O,7,0))</f>
        <v>RPRLTD</v>
      </c>
      <c r="E210" s="173">
        <f>IFERROR(IF(VLOOKUP($A210,'Annex 2 EHV charges'!$A:$O,8,FALSE)=0,"",VLOOKUP($A210,'Annex 2 EHV charges'!$A:$O,8,FALSE)),"")</f>
        <v>0.877</v>
      </c>
      <c r="F210" s="175">
        <f>IFERROR(IF(VLOOKUP($A210,'Annex 2 EHV charges'!$A:$O,9,FALSE)=0,"",VLOOKUP($A210,'Annex 2 EHV charges'!$A:$O,9,FALSE)),"")</f>
        <v>179.86</v>
      </c>
      <c r="G210" s="174">
        <f>IFERROR(IF(VLOOKUP($A210,'Annex 2 EHV charges'!$A:$O,10,FALSE)=0,"",VLOOKUP($A210,'Annex 2 EHV charges'!$A:$O,10,FALSE)),"")</f>
        <v>2.46</v>
      </c>
      <c r="H210" s="174">
        <f>IFERROR(IF(VLOOKUP($A210,'Annex 2 EHV charges'!$A:$O,11,FALSE)=0,"",VLOOKUP($A210,'Annex 2 EHV charges'!$A:$O,11,FALSE)),"")</f>
        <v>2.46</v>
      </c>
    </row>
    <row r="211" spans="1:8" x14ac:dyDescent="0.2">
      <c r="A211" s="93" t="str">
        <f t="array" ref="A211">IFERROR(INDEX('Annex 2 EHV charges'!$A$10:$A$301, MATCH(0, IF(ISBLANK('Annex 2 EHV charges'!$A$10:$A$301),1, COUNTIF(A$4:$A210, 'Annex 2 EHV charges'!$A$10:$A$301)), 0)),"")</f>
        <v>SALHSE</v>
      </c>
      <c r="B211" s="93">
        <f>IF($A211="","",VLOOKUP($A211,'Annex 2 EHV charges'!$A:$O,2,0))</f>
        <v>317</v>
      </c>
      <c r="C211" s="94">
        <f>IF($A211="","",VLOOKUP($A211,'Annex 2 EHV charges'!$A:$O,3,0))</f>
        <v>1050000946025</v>
      </c>
      <c r="D211" s="93" t="str">
        <f>IF($A211="","",VLOOKUP($A211,'Annex 2 EHV charges'!$A:$O,7,0))</f>
        <v>SALHSE</v>
      </c>
      <c r="E211" s="173">
        <f>IFERROR(IF(VLOOKUP($A211,'Annex 2 EHV charges'!$A:$O,8,FALSE)=0,"",VLOOKUP($A211,'Annex 2 EHV charges'!$A:$O,8,FALSE)),"")</f>
        <v>0.28799999999999998</v>
      </c>
      <c r="F211" s="175">
        <f>IFERROR(IF(VLOOKUP($A211,'Annex 2 EHV charges'!$A:$O,9,FALSE)=0,"",VLOOKUP($A211,'Annex 2 EHV charges'!$A:$O,9,FALSE)),"")</f>
        <v>9.18</v>
      </c>
      <c r="G211" s="174">
        <f>IFERROR(IF(VLOOKUP($A211,'Annex 2 EHV charges'!$A:$O,10,FALSE)=0,"",VLOOKUP($A211,'Annex 2 EHV charges'!$A:$O,10,FALSE)),"")</f>
        <v>4.93</v>
      </c>
      <c r="H211" s="174">
        <f>IFERROR(IF(VLOOKUP($A211,'Annex 2 EHV charges'!$A:$O,11,FALSE)=0,"",VLOOKUP($A211,'Annex 2 EHV charges'!$A:$O,11,FALSE)),"")</f>
        <v>4.93</v>
      </c>
    </row>
    <row r="212" spans="1:8" ht="63.75" x14ac:dyDescent="0.2">
      <c r="A212" s="93" t="str">
        <f t="array" ref="A212">IFERROR(INDEX('Annex 2 EHV charges'!$A$10:$A$301, MATCH(0, IF(ISBLANK('Annex 2 EHV charges'!$A$10:$A$301),1, COUNTIF(A$4:$A211, 'Annex 2 EHV charges'!$A$10:$A$301)), 0)),"")</f>
        <v>SCMOOR</v>
      </c>
      <c r="B212" s="93">
        <f>IF($A212="","",VLOOKUP($A212,'Annex 2 EHV charges'!$A:$O,2,0))</f>
        <v>578</v>
      </c>
      <c r="C212" s="94" t="str">
        <f>IF($A212="","",VLOOKUP($A212,'Annex 2 EHV charges'!$A:$O,3,0))</f>
        <v>1050001073468
1050001073342
1050001073412
1050001073440
1050001073459</v>
      </c>
      <c r="D212" s="93" t="str">
        <f>IF($A212="","",VLOOKUP($A212,'Annex 2 EHV charges'!$A:$O,7,0))</f>
        <v>SCMOOR</v>
      </c>
      <c r="E212" s="173">
        <f>IFERROR(IF(VLOOKUP($A212,'Annex 2 EHV charges'!$A:$O,8,FALSE)=0,"",VLOOKUP($A212,'Annex 2 EHV charges'!$A:$O,8,FALSE)),"")</f>
        <v>0.05</v>
      </c>
      <c r="F212" s="175">
        <f>IFERROR(IF(VLOOKUP($A212,'Annex 2 EHV charges'!$A:$O,9,FALSE)=0,"",VLOOKUP($A212,'Annex 2 EHV charges'!$A:$O,9,FALSE)),"")</f>
        <v>60.79</v>
      </c>
      <c r="G212" s="174">
        <f>IFERROR(IF(VLOOKUP($A212,'Annex 2 EHV charges'!$A:$O,10,FALSE)=0,"",VLOOKUP($A212,'Annex 2 EHV charges'!$A:$O,10,FALSE)),"")</f>
        <v>5.45</v>
      </c>
      <c r="H212" s="174">
        <f>IFERROR(IF(VLOOKUP($A212,'Annex 2 EHV charges'!$A:$O,11,FALSE)=0,"",VLOOKUP($A212,'Annex 2 EHV charges'!$A:$O,11,FALSE)),"")</f>
        <v>5.45</v>
      </c>
    </row>
    <row r="213" spans="1:8" x14ac:dyDescent="0.2">
      <c r="A213" s="93" t="str">
        <f t="array" ref="A213">IFERROR(INDEX('Annex 2 EHV charges'!$A$10:$A$301, MATCH(0, IF(ISBLANK('Annex 2 EHV charges'!$A$10:$A$301),1, COUNTIF(A$4:$A212, 'Annex 2 EHV charges'!$A$10:$A$301)), 0)),"")</f>
        <v>SCROBY</v>
      </c>
      <c r="B213" s="93">
        <f>IF($A213="","",VLOOKUP($A213,'Annex 2 EHV charges'!$A:$O,2,0))</f>
        <v>836</v>
      </c>
      <c r="C213" s="94">
        <f>IF($A213="","",VLOOKUP($A213,'Annex 2 EHV charges'!$A:$O,3,0))</f>
        <v>1023545564889</v>
      </c>
      <c r="D213" s="93" t="str">
        <f>IF($A213="","",VLOOKUP($A213,'Annex 2 EHV charges'!$A:$O,7,0))</f>
        <v>SCROBY</v>
      </c>
      <c r="E213" s="173">
        <f>IFERROR(IF(VLOOKUP($A213,'Annex 2 EHV charges'!$A:$O,8,FALSE)=0,"",VLOOKUP($A213,'Annex 2 EHV charges'!$A:$O,8,FALSE)),"")</f>
        <v>0.28000000000000003</v>
      </c>
      <c r="F213" s="175">
        <f>IFERROR(IF(VLOOKUP($A213,'Annex 2 EHV charges'!$A:$O,9,FALSE)=0,"",VLOOKUP($A213,'Annex 2 EHV charges'!$A:$O,9,FALSE)),"")</f>
        <v>20.54</v>
      </c>
      <c r="G213" s="174">
        <f>IFERROR(IF(VLOOKUP($A213,'Annex 2 EHV charges'!$A:$O,10,FALSE)=0,"",VLOOKUP($A213,'Annex 2 EHV charges'!$A:$O,10,FALSE)),"")</f>
        <v>1.86</v>
      </c>
      <c r="H213" s="174">
        <f>IFERROR(IF(VLOOKUP($A213,'Annex 2 EHV charges'!$A:$O,11,FALSE)=0,"",VLOOKUP($A213,'Annex 2 EHV charges'!$A:$O,11,FALSE)),"")</f>
        <v>1.86</v>
      </c>
    </row>
    <row r="214" spans="1:8" x14ac:dyDescent="0.2">
      <c r="A214" s="93" t="str">
        <f t="array" ref="A214">IFERROR(INDEX('Annex 2 EHV charges'!$A$10:$A$301, MATCH(0, IF(ISBLANK('Annex 2 EHV charges'!$A$10:$A$301),1, COUNTIF(A$4:$A213, 'Annex 2 EHV charges'!$A$10:$A$301)), 0)),"")</f>
        <v>SCTTOW</v>
      </c>
      <c r="B214" s="93">
        <f>IF($A214="","",VLOOKUP($A214,'Annex 2 EHV charges'!$A:$O,2,0))</f>
        <v>527</v>
      </c>
      <c r="C214" s="94">
        <f>IF($A214="","",VLOOKUP($A214,'Annex 2 EHV charges'!$A:$O,3,0))</f>
        <v>1050000841935</v>
      </c>
      <c r="D214" s="93" t="str">
        <f>IF($A214="","",VLOOKUP($A214,'Annex 2 EHV charges'!$A:$O,7,0))</f>
        <v>SCTTOW</v>
      </c>
      <c r="E214" s="173">
        <f>IFERROR(IF(VLOOKUP($A214,'Annex 2 EHV charges'!$A:$O,8,FALSE)=0,"",VLOOKUP($A214,'Annex 2 EHV charges'!$A:$O,8,FALSE)),"")</f>
        <v>0.13900000000000001</v>
      </c>
      <c r="F214" s="175">
        <f>IFERROR(IF(VLOOKUP($A214,'Annex 2 EHV charges'!$A:$O,9,FALSE)=0,"",VLOOKUP($A214,'Annex 2 EHV charges'!$A:$O,9,FALSE)),"")</f>
        <v>43.92</v>
      </c>
      <c r="G214" s="174">
        <f>IFERROR(IF(VLOOKUP($A214,'Annex 2 EHV charges'!$A:$O,10,FALSE)=0,"",VLOOKUP($A214,'Annex 2 EHV charges'!$A:$O,10,FALSE)),"")</f>
        <v>3.69</v>
      </c>
      <c r="H214" s="174">
        <f>IFERROR(IF(VLOOKUP($A214,'Annex 2 EHV charges'!$A:$O,11,FALSE)=0,"",VLOOKUP($A214,'Annex 2 EHV charges'!$A:$O,11,FALSE)),"")</f>
        <v>3.69</v>
      </c>
    </row>
    <row r="215" spans="1:8" ht="25.5" x14ac:dyDescent="0.2">
      <c r="A215" s="93" t="str">
        <f t="array" ref="A215">IFERROR(INDEX('Annex 2 EHV charges'!$A$10:$A$301, MATCH(0, IF(ISBLANK('Annex 2 EHV charges'!$A$10:$A$301),1, COUNTIF(A$4:$A214, 'Annex 2 EHV charges'!$A$10:$A$301)), 0)),"")</f>
        <v>SEN1&amp;2</v>
      </c>
      <c r="B215" s="93">
        <f>IF($A215="","",VLOOKUP($A215,'Annex 2 EHV charges'!$A:$O,2,0))</f>
        <v>612</v>
      </c>
      <c r="C215" s="94" t="str">
        <f>IF($A215="","",VLOOKUP($A215,'Annex 2 EHV charges'!$A:$O,3,0))</f>
        <v>1099000000372
1099000000381</v>
      </c>
      <c r="D215" s="93" t="str">
        <f>IF($A215="","",VLOOKUP($A215,'Annex 2 EHV charges'!$A:$O,7,0))</f>
        <v>SEN1&amp;2</v>
      </c>
      <c r="E215" s="173" t="str">
        <f>IFERROR(IF(VLOOKUP($A215,'Annex 2 EHV charges'!$A:$O,8,FALSE)=0,"",VLOOKUP($A215,'Annex 2 EHV charges'!$A:$O,8,FALSE)),"")</f>
        <v/>
      </c>
      <c r="F215" s="175">
        <f>IFERROR(IF(VLOOKUP($A215,'Annex 2 EHV charges'!$A:$O,9,FALSE)=0,"",VLOOKUP($A215,'Annex 2 EHV charges'!$A:$O,9,FALSE)),"")</f>
        <v>3071.4</v>
      </c>
      <c r="G215" s="174">
        <f>IFERROR(IF(VLOOKUP($A215,'Annex 2 EHV charges'!$A:$O,10,FALSE)=0,"",VLOOKUP($A215,'Annex 2 EHV charges'!$A:$O,10,FALSE)),"")</f>
        <v>2.2200000000000002</v>
      </c>
      <c r="H215" s="174">
        <f>IFERROR(IF(VLOOKUP($A215,'Annex 2 EHV charges'!$A:$O,11,FALSE)=0,"",VLOOKUP($A215,'Annex 2 EHV charges'!$A:$O,11,FALSE)),"")</f>
        <v>2.2200000000000002</v>
      </c>
    </row>
    <row r="216" spans="1:8" x14ac:dyDescent="0.2">
      <c r="A216" s="93" t="str">
        <f t="array" ref="A216">IFERROR(INDEX('Annex 2 EHV charges'!$A$10:$A$301, MATCH(0, IF(ISBLANK('Annex 2 EHV charges'!$A$10:$A$301),1, COUNTIF(A$4:$A215, 'Annex 2 EHV charges'!$A$10:$A$301)), 0)),"")</f>
        <v>SFKEFW</v>
      </c>
      <c r="B216" s="93">
        <f>IF($A216="","",VLOOKUP($A216,'Annex 2 EHV charges'!$A:$O,2,0))</f>
        <v>502</v>
      </c>
      <c r="C216" s="94">
        <f>IF($A216="","",VLOOKUP($A216,'Annex 2 EHV charges'!$A:$O,3,0))</f>
        <v>1050000628009</v>
      </c>
      <c r="D216" s="93" t="str">
        <f>IF($A216="","",VLOOKUP($A216,'Annex 2 EHV charges'!$A:$O,7,0))</f>
        <v>SFKEFW</v>
      </c>
      <c r="E216" s="173" t="str">
        <f>IFERROR(IF(VLOOKUP($A216,'Annex 2 EHV charges'!$A:$O,8,FALSE)=0,"",VLOOKUP($A216,'Annex 2 EHV charges'!$A:$O,8,FALSE)),"")</f>
        <v/>
      </c>
      <c r="F216" s="175">
        <f>IFERROR(IF(VLOOKUP($A216,'Annex 2 EHV charges'!$A:$O,9,FALSE)=0,"",VLOOKUP($A216,'Annex 2 EHV charges'!$A:$O,9,FALSE)),"")</f>
        <v>765.14</v>
      </c>
      <c r="G216" s="174">
        <f>IFERROR(IF(VLOOKUP($A216,'Annex 2 EHV charges'!$A:$O,10,FALSE)=0,"",VLOOKUP($A216,'Annex 2 EHV charges'!$A:$O,10,FALSE)),"")</f>
        <v>1.7</v>
      </c>
      <c r="H216" s="174">
        <f>IFERROR(IF(VLOOKUP($A216,'Annex 2 EHV charges'!$A:$O,11,FALSE)=0,"",VLOOKUP($A216,'Annex 2 EHV charges'!$A:$O,11,FALSE)),"")</f>
        <v>1.7</v>
      </c>
    </row>
    <row r="217" spans="1:8" ht="25.5" x14ac:dyDescent="0.2">
      <c r="A217" s="93" t="str">
        <f t="array" ref="A217">IFERROR(INDEX('Annex 2 EHV charges'!$A$10:$A$301, MATCH(0, IF(ISBLANK('Annex 2 EHV charges'!$A$10:$A$301),1, COUNTIF(A$4:$A216, 'Annex 2 EHV charges'!$A$10:$A$301)), 0)),"")</f>
        <v>SHELL_</v>
      </c>
      <c r="B217" s="93">
        <f>IF($A217="","",VLOOKUP($A217,'Annex 2 EHV charges'!$A:$O,2,0))</f>
        <v>837</v>
      </c>
      <c r="C217" s="94" t="str">
        <f>IF($A217="","",VLOOKUP($A217,'Annex 2 EHV charges'!$A:$O,3,0))</f>
        <v>1030083272428
1050001161751</v>
      </c>
      <c r="D217" s="93" t="str">
        <f>IF($A217="","",VLOOKUP($A217,'Annex 2 EHV charges'!$A:$O,7,0))</f>
        <v>SHELL_</v>
      </c>
      <c r="E217" s="173">
        <f>IFERROR(IF(VLOOKUP($A217,'Annex 2 EHV charges'!$A:$O,8,FALSE)=0,"",VLOOKUP($A217,'Annex 2 EHV charges'!$A:$O,8,FALSE)),"")</f>
        <v>2.4159999999999999</v>
      </c>
      <c r="F217" s="175">
        <f>IFERROR(IF(VLOOKUP($A217,'Annex 2 EHV charges'!$A:$O,9,FALSE)=0,"",VLOOKUP($A217,'Annex 2 EHV charges'!$A:$O,9,FALSE)),"")</f>
        <v>515.97</v>
      </c>
      <c r="G217" s="174">
        <f>IFERROR(IF(VLOOKUP($A217,'Annex 2 EHV charges'!$A:$O,10,FALSE)=0,"",VLOOKUP($A217,'Annex 2 EHV charges'!$A:$O,10,FALSE)),"")</f>
        <v>2.06</v>
      </c>
      <c r="H217" s="174">
        <f>IFERROR(IF(VLOOKUP($A217,'Annex 2 EHV charges'!$A:$O,11,FALSE)=0,"",VLOOKUP($A217,'Annex 2 EHV charges'!$A:$O,11,FALSE)),"")</f>
        <v>2.06</v>
      </c>
    </row>
    <row r="218" spans="1:8" x14ac:dyDescent="0.2">
      <c r="A218" s="93" t="str">
        <f t="array" ref="A218">IFERROR(INDEX('Annex 2 EHV charges'!$A$10:$A$301, MATCH(0, IF(ISBLANK('Annex 2 EHV charges'!$A$10:$A$301),1, COUNTIF(A$4:$A217, 'Annex 2 EHV charges'!$A$10:$A$301)), 0)),"")</f>
        <v>SHERSH</v>
      </c>
      <c r="B218" s="93">
        <f>IF($A218="","",VLOOKUP($A218,'Annex 2 EHV charges'!$A:$O,2,0))</f>
        <v>0</v>
      </c>
      <c r="C218" s="94" t="str">
        <f>IF($A218="","",VLOOKUP($A218,'Annex 2 EHV charges'!$A:$O,3,0))</f>
        <v xml:space="preserve"> MSID: 7234</v>
      </c>
      <c r="D218" s="93" t="str">
        <f>IF($A218="","",VLOOKUP($A218,'Annex 2 EHV charges'!$A:$O,7,0))</f>
        <v>SHERSH</v>
      </c>
      <c r="E218" s="173" t="str">
        <f>IFERROR(IF(VLOOKUP($A218,'Annex 2 EHV charges'!$A:$O,8,FALSE)=0,"",VLOOKUP($A218,'Annex 2 EHV charges'!$A:$O,8,FALSE)),"")</f>
        <v/>
      </c>
      <c r="F218" s="175">
        <f>IFERROR(IF(VLOOKUP($A218,'Annex 2 EHV charges'!$A:$O,9,FALSE)=0,"",VLOOKUP($A218,'Annex 2 EHV charges'!$A:$O,9,FALSE)),"")</f>
        <v>453.69</v>
      </c>
      <c r="G218" s="174">
        <f>IFERROR(IF(VLOOKUP($A218,'Annex 2 EHV charges'!$A:$O,10,FALSE)=0,"",VLOOKUP($A218,'Annex 2 EHV charges'!$A:$O,10,FALSE)),"")</f>
        <v>1.31</v>
      </c>
      <c r="H218" s="174">
        <f>IFERROR(IF(VLOOKUP($A218,'Annex 2 EHV charges'!$A:$O,11,FALSE)=0,"",VLOOKUP($A218,'Annex 2 EHV charges'!$A:$O,11,FALSE)),"")</f>
        <v>1.31</v>
      </c>
    </row>
    <row r="219" spans="1:8" x14ac:dyDescent="0.2">
      <c r="A219" s="93" t="str">
        <f t="array" ref="A219">IFERROR(INDEX('Annex 2 EHV charges'!$A$10:$A$301, MATCH(0, IF(ISBLANK('Annex 2 EHV charges'!$A$10:$A$301),1, COUNTIF(A$4:$A218, 'Annex 2 EHV charges'!$A$10:$A$301)), 0)),"")</f>
        <v>SNTBRE</v>
      </c>
      <c r="B219" s="93">
        <f>IF($A219="","",VLOOKUP($A219,'Annex 2 EHV charges'!$A:$O,2,0))</f>
        <v>579</v>
      </c>
      <c r="C219" s="94">
        <f>IF($A219="","",VLOOKUP($A219,'Annex 2 EHV charges'!$A:$O,3,0))</f>
        <v>1050001084200</v>
      </c>
      <c r="D219" s="93" t="str">
        <f>IF($A219="","",VLOOKUP($A219,'Annex 2 EHV charges'!$A:$O,7,0))</f>
        <v>SNTBRE</v>
      </c>
      <c r="E219" s="173">
        <f>IFERROR(IF(VLOOKUP($A219,'Annex 2 EHV charges'!$A:$O,8,FALSE)=0,"",VLOOKUP($A219,'Annex 2 EHV charges'!$A:$O,8,FALSE)),"")</f>
        <v>2.423</v>
      </c>
      <c r="F219" s="175">
        <f>IFERROR(IF(VLOOKUP($A219,'Annex 2 EHV charges'!$A:$O,9,FALSE)=0,"",VLOOKUP($A219,'Annex 2 EHV charges'!$A:$O,9,FALSE)),"")</f>
        <v>1068.26</v>
      </c>
      <c r="G219" s="174">
        <f>IFERROR(IF(VLOOKUP($A219,'Annex 2 EHV charges'!$A:$O,10,FALSE)=0,"",VLOOKUP($A219,'Annex 2 EHV charges'!$A:$O,10,FALSE)),"")</f>
        <v>1.94</v>
      </c>
      <c r="H219" s="174">
        <f>IFERROR(IF(VLOOKUP($A219,'Annex 2 EHV charges'!$A:$O,11,FALSE)=0,"",VLOOKUP($A219,'Annex 2 EHV charges'!$A:$O,11,FALSE)),"")</f>
        <v>1.94</v>
      </c>
    </row>
    <row r="220" spans="1:8" x14ac:dyDescent="0.2">
      <c r="A220" s="93" t="str">
        <f t="array" ref="A220">IFERROR(INDEX('Annex 2 EHV charges'!$A$10:$A$301, MATCH(0, IF(ISBLANK('Annex 2 EHV charges'!$A$10:$A$301),1, COUNTIF(A$4:$A219, 'Annex 2 EHV charges'!$A$10:$A$301)), 0)),"")</f>
        <v>SPRIGS</v>
      </c>
      <c r="B220" s="93">
        <f>IF($A220="","",VLOOKUP($A220,'Annex 2 EHV charges'!$A:$O,2,0))</f>
        <v>897</v>
      </c>
      <c r="C220" s="94">
        <f>IF($A220="","",VLOOKUP($A220,'Annex 2 EHV charges'!$A:$O,3,0))</f>
        <v>1050000540019</v>
      </c>
      <c r="D220" s="93" t="str">
        <f>IF($A220="","",VLOOKUP($A220,'Annex 2 EHV charges'!$A:$O,7,0))</f>
        <v>SPRIGS</v>
      </c>
      <c r="E220" s="173">
        <f>IFERROR(IF(VLOOKUP($A220,'Annex 2 EHV charges'!$A:$O,8,FALSE)=0,"",VLOOKUP($A220,'Annex 2 EHV charges'!$A:$O,8,FALSE)),"")</f>
        <v>0.27800000000000002</v>
      </c>
      <c r="F220" s="175">
        <f>IFERROR(IF(VLOOKUP($A220,'Annex 2 EHV charges'!$A:$O,9,FALSE)=0,"",VLOOKUP($A220,'Annex 2 EHV charges'!$A:$O,9,FALSE)),"")</f>
        <v>3.82</v>
      </c>
      <c r="G220" s="174">
        <f>IFERROR(IF(VLOOKUP($A220,'Annex 2 EHV charges'!$A:$O,10,FALSE)=0,"",VLOOKUP($A220,'Annex 2 EHV charges'!$A:$O,10,FALSE)),"")</f>
        <v>3.44</v>
      </c>
      <c r="H220" s="174">
        <f>IFERROR(IF(VLOOKUP($A220,'Annex 2 EHV charges'!$A:$O,11,FALSE)=0,"",VLOOKUP($A220,'Annex 2 EHV charges'!$A:$O,11,FALSE)),"")</f>
        <v>3.44</v>
      </c>
    </row>
    <row r="221" spans="1:8" x14ac:dyDescent="0.2">
      <c r="A221" s="93" t="str">
        <f t="array" ref="A221">IFERROR(INDEX('Annex 2 EHV charges'!$A$10:$A$301, MATCH(0, IF(ISBLANK('Annex 2 EHV charges'!$A$10:$A$301),1, COUNTIF(A$4:$A220, 'Annex 2 EHV charges'!$A$10:$A$301)), 0)),"")</f>
        <v>STAGSH</v>
      </c>
      <c r="B221" s="93">
        <f>IF($A221="","",VLOOKUP($A221,'Annex 2 EHV charges'!$A:$O,2,0))</f>
        <v>838</v>
      </c>
      <c r="C221" s="94">
        <f>IF($A221="","",VLOOKUP($A221,'Annex 2 EHV charges'!$A:$O,3,0))</f>
        <v>1030037478730</v>
      </c>
      <c r="D221" s="93" t="str">
        <f>IF($A221="","",VLOOKUP($A221,'Annex 2 EHV charges'!$A:$O,7,0))</f>
        <v>STAGSH</v>
      </c>
      <c r="E221" s="173" t="str">
        <f>IFERROR(IF(VLOOKUP($A221,'Annex 2 EHV charges'!$A:$O,8,FALSE)=0,"",VLOOKUP($A221,'Annex 2 EHV charges'!$A:$O,8,FALSE)),"")</f>
        <v/>
      </c>
      <c r="F221" s="175">
        <f>IFERROR(IF(VLOOKUP($A221,'Annex 2 EHV charges'!$A:$O,9,FALSE)=0,"",VLOOKUP($A221,'Annex 2 EHV charges'!$A:$O,9,FALSE)),"")</f>
        <v>186.02</v>
      </c>
      <c r="G221" s="174">
        <f>IFERROR(IF(VLOOKUP($A221,'Annex 2 EHV charges'!$A:$O,10,FALSE)=0,"",VLOOKUP($A221,'Annex 2 EHV charges'!$A:$O,10,FALSE)),"")</f>
        <v>1.17</v>
      </c>
      <c r="H221" s="174">
        <f>IFERROR(IF(VLOOKUP($A221,'Annex 2 EHV charges'!$A:$O,11,FALSE)=0,"",VLOOKUP($A221,'Annex 2 EHV charges'!$A:$O,11,FALSE)),"")</f>
        <v>1.17</v>
      </c>
    </row>
    <row r="222" spans="1:8" ht="25.5" x14ac:dyDescent="0.2">
      <c r="A222" s="93" t="str">
        <f t="array" ref="A222">IFERROR(INDEX('Annex 2 EHV charges'!$A$10:$A$301, MATCH(0, IF(ISBLANK('Annex 2 EHV charges'!$A$10:$A$301),1, COUNTIF(A$4:$A221, 'Annex 2 EHV charges'!$A$10:$A$301)), 0)),"")</f>
        <v>STANS2</v>
      </c>
      <c r="B222" s="93">
        <f>IF($A222="","",VLOOKUP($A222,'Annex 2 EHV charges'!$A:$O,2,0))</f>
        <v>802</v>
      </c>
      <c r="C222" s="94" t="str">
        <f>IF($A222="","",VLOOKUP($A222,'Annex 2 EHV charges'!$A:$O,3,0))</f>
        <v>1030047519845
1030047520070</v>
      </c>
      <c r="D222" s="93" t="str">
        <f>IF($A222="","",VLOOKUP($A222,'Annex 2 EHV charges'!$A:$O,7,0))</f>
        <v>STANS2</v>
      </c>
      <c r="E222" s="173">
        <f>IFERROR(IF(VLOOKUP($A222,'Annex 2 EHV charges'!$A:$O,8,FALSE)=0,"",VLOOKUP($A222,'Annex 2 EHV charges'!$A:$O,8,FALSE)),"")</f>
        <v>1.7999999999999999E-2</v>
      </c>
      <c r="F222" s="175">
        <f>IFERROR(IF(VLOOKUP($A222,'Annex 2 EHV charges'!$A:$O,9,FALSE)=0,"",VLOOKUP($A222,'Annex 2 EHV charges'!$A:$O,9,FALSE)),"")</f>
        <v>15115.13</v>
      </c>
      <c r="G222" s="174">
        <f>IFERROR(IF(VLOOKUP($A222,'Annex 2 EHV charges'!$A:$O,10,FALSE)=0,"",VLOOKUP($A222,'Annex 2 EHV charges'!$A:$O,10,FALSE)),"")</f>
        <v>2.74</v>
      </c>
      <c r="H222" s="174">
        <f>IFERROR(IF(VLOOKUP($A222,'Annex 2 EHV charges'!$A:$O,11,FALSE)=0,"",VLOOKUP($A222,'Annex 2 EHV charges'!$A:$O,11,FALSE)),"")</f>
        <v>2.74</v>
      </c>
    </row>
    <row r="223" spans="1:8" x14ac:dyDescent="0.2">
      <c r="A223" s="93" t="str">
        <f t="array" ref="A223">IFERROR(INDEX('Annex 2 EHV charges'!$A$10:$A$301, MATCH(0, IF(ISBLANK('Annex 2 EHV charges'!$A$10:$A$301),1, COUNTIF(A$4:$A222, 'Annex 2 EHV charges'!$A$10:$A$301)), 0)),"")</f>
        <v>STANS3</v>
      </c>
      <c r="B223" s="93">
        <f>IF($A223="","",VLOOKUP($A223,'Annex 2 EHV charges'!$A:$O,2,0))</f>
        <v>801</v>
      </c>
      <c r="C223" s="94">
        <f>IF($A223="","",VLOOKUP($A223,'Annex 2 EHV charges'!$A:$O,3,0))</f>
        <v>1015685338293</v>
      </c>
      <c r="D223" s="93" t="str">
        <f>IF($A223="","",VLOOKUP($A223,'Annex 2 EHV charges'!$A:$O,7,0))</f>
        <v>STANS3</v>
      </c>
      <c r="E223" s="173">
        <f>IFERROR(IF(VLOOKUP($A223,'Annex 2 EHV charges'!$A:$O,8,FALSE)=0,"",VLOOKUP($A223,'Annex 2 EHV charges'!$A:$O,8,FALSE)),"")</f>
        <v>0.43</v>
      </c>
      <c r="F223" s="175">
        <f>IFERROR(IF(VLOOKUP($A223,'Annex 2 EHV charges'!$A:$O,9,FALSE)=0,"",VLOOKUP($A223,'Annex 2 EHV charges'!$A:$O,9,FALSE)),"")</f>
        <v>179.86</v>
      </c>
      <c r="G223" s="174">
        <f>IFERROR(IF(VLOOKUP($A223,'Annex 2 EHV charges'!$A:$O,10,FALSE)=0,"",VLOOKUP($A223,'Annex 2 EHV charges'!$A:$O,10,FALSE)),"")</f>
        <v>2.71</v>
      </c>
      <c r="H223" s="174">
        <f>IFERROR(IF(VLOOKUP($A223,'Annex 2 EHV charges'!$A:$O,11,FALSE)=0,"",VLOOKUP($A223,'Annex 2 EHV charges'!$A:$O,11,FALSE)),"")</f>
        <v>2.71</v>
      </c>
    </row>
    <row r="224" spans="1:8" x14ac:dyDescent="0.2">
      <c r="A224" s="93" t="str">
        <f t="array" ref="A224">IFERROR(INDEX('Annex 2 EHV charges'!$A$10:$A$301, MATCH(0, IF(ISBLANK('Annex 2 EHV charges'!$A$10:$A$301),1, COUNTIF(A$4:$A223, 'Annex 2 EHV charges'!$A$10:$A$301)), 0)),"")</f>
        <v>STMFRD</v>
      </c>
      <c r="B224" s="93">
        <f>IF($A224="","",VLOOKUP($A224,'Annex 2 EHV charges'!$A:$O,2,0))</f>
        <v>0</v>
      </c>
      <c r="C224" s="94" t="str">
        <f>IF($A224="","",VLOOKUP($A224,'Annex 2 EHV charges'!$A:$O,3,0))</f>
        <v xml:space="preserve"> MSID: 2035</v>
      </c>
      <c r="D224" s="93" t="str">
        <f>IF($A224="","",VLOOKUP($A224,'Annex 2 EHV charges'!$A:$O,7,0))</f>
        <v>STMFRD</v>
      </c>
      <c r="E224" s="173" t="str">
        <f>IFERROR(IF(VLOOKUP($A224,'Annex 2 EHV charges'!$A:$O,8,FALSE)=0,"",VLOOKUP($A224,'Annex 2 EHV charges'!$A:$O,8,FALSE)),"")</f>
        <v/>
      </c>
      <c r="F224" s="175" t="str">
        <f>IFERROR(IF(VLOOKUP($A224,'Annex 2 EHV charges'!$A:$O,9,FALSE)=0,"",VLOOKUP($A224,'Annex 2 EHV charges'!$A:$O,9,FALSE)),"")</f>
        <v/>
      </c>
      <c r="G224" s="174">
        <f>IFERROR(IF(VLOOKUP($A224,'Annex 2 EHV charges'!$A:$O,10,FALSE)=0,"",VLOOKUP($A224,'Annex 2 EHV charges'!$A:$O,10,FALSE)),"")</f>
        <v>4.12</v>
      </c>
      <c r="H224" s="174">
        <f>IFERROR(IF(VLOOKUP($A224,'Annex 2 EHV charges'!$A:$O,11,FALSE)=0,"",VLOOKUP($A224,'Annex 2 EHV charges'!$A:$O,11,FALSE)),"")</f>
        <v>4.12</v>
      </c>
    </row>
    <row r="225" spans="1:8" x14ac:dyDescent="0.2">
      <c r="A225" s="93" t="str">
        <f t="array" ref="A225">IFERROR(INDEX('Annex 2 EHV charges'!$A$10:$A$301, MATCH(0, IF(ISBLANK('Annex 2 EHV charges'!$A$10:$A$301),1, COUNTIF(A$4:$A224, 'Annex 2 EHV charges'!$A$10:$A$301)), 0)),"")</f>
        <v>STNPTS</v>
      </c>
      <c r="B225" s="93">
        <f>IF($A225="","",VLOOKUP($A225,'Annex 2 EHV charges'!$A:$O,2,0))</f>
        <v>581</v>
      </c>
      <c r="C225" s="94">
        <f>IF($A225="","",VLOOKUP($A225,'Annex 2 EHV charges'!$A:$O,3,0))</f>
        <v>1050001232428</v>
      </c>
      <c r="D225" s="93" t="str">
        <f>IF($A225="","",VLOOKUP($A225,'Annex 2 EHV charges'!$A:$O,7,0))</f>
        <v>STNPTS</v>
      </c>
      <c r="E225" s="173">
        <f>IFERROR(IF(VLOOKUP($A225,'Annex 2 EHV charges'!$A:$O,8,FALSE)=0,"",VLOOKUP($A225,'Annex 2 EHV charges'!$A:$O,8,FALSE)),"")</f>
        <v>0.123</v>
      </c>
      <c r="F225" s="175">
        <f>IFERROR(IF(VLOOKUP($A225,'Annex 2 EHV charges'!$A:$O,9,FALSE)=0,"",VLOOKUP($A225,'Annex 2 EHV charges'!$A:$O,9,FALSE)),"")</f>
        <v>3.72</v>
      </c>
      <c r="G225" s="174">
        <f>IFERROR(IF(VLOOKUP($A225,'Annex 2 EHV charges'!$A:$O,10,FALSE)=0,"",VLOOKUP($A225,'Annex 2 EHV charges'!$A:$O,10,FALSE)),"")</f>
        <v>1.99</v>
      </c>
      <c r="H225" s="174">
        <f>IFERROR(IF(VLOOKUP($A225,'Annex 2 EHV charges'!$A:$O,11,FALSE)=0,"",VLOOKUP($A225,'Annex 2 EHV charges'!$A:$O,11,FALSE)),"")</f>
        <v>1.99</v>
      </c>
    </row>
    <row r="226" spans="1:8" x14ac:dyDescent="0.2">
      <c r="A226" s="93" t="str">
        <f t="array" ref="A226">IFERROR(INDEX('Annex 2 EHV charges'!$A$10:$A$301, MATCH(0, IF(ISBLANK('Annex 2 EHV charges'!$A$10:$A$301),1, COUNTIF(A$4:$A225, 'Annex 2 EHV charges'!$A$10:$A$301)), 0)),"")</f>
        <v>STOSTH</v>
      </c>
      <c r="B226" s="93">
        <f>IF($A226="","",VLOOKUP($A226,'Annex 2 EHV charges'!$A:$O,2,0))</f>
        <v>528</v>
      </c>
      <c r="C226" s="94">
        <f>IF($A226="","",VLOOKUP($A226,'Annex 2 EHV charges'!$A:$O,3,0))</f>
        <v>1050000783238</v>
      </c>
      <c r="D226" s="93" t="str">
        <f>IF($A226="","",VLOOKUP($A226,'Annex 2 EHV charges'!$A:$O,7,0))</f>
        <v>STOSTH</v>
      </c>
      <c r="E226" s="173">
        <f>IFERROR(IF(VLOOKUP($A226,'Annex 2 EHV charges'!$A:$O,8,FALSE)=0,"",VLOOKUP($A226,'Annex 2 EHV charges'!$A:$O,8,FALSE)),"")</f>
        <v>4.8000000000000001E-2</v>
      </c>
      <c r="F226" s="175">
        <f>IFERROR(IF(VLOOKUP($A226,'Annex 2 EHV charges'!$A:$O,9,FALSE)=0,"",VLOOKUP($A226,'Annex 2 EHV charges'!$A:$O,9,FALSE)),"")</f>
        <v>10.87</v>
      </c>
      <c r="G226" s="174">
        <f>IFERROR(IF(VLOOKUP($A226,'Annex 2 EHV charges'!$A:$O,10,FALSE)=0,"",VLOOKUP($A226,'Annex 2 EHV charges'!$A:$O,10,FALSE)),"")</f>
        <v>2.14</v>
      </c>
      <c r="H226" s="174">
        <f>IFERROR(IF(VLOOKUP($A226,'Annex 2 EHV charges'!$A:$O,11,FALSE)=0,"",VLOOKUP($A226,'Annex 2 EHV charges'!$A:$O,11,FALSE)),"")</f>
        <v>2.14</v>
      </c>
    </row>
    <row r="227" spans="1:8" x14ac:dyDescent="0.2">
      <c r="A227" s="93" t="str">
        <f t="array" ref="A227">IFERROR(INDEX('Annex 2 EHV charges'!$A$10:$A$301, MATCH(0, IF(ISBLANK('Annex 2 EHV charges'!$A$10:$A$301),1, COUNTIF(A$4:$A226, 'Annex 2 EHV charges'!$A$10:$A$301)), 0)),"")</f>
        <v>STRTHL</v>
      </c>
      <c r="B227" s="93">
        <f>IF($A227="","",VLOOKUP($A227,'Annex 2 EHV charges'!$A:$O,2,0))</f>
        <v>500</v>
      </c>
      <c r="C227" s="94">
        <f>IF($A227="","",VLOOKUP($A227,'Annex 2 EHV charges'!$A:$O,3,0))</f>
        <v>1050000563372</v>
      </c>
      <c r="D227" s="93" t="str">
        <f>IF($A227="","",VLOOKUP($A227,'Annex 2 EHV charges'!$A:$O,7,0))</f>
        <v>STRTHL</v>
      </c>
      <c r="E227" s="173">
        <f>IFERROR(IF(VLOOKUP($A227,'Annex 2 EHV charges'!$A:$O,8,FALSE)=0,"",VLOOKUP($A227,'Annex 2 EHV charges'!$A:$O,8,FALSE)),"")</f>
        <v>3.6999999999999998E-2</v>
      </c>
      <c r="F227" s="175">
        <f>IFERROR(IF(VLOOKUP($A227,'Annex 2 EHV charges'!$A:$O,9,FALSE)=0,"",VLOOKUP($A227,'Annex 2 EHV charges'!$A:$O,9,FALSE)),"")</f>
        <v>2.48</v>
      </c>
      <c r="G227" s="174">
        <f>IFERROR(IF(VLOOKUP($A227,'Annex 2 EHV charges'!$A:$O,10,FALSE)=0,"",VLOOKUP($A227,'Annex 2 EHV charges'!$A:$O,10,FALSE)),"")</f>
        <v>7.62</v>
      </c>
      <c r="H227" s="174">
        <f>IFERROR(IF(VLOOKUP($A227,'Annex 2 EHV charges'!$A:$O,11,FALSE)=0,"",VLOOKUP($A227,'Annex 2 EHV charges'!$A:$O,11,FALSE)),"")</f>
        <v>7.62</v>
      </c>
    </row>
    <row r="228" spans="1:8" x14ac:dyDescent="0.2">
      <c r="A228" s="93" t="str">
        <f t="array" ref="A228">IFERROR(INDEX('Annex 2 EHV charges'!$A$10:$A$301, MATCH(0, IF(ISBLANK('Annex 2 EHV charges'!$A$10:$A$301),1, COUNTIF(A$4:$A227, 'Annex 2 EHV charges'!$A$10:$A$301)), 0)),"")</f>
        <v>STWBRG</v>
      </c>
      <c r="B228" s="93">
        <f>IF($A228="","",VLOOKUP($A228,'Annex 2 EHV charges'!$A:$O,2,0))</f>
        <v>898</v>
      </c>
      <c r="C228" s="94">
        <f>IF($A228="","",VLOOKUP($A228,'Annex 2 EHV charges'!$A:$O,3,0))</f>
        <v>1050000613847</v>
      </c>
      <c r="D228" s="93" t="str">
        <f>IF($A228="","",VLOOKUP($A228,'Annex 2 EHV charges'!$A:$O,7,0))</f>
        <v>STWBRG</v>
      </c>
      <c r="E228" s="173" t="str">
        <f>IFERROR(IF(VLOOKUP($A228,'Annex 2 EHV charges'!$A:$O,8,FALSE)=0,"",VLOOKUP($A228,'Annex 2 EHV charges'!$A:$O,8,FALSE)),"")</f>
        <v/>
      </c>
      <c r="F228" s="175">
        <f>IFERROR(IF(VLOOKUP($A228,'Annex 2 EHV charges'!$A:$O,9,FALSE)=0,"",VLOOKUP($A228,'Annex 2 EHV charges'!$A:$O,9,FALSE)),"")</f>
        <v>5.91</v>
      </c>
      <c r="G228" s="174">
        <f>IFERROR(IF(VLOOKUP($A228,'Annex 2 EHV charges'!$A:$O,10,FALSE)=0,"",VLOOKUP($A228,'Annex 2 EHV charges'!$A:$O,10,FALSE)),"")</f>
        <v>2.88</v>
      </c>
      <c r="H228" s="174">
        <f>IFERROR(IF(VLOOKUP($A228,'Annex 2 EHV charges'!$A:$O,11,FALSE)=0,"",VLOOKUP($A228,'Annex 2 EHV charges'!$A:$O,11,FALSE)),"")</f>
        <v>2.88</v>
      </c>
    </row>
    <row r="229" spans="1:8" x14ac:dyDescent="0.2">
      <c r="A229" s="93" t="str">
        <f t="array" ref="A229">IFERROR(INDEX('Annex 2 EHV charges'!$A$10:$A$301, MATCH(0, IF(ISBLANK('Annex 2 EHV charges'!$A$10:$A$301),1, COUNTIF(A$4:$A228, 'Annex 2 EHV charges'!$A$10:$A$301)), 0)),"")</f>
        <v>SWNLND</v>
      </c>
      <c r="B229" s="93">
        <f>IF($A229="","",VLOOKUP($A229,'Annex 2 EHV charges'!$A:$O,2,0))</f>
        <v>580</v>
      </c>
      <c r="C229" s="94">
        <f>IF($A229="","",VLOOKUP($A229,'Annex 2 EHV charges'!$A:$O,3,0))</f>
        <v>1050001290011</v>
      </c>
      <c r="D229" s="93" t="str">
        <f>IF($A229="","",VLOOKUP($A229,'Annex 2 EHV charges'!$A:$O,7,0))</f>
        <v>SWNLND</v>
      </c>
      <c r="E229" s="173">
        <f>IFERROR(IF(VLOOKUP($A229,'Annex 2 EHV charges'!$A:$O,8,FALSE)=0,"",VLOOKUP($A229,'Annex 2 EHV charges'!$A:$O,8,FALSE)),"")</f>
        <v>3.2509999999999999</v>
      </c>
      <c r="F229" s="175">
        <f>IFERROR(IF(VLOOKUP($A229,'Annex 2 EHV charges'!$A:$O,9,FALSE)=0,"",VLOOKUP($A229,'Annex 2 EHV charges'!$A:$O,9,FALSE)),"")</f>
        <v>7.42</v>
      </c>
      <c r="G229" s="174">
        <f>IFERROR(IF(VLOOKUP($A229,'Annex 2 EHV charges'!$A:$O,10,FALSE)=0,"",VLOOKUP($A229,'Annex 2 EHV charges'!$A:$O,10,FALSE)),"")</f>
        <v>1.52</v>
      </c>
      <c r="H229" s="174">
        <f>IFERROR(IF(VLOOKUP($A229,'Annex 2 EHV charges'!$A:$O,11,FALSE)=0,"",VLOOKUP($A229,'Annex 2 EHV charges'!$A:$O,11,FALSE)),"")</f>
        <v>1.52</v>
      </c>
    </row>
    <row r="230" spans="1:8" ht="51" x14ac:dyDescent="0.2">
      <c r="A230" s="93" t="str">
        <f t="array" ref="A230">IFERROR(INDEX('Annex 2 EHV charges'!$A$10:$A$301, MATCH(0, IF(ISBLANK('Annex 2 EHV charges'!$A$10:$A$301),1, COUNTIF(A$4:$A229, 'Annex 2 EHV charges'!$A$10:$A$301)), 0)),"")</f>
        <v>TILBEM</v>
      </c>
      <c r="B230" s="93">
        <f>IF($A230="","",VLOOKUP($A230,'Annex 2 EHV charges'!$A:$O,2,0))</f>
        <v>833</v>
      </c>
      <c r="C230" s="94" t="str">
        <f>IF($A230="","",VLOOKUP($A230,'Annex 2 EHV charges'!$A:$O,3,0))</f>
        <v>1030082588170
1050000414848
1050000423105
1050001757717</v>
      </c>
      <c r="D230" s="93" t="str">
        <f>IF($A230="","",VLOOKUP($A230,'Annex 2 EHV charges'!$A:$O,7,0))</f>
        <v>TILBEM</v>
      </c>
      <c r="E230" s="173">
        <f>IFERROR(IF(VLOOKUP($A230,'Annex 2 EHV charges'!$A:$O,8,FALSE)=0,"",VLOOKUP($A230,'Annex 2 EHV charges'!$A:$O,8,FALSE)),"")</f>
        <v>6.0999999999999999E-2</v>
      </c>
      <c r="F230" s="175" t="str">
        <f>IFERROR(IF(VLOOKUP($A230,'Annex 2 EHV charges'!$A:$O,9,FALSE)=0,"",VLOOKUP($A230,'Annex 2 EHV charges'!$A:$O,9,FALSE)),"")</f>
        <v/>
      </c>
      <c r="G230" s="174" t="str">
        <f>IFERROR(IF(VLOOKUP($A230,'Annex 2 EHV charges'!$A:$O,10,FALSE)=0,"",VLOOKUP($A230,'Annex 2 EHV charges'!$A:$O,10,FALSE)),"")</f>
        <v/>
      </c>
      <c r="H230" s="174" t="str">
        <f>IFERROR(IF(VLOOKUP($A230,'Annex 2 EHV charges'!$A:$O,11,FALSE)=0,"",VLOOKUP($A230,'Annex 2 EHV charges'!$A:$O,11,FALSE)),"")</f>
        <v/>
      </c>
    </row>
    <row r="231" spans="1:8" ht="38.25" x14ac:dyDescent="0.2">
      <c r="A231" s="93" t="str">
        <f t="array" ref="A231">IFERROR(INDEX('Annex 2 EHV charges'!$A$10:$A$301, MATCH(0, IF(ISBLANK('Annex 2 EHV charges'!$A$10:$A$301),1, COUNTIF(A$4:$A230, 'Annex 2 EHV charges'!$A$10:$A$301)), 0)),"")</f>
        <v>TILBUR</v>
      </c>
      <c r="B231" s="93">
        <f>IF($A231="","",VLOOKUP($A231,'Annex 2 EHV charges'!$A:$O,2,0))</f>
        <v>833</v>
      </c>
      <c r="C231" s="94" t="str">
        <f>IF($A231="","",VLOOKUP($A231,'Annex 2 EHV charges'!$A:$O,3,0))</f>
        <v>1023478133661
1023525729172
1023525728718</v>
      </c>
      <c r="D231" s="93" t="str">
        <f>IF($A231="","",VLOOKUP($A231,'Annex 2 EHV charges'!$A:$O,7,0))</f>
        <v>TILBUR</v>
      </c>
      <c r="E231" s="173">
        <f>IFERROR(IF(VLOOKUP($A231,'Annex 2 EHV charges'!$A:$O,8,FALSE)=0,"",VLOOKUP($A231,'Annex 2 EHV charges'!$A:$O,8,FALSE)),"")</f>
        <v>6.0999999999999999E-2</v>
      </c>
      <c r="F231" s="175">
        <f>IFERROR(IF(VLOOKUP($A231,'Annex 2 EHV charges'!$A:$O,9,FALSE)=0,"",VLOOKUP($A231,'Annex 2 EHV charges'!$A:$O,9,FALSE)),"")</f>
        <v>2394.25</v>
      </c>
      <c r="G231" s="174">
        <f>IFERROR(IF(VLOOKUP($A231,'Annex 2 EHV charges'!$A:$O,10,FALSE)=0,"",VLOOKUP($A231,'Annex 2 EHV charges'!$A:$O,10,FALSE)),"")</f>
        <v>3.53</v>
      </c>
      <c r="H231" s="174">
        <f>IFERROR(IF(VLOOKUP($A231,'Annex 2 EHV charges'!$A:$O,11,FALSE)=0,"",VLOOKUP($A231,'Annex 2 EHV charges'!$A:$O,11,FALSE)),"")</f>
        <v>3.53</v>
      </c>
    </row>
    <row r="232" spans="1:8" x14ac:dyDescent="0.2">
      <c r="A232" s="93" t="str">
        <f t="array" ref="A232">IFERROR(INDEX('Annex 2 EHV charges'!$A$10:$A$301, MATCH(0, IF(ISBLANK('Annex 2 EHV charges'!$A$10:$A$301),1, COUNTIF(A$4:$A231, 'Annex 2 EHV charges'!$A$10:$A$301)), 0)),"")</f>
        <v>TILGRN</v>
      </c>
      <c r="B232" s="93">
        <f>IF($A232="","",VLOOKUP($A232,'Annex 2 EHV charges'!$A:$O,2,0))</f>
        <v>582</v>
      </c>
      <c r="C232" s="94">
        <f>IF($A232="","",VLOOKUP($A232,'Annex 2 EHV charges'!$A:$O,3,0))</f>
        <v>1050001109352</v>
      </c>
      <c r="D232" s="93" t="str">
        <f>IF($A232="","",VLOOKUP($A232,'Annex 2 EHV charges'!$A:$O,7,0))</f>
        <v>TILGRN</v>
      </c>
      <c r="E232" s="173">
        <f>IFERROR(IF(VLOOKUP($A232,'Annex 2 EHV charges'!$A:$O,8,FALSE)=0,"",VLOOKUP($A232,'Annex 2 EHV charges'!$A:$O,8,FALSE)),"")</f>
        <v>0.40799999999999997</v>
      </c>
      <c r="F232" s="175">
        <f>IFERROR(IF(VLOOKUP($A232,'Annex 2 EHV charges'!$A:$O,9,FALSE)=0,"",VLOOKUP($A232,'Annex 2 EHV charges'!$A:$O,9,FALSE)),"")</f>
        <v>1970.36</v>
      </c>
      <c r="G232" s="174">
        <f>IFERROR(IF(VLOOKUP($A232,'Annex 2 EHV charges'!$A:$O,10,FALSE)=0,"",VLOOKUP($A232,'Annex 2 EHV charges'!$A:$O,10,FALSE)),"")</f>
        <v>1.52</v>
      </c>
      <c r="H232" s="174">
        <f>IFERROR(IF(VLOOKUP($A232,'Annex 2 EHV charges'!$A:$O,11,FALSE)=0,"",VLOOKUP($A232,'Annex 2 EHV charges'!$A:$O,11,FALSE)),"")</f>
        <v>1.52</v>
      </c>
    </row>
    <row r="233" spans="1:8" x14ac:dyDescent="0.2">
      <c r="A233" s="93" t="str">
        <f t="array" ref="A233">IFERROR(INDEX('Annex 2 EHV charges'!$A$10:$A$301, MATCH(0, IF(ISBLANK('Annex 2 EHV charges'!$A$10:$A$301),1, COUNTIF(A$4:$A232, 'Annex 2 EHV charges'!$A$10:$A$301)), 0)),"")</f>
        <v>TOGGAM</v>
      </c>
      <c r="B233" s="93">
        <f>IF($A233="","",VLOOKUP($A233,'Annex 2 EHV charges'!$A:$O,2,0))</f>
        <v>560</v>
      </c>
      <c r="C233" s="94">
        <f>IF($A233="","",VLOOKUP($A233,'Annex 2 EHV charges'!$A:$O,3,0))</f>
        <v>1050001059393</v>
      </c>
      <c r="D233" s="93" t="str">
        <f>IF($A233="","",VLOOKUP($A233,'Annex 2 EHV charges'!$A:$O,7,0))</f>
        <v>TOGGAM</v>
      </c>
      <c r="E233" s="173">
        <f>IFERROR(IF(VLOOKUP($A233,'Annex 2 EHV charges'!$A:$O,8,FALSE)=0,"",VLOOKUP($A233,'Annex 2 EHV charges'!$A:$O,8,FALSE)),"")</f>
        <v>1.008</v>
      </c>
      <c r="F233" s="175">
        <f>IFERROR(IF(VLOOKUP($A233,'Annex 2 EHV charges'!$A:$O,9,FALSE)=0,"",VLOOKUP($A233,'Annex 2 EHV charges'!$A:$O,9,FALSE)),"")</f>
        <v>36.450000000000003</v>
      </c>
      <c r="G233" s="174">
        <f>IFERROR(IF(VLOOKUP($A233,'Annex 2 EHV charges'!$A:$O,10,FALSE)=0,"",VLOOKUP($A233,'Annex 2 EHV charges'!$A:$O,10,FALSE)),"")</f>
        <v>2.11</v>
      </c>
      <c r="H233" s="174">
        <f>IFERROR(IF(VLOOKUP($A233,'Annex 2 EHV charges'!$A:$O,11,FALSE)=0,"",VLOOKUP($A233,'Annex 2 EHV charges'!$A:$O,11,FALSE)),"")</f>
        <v>2.11</v>
      </c>
    </row>
    <row r="234" spans="1:8" x14ac:dyDescent="0.2">
      <c r="A234" s="93" t="str">
        <f t="array" ref="A234">IFERROR(INDEX('Annex 2 EHV charges'!$A$10:$A$301, MATCH(0, IF(ISBLANK('Annex 2 EHV charges'!$A$10:$A$301),1, COUNTIF(A$4:$A233, 'Annex 2 EHV charges'!$A$10:$A$301)), 0)),"")</f>
        <v>TOOLEY</v>
      </c>
      <c r="B234" s="93">
        <f>IF($A234="","",VLOOKUP($A234,'Annex 2 EHV charges'!$A:$O,2,0))</f>
        <v>561</v>
      </c>
      <c r="C234" s="94">
        <f>IF($A234="","",VLOOKUP($A234,'Annex 2 EHV charges'!$A:$O,3,0))</f>
        <v>1050000903217</v>
      </c>
      <c r="D234" s="93" t="str">
        <f>IF($A234="","",VLOOKUP($A234,'Annex 2 EHV charges'!$A:$O,7,0))</f>
        <v>TOOLEY</v>
      </c>
      <c r="E234" s="173">
        <f>IFERROR(IF(VLOOKUP($A234,'Annex 2 EHV charges'!$A:$O,8,FALSE)=0,"",VLOOKUP($A234,'Annex 2 EHV charges'!$A:$O,8,FALSE)),"")</f>
        <v>0.38</v>
      </c>
      <c r="F234" s="175">
        <f>IFERROR(IF(VLOOKUP($A234,'Annex 2 EHV charges'!$A:$O,9,FALSE)=0,"",VLOOKUP($A234,'Annex 2 EHV charges'!$A:$O,9,FALSE)),"")</f>
        <v>17.28</v>
      </c>
      <c r="G234" s="174">
        <f>IFERROR(IF(VLOOKUP($A234,'Annex 2 EHV charges'!$A:$O,10,FALSE)=0,"",VLOOKUP($A234,'Annex 2 EHV charges'!$A:$O,10,FALSE)),"")</f>
        <v>4.0999999999999996</v>
      </c>
      <c r="H234" s="174">
        <f>IFERROR(IF(VLOOKUP($A234,'Annex 2 EHV charges'!$A:$O,11,FALSE)=0,"",VLOOKUP($A234,'Annex 2 EHV charges'!$A:$O,11,FALSE)),"")</f>
        <v>4.0999999999999996</v>
      </c>
    </row>
    <row r="235" spans="1:8" x14ac:dyDescent="0.2">
      <c r="A235" s="93" t="str">
        <f t="array" ref="A235">IFERROR(INDEX('Annex 2 EHV charges'!$A$10:$A$301, MATCH(0, IF(ISBLANK('Annex 2 EHV charges'!$A$10:$A$301),1, COUNTIF(A$4:$A234, 'Annex 2 EHV charges'!$A$10:$A$301)), 0)),"")</f>
        <v>TRNCLE</v>
      </c>
      <c r="B235" s="93">
        <f>IF($A235="","",VLOOKUP($A235,'Annex 2 EHV charges'!$A:$O,2,0))</f>
        <v>583</v>
      </c>
      <c r="C235" s="94">
        <f>IF($A235="","",VLOOKUP($A235,'Annex 2 EHV charges'!$A:$O,3,0))</f>
        <v>1050001078642</v>
      </c>
      <c r="D235" s="93" t="str">
        <f>IF($A235="","",VLOOKUP($A235,'Annex 2 EHV charges'!$A:$O,7,0))</f>
        <v>TRNCLE</v>
      </c>
      <c r="E235" s="173" t="str">
        <f>IFERROR(IF(VLOOKUP($A235,'Annex 2 EHV charges'!$A:$O,8,FALSE)=0,"",VLOOKUP($A235,'Annex 2 EHV charges'!$A:$O,8,FALSE)),"")</f>
        <v/>
      </c>
      <c r="F235" s="175">
        <f>IFERROR(IF(VLOOKUP($A235,'Annex 2 EHV charges'!$A:$O,9,FALSE)=0,"",VLOOKUP($A235,'Annex 2 EHV charges'!$A:$O,9,FALSE)),"")</f>
        <v>99.31</v>
      </c>
      <c r="G235" s="174">
        <f>IFERROR(IF(VLOOKUP($A235,'Annex 2 EHV charges'!$A:$O,10,FALSE)=0,"",VLOOKUP($A235,'Annex 2 EHV charges'!$A:$O,10,FALSE)),"")</f>
        <v>1.29</v>
      </c>
      <c r="H235" s="174">
        <f>IFERROR(IF(VLOOKUP($A235,'Annex 2 EHV charges'!$A:$O,11,FALSE)=0,"",VLOOKUP($A235,'Annex 2 EHV charges'!$A:$O,11,FALSE)),"")</f>
        <v>1.29</v>
      </c>
    </row>
    <row r="236" spans="1:8" ht="25.5" x14ac:dyDescent="0.2">
      <c r="A236" s="93" t="str">
        <f t="array" ref="A236">IFERROR(INDEX('Annex 2 EHV charges'!$A$10:$A$301, MATCH(0, IF(ISBLANK('Annex 2 EHV charges'!$A$10:$A$301),1, COUNTIF(A$4:$A235, 'Annex 2 EHV charges'!$A$10:$A$301)), 0)),"")</f>
        <v>UB_EYE</v>
      </c>
      <c r="B236" s="93">
        <f>IF($A236="","",VLOOKUP($A236,'Annex 2 EHV charges'!$A:$O,2,0))</f>
        <v>495</v>
      </c>
      <c r="C236" s="94" t="str">
        <f>IF($A236="","",VLOOKUP($A236,'Annex 2 EHV charges'!$A:$O,3,0))</f>
        <v>1014573052317
1023470683505</v>
      </c>
      <c r="D236" s="93" t="str">
        <f>IF($A236="","",VLOOKUP($A236,'Annex 2 EHV charges'!$A:$O,7,0))</f>
        <v>UB_EYE</v>
      </c>
      <c r="E236" s="173">
        <f>IFERROR(IF(VLOOKUP($A236,'Annex 2 EHV charges'!$A:$O,8,FALSE)=0,"",VLOOKUP($A236,'Annex 2 EHV charges'!$A:$O,8,FALSE)),"")</f>
        <v>0.25</v>
      </c>
      <c r="F236" s="175">
        <f>IFERROR(IF(VLOOKUP($A236,'Annex 2 EHV charges'!$A:$O,9,FALSE)=0,"",VLOOKUP($A236,'Annex 2 EHV charges'!$A:$O,9,FALSE)),"")</f>
        <v>179.86</v>
      </c>
      <c r="G236" s="174">
        <f>IFERROR(IF(VLOOKUP($A236,'Annex 2 EHV charges'!$A:$O,10,FALSE)=0,"",VLOOKUP($A236,'Annex 2 EHV charges'!$A:$O,10,FALSE)),"")</f>
        <v>4.41</v>
      </c>
      <c r="H236" s="174">
        <f>IFERROR(IF(VLOOKUP($A236,'Annex 2 EHV charges'!$A:$O,11,FALSE)=0,"",VLOOKUP($A236,'Annex 2 EHV charges'!$A:$O,11,FALSE)),"")</f>
        <v>4.41</v>
      </c>
    </row>
    <row r="237" spans="1:8" ht="25.5" x14ac:dyDescent="0.2">
      <c r="A237" s="93" t="str">
        <f t="array" ref="A237">IFERROR(INDEX('Annex 2 EHV charges'!$A$10:$A$301, MATCH(0, IF(ISBLANK('Annex 2 EHV charges'!$A$10:$A$301),1, COUNTIF(A$4:$A236, 'Annex 2 EHV charges'!$A$10:$A$301)), 0)),"")</f>
        <v>UBS_UK</v>
      </c>
      <c r="B237" s="93">
        <f>IF($A237="","",VLOOKUP($A237,'Annex 2 EHV charges'!$A:$O,2,0))</f>
        <v>496</v>
      </c>
      <c r="C237" s="94" t="str">
        <f>IF($A237="","",VLOOKUP($A237,'Annex 2 EHV charges'!$A:$O,3,0))</f>
        <v>1030065428330
1030065428562</v>
      </c>
      <c r="D237" s="93" t="str">
        <f>IF($A237="","",VLOOKUP($A237,'Annex 2 EHV charges'!$A:$O,7,0))</f>
        <v>UBS_UK</v>
      </c>
      <c r="E237" s="173">
        <f>IFERROR(IF(VLOOKUP($A237,'Annex 2 EHV charges'!$A:$O,8,FALSE)=0,"",VLOOKUP($A237,'Annex 2 EHV charges'!$A:$O,8,FALSE)),"")</f>
        <v>0.17299999999999999</v>
      </c>
      <c r="F237" s="175">
        <f>IFERROR(IF(VLOOKUP($A237,'Annex 2 EHV charges'!$A:$O,9,FALSE)=0,"",VLOOKUP($A237,'Annex 2 EHV charges'!$A:$O,9,FALSE)),"")</f>
        <v>5522.69</v>
      </c>
      <c r="G237" s="174">
        <f>IFERROR(IF(VLOOKUP($A237,'Annex 2 EHV charges'!$A:$O,10,FALSE)=0,"",VLOOKUP($A237,'Annex 2 EHV charges'!$A:$O,10,FALSE)),"")</f>
        <v>1.21</v>
      </c>
      <c r="H237" s="174">
        <f>IFERROR(IF(VLOOKUP($A237,'Annex 2 EHV charges'!$A:$O,11,FALSE)=0,"",VLOOKUP($A237,'Annex 2 EHV charges'!$A:$O,11,FALSE)),"")</f>
        <v>1.21</v>
      </c>
    </row>
    <row r="238" spans="1:8" x14ac:dyDescent="0.2">
      <c r="A238" s="93" t="str">
        <f t="array" ref="A238">IFERROR(INDEX('Annex 2 EHV charges'!$A$10:$A$301, MATCH(0, IF(ISBLANK('Annex 2 EHV charges'!$A$10:$A$301),1, COUNTIF(A$4:$A237, 'Annex 2 EHV charges'!$A$10:$A$301)), 0)),"")</f>
        <v>UKPRST</v>
      </c>
      <c r="B238" s="93">
        <f>IF($A238="","",VLOOKUP($A238,'Annex 2 EHV charges'!$A:$O,2,0))</f>
        <v>584</v>
      </c>
      <c r="C238" s="94">
        <f>IF($A238="","",VLOOKUP($A238,'Annex 2 EHV charges'!$A:$O,3,0))</f>
        <v>1050001052193</v>
      </c>
      <c r="D238" s="93" t="str">
        <f>IF($A238="","",VLOOKUP($A238,'Annex 2 EHV charges'!$A:$O,7,0))</f>
        <v>UKPRST</v>
      </c>
      <c r="E238" s="173">
        <f>IFERROR(IF(VLOOKUP($A238,'Annex 2 EHV charges'!$A:$O,8,FALSE)=0,"",VLOOKUP($A238,'Annex 2 EHV charges'!$A:$O,8,FALSE)),"")</f>
        <v>0.252</v>
      </c>
      <c r="F238" s="175">
        <f>IFERROR(IF(VLOOKUP($A238,'Annex 2 EHV charges'!$A:$O,9,FALSE)=0,"",VLOOKUP($A238,'Annex 2 EHV charges'!$A:$O,9,FALSE)),"")</f>
        <v>6.29</v>
      </c>
      <c r="G238" s="174">
        <f>IFERROR(IF(VLOOKUP($A238,'Annex 2 EHV charges'!$A:$O,10,FALSE)=0,"",VLOOKUP($A238,'Annex 2 EHV charges'!$A:$O,10,FALSE)),"")</f>
        <v>2.35</v>
      </c>
      <c r="H238" s="174">
        <f>IFERROR(IF(VLOOKUP($A238,'Annex 2 EHV charges'!$A:$O,11,FALSE)=0,"",VLOOKUP($A238,'Annex 2 EHV charges'!$A:$O,11,FALSE)),"")</f>
        <v>2.35</v>
      </c>
    </row>
    <row r="239" spans="1:8" x14ac:dyDescent="0.2">
      <c r="A239" s="93" t="str">
        <f t="array" ref="A239">IFERROR(INDEX('Annex 2 EHV charges'!$A$10:$A$301, MATCH(0, IF(ISBLANK('Annex 2 EHV charges'!$A$10:$A$301),1, COUNTIF(A$4:$A238, 'Annex 2 EHV charges'!$A$10:$A$301)), 0)),"")</f>
        <v>VINESF</v>
      </c>
      <c r="B239" s="93">
        <f>IF($A239="","",VLOOKUP($A239,'Annex 2 EHV charges'!$A:$O,2,0))</f>
        <v>562</v>
      </c>
      <c r="C239" s="94">
        <f>IF($A239="","",VLOOKUP($A239,'Annex 2 EHV charges'!$A:$O,3,0))</f>
        <v>1050000996141</v>
      </c>
      <c r="D239" s="93" t="str">
        <f>IF($A239="","",VLOOKUP($A239,'Annex 2 EHV charges'!$A:$O,7,0))</f>
        <v>VINESF</v>
      </c>
      <c r="E239" s="173" t="str">
        <f>IFERROR(IF(VLOOKUP($A239,'Annex 2 EHV charges'!$A:$O,8,FALSE)=0,"",VLOOKUP($A239,'Annex 2 EHV charges'!$A:$O,8,FALSE)),"")</f>
        <v/>
      </c>
      <c r="F239" s="175">
        <f>IFERROR(IF(VLOOKUP($A239,'Annex 2 EHV charges'!$A:$O,9,FALSE)=0,"",VLOOKUP($A239,'Annex 2 EHV charges'!$A:$O,9,FALSE)),"")</f>
        <v>54.62</v>
      </c>
      <c r="G239" s="174">
        <f>IFERROR(IF(VLOOKUP($A239,'Annex 2 EHV charges'!$A:$O,10,FALSE)=0,"",VLOOKUP($A239,'Annex 2 EHV charges'!$A:$O,10,FALSE)),"")</f>
        <v>4.16</v>
      </c>
      <c r="H239" s="174">
        <f>IFERROR(IF(VLOOKUP($A239,'Annex 2 EHV charges'!$A:$O,11,FALSE)=0,"",VLOOKUP($A239,'Annex 2 EHV charges'!$A:$O,11,FALSE)),"")</f>
        <v>4.16</v>
      </c>
    </row>
    <row r="240" spans="1:8" ht="51" x14ac:dyDescent="0.2">
      <c r="A240" s="93" t="str">
        <f t="array" ref="A240">IFERROR(INDEX('Annex 2 EHV charges'!$A$10:$A$301, MATCH(0, IF(ISBLANK('Annex 2 EHV charges'!$A$10:$A$301),1, COUNTIF(A$4:$A239, 'Annex 2 EHV charges'!$A$10:$A$301)), 0)),"")</f>
        <v>VXHALL</v>
      </c>
      <c r="B240" s="93">
        <f>IF($A240="","",VLOOKUP($A240,'Annex 2 EHV charges'!$A:$O,2,0))</f>
        <v>497</v>
      </c>
      <c r="C240" s="94" t="str">
        <f>IF($A240="","",VLOOKUP($A240,'Annex 2 EHV charges'!$A:$O,3,0))</f>
        <v>1014571158953
1014571159186
1014571159414
1014571158721</v>
      </c>
      <c r="D240" s="93" t="str">
        <f>IF($A240="","",VLOOKUP($A240,'Annex 2 EHV charges'!$A:$O,7,0))</f>
        <v>VXHALL</v>
      </c>
      <c r="E240" s="173">
        <f>IFERROR(IF(VLOOKUP($A240,'Annex 2 EHV charges'!$A:$O,8,FALSE)=0,"",VLOOKUP($A240,'Annex 2 EHV charges'!$A:$O,8,FALSE)),"")</f>
        <v>0.94199999999999995</v>
      </c>
      <c r="F240" s="175">
        <f>IFERROR(IF(VLOOKUP($A240,'Annex 2 EHV charges'!$A:$O,9,FALSE)=0,"",VLOOKUP($A240,'Annex 2 EHV charges'!$A:$O,9,FALSE)),"")</f>
        <v>4797.4399999999996</v>
      </c>
      <c r="G240" s="174">
        <f>IFERROR(IF(VLOOKUP($A240,'Annex 2 EHV charges'!$A:$O,10,FALSE)=0,"",VLOOKUP($A240,'Annex 2 EHV charges'!$A:$O,10,FALSE)),"")</f>
        <v>4.43</v>
      </c>
      <c r="H240" s="174">
        <f>IFERROR(IF(VLOOKUP($A240,'Annex 2 EHV charges'!$A:$O,11,FALSE)=0,"",VLOOKUP($A240,'Annex 2 EHV charges'!$A:$O,11,FALSE)),"")</f>
        <v>4.43</v>
      </c>
    </row>
    <row r="241" spans="1:8" x14ac:dyDescent="0.2">
      <c r="A241" s="93" t="str">
        <f t="array" ref="A241">IFERROR(INDEX('Annex 2 EHV charges'!$A$10:$A$301, MATCH(0, IF(ISBLANK('Annex 2 EHV charges'!$A$10:$A$301),1, COUNTIF(A$4:$A240, 'Annex 2 EHV charges'!$A$10:$A$301)), 0)),"")</f>
        <v>WAIRWF</v>
      </c>
      <c r="B241" s="93">
        <f>IF($A241="","",VLOOKUP($A241,'Annex 2 EHV charges'!$A:$O,2,0))</f>
        <v>501</v>
      </c>
      <c r="C241" s="94">
        <f>IF($A241="","",VLOOKUP($A241,'Annex 2 EHV charges'!$A:$O,3,0))</f>
        <v>1050000529637</v>
      </c>
      <c r="D241" s="93" t="str">
        <f>IF($A241="","",VLOOKUP($A241,'Annex 2 EHV charges'!$A:$O,7,0))</f>
        <v>WAIRWF</v>
      </c>
      <c r="E241" s="173">
        <f>IFERROR(IF(VLOOKUP($A241,'Annex 2 EHV charges'!$A:$O,8,FALSE)=0,"",VLOOKUP($A241,'Annex 2 EHV charges'!$A:$O,8,FALSE)),"")</f>
        <v>8.4000000000000005E-2</v>
      </c>
      <c r="F241" s="175">
        <f>IFERROR(IF(VLOOKUP($A241,'Annex 2 EHV charges'!$A:$O,9,FALSE)=0,"",VLOOKUP($A241,'Annex 2 EHV charges'!$A:$O,9,FALSE)),"")</f>
        <v>16.25</v>
      </c>
      <c r="G241" s="174">
        <f>IFERROR(IF(VLOOKUP($A241,'Annex 2 EHV charges'!$A:$O,10,FALSE)=0,"",VLOOKUP($A241,'Annex 2 EHV charges'!$A:$O,10,FALSE)),"")</f>
        <v>3.48</v>
      </c>
      <c r="H241" s="174">
        <f>IFERROR(IF(VLOOKUP($A241,'Annex 2 EHV charges'!$A:$O,11,FALSE)=0,"",VLOOKUP($A241,'Annex 2 EHV charges'!$A:$O,11,FALSE)),"")</f>
        <v>3.48</v>
      </c>
    </row>
    <row r="242" spans="1:8" ht="25.5" x14ac:dyDescent="0.2">
      <c r="A242" s="93" t="str">
        <f t="array" ref="A242">IFERROR(INDEX('Annex 2 EHV charges'!$A$10:$A$301, MATCH(0, IF(ISBLANK('Annex 2 EHV charges'!$A$10:$A$301),1, COUNTIF(A$4:$A241, 'Annex 2 EHV charges'!$A$10:$A$301)), 0)),"")</f>
        <v>WARNER</v>
      </c>
      <c r="B242" s="93">
        <f>IF($A242="","",VLOOKUP($A242,'Annex 2 EHV charges'!$A:$O,2,0))</f>
        <v>498</v>
      </c>
      <c r="C242" s="94" t="str">
        <f>IF($A242="","",VLOOKUP($A242,'Annex 2 EHV charges'!$A:$O,3,0))</f>
        <v>1030076325049
1030076325270</v>
      </c>
      <c r="D242" s="93" t="str">
        <f>IF($A242="","",VLOOKUP($A242,'Annex 2 EHV charges'!$A:$O,7,0))</f>
        <v>WARNER</v>
      </c>
      <c r="E242" s="173">
        <f>IFERROR(IF(VLOOKUP($A242,'Annex 2 EHV charges'!$A:$O,8,FALSE)=0,"",VLOOKUP($A242,'Annex 2 EHV charges'!$A:$O,8,FALSE)),"")</f>
        <v>2.9000000000000001E-2</v>
      </c>
      <c r="F242" s="175">
        <f>IFERROR(IF(VLOOKUP($A242,'Annex 2 EHV charges'!$A:$O,9,FALSE)=0,"",VLOOKUP($A242,'Annex 2 EHV charges'!$A:$O,9,FALSE)),"")</f>
        <v>4972.3100000000004</v>
      </c>
      <c r="G242" s="174">
        <f>IFERROR(IF(VLOOKUP($A242,'Annex 2 EHV charges'!$A:$O,10,FALSE)=0,"",VLOOKUP($A242,'Annex 2 EHV charges'!$A:$O,10,FALSE)),"")</f>
        <v>6.17</v>
      </c>
      <c r="H242" s="174">
        <f>IFERROR(IF(VLOOKUP($A242,'Annex 2 EHV charges'!$A:$O,11,FALSE)=0,"",VLOOKUP($A242,'Annex 2 EHV charges'!$A:$O,11,FALSE)),"")</f>
        <v>6.17</v>
      </c>
    </row>
    <row r="243" spans="1:8" x14ac:dyDescent="0.2">
      <c r="A243" s="93" t="str">
        <f t="array" ref="A243">IFERROR(INDEX('Annex 2 EHV charges'!$A$10:$A$301, MATCH(0, IF(ISBLANK('Annex 2 EHV charges'!$A$10:$A$301),1, COUNTIF(A$4:$A242, 'Annex 2 EHV charges'!$A$10:$A$301)), 0)),"")</f>
        <v>WDLWWF</v>
      </c>
      <c r="B243" s="93">
        <f>IF($A243="","",VLOOKUP($A243,'Annex 2 EHV charges'!$A:$O,2,0))</f>
        <v>867</v>
      </c>
      <c r="C243" s="94">
        <f>IF($A243="","",VLOOKUP($A243,'Annex 2 EHV charges'!$A:$O,3,0))</f>
        <v>1030078016464</v>
      </c>
      <c r="D243" s="93" t="str">
        <f>IF($A243="","",VLOOKUP($A243,'Annex 2 EHV charges'!$A:$O,7,0))</f>
        <v>WDLWWF</v>
      </c>
      <c r="E243" s="173" t="str">
        <f>IFERROR(IF(VLOOKUP($A243,'Annex 2 EHV charges'!$A:$O,8,FALSE)=0,"",VLOOKUP($A243,'Annex 2 EHV charges'!$A:$O,8,FALSE)),"")</f>
        <v/>
      </c>
      <c r="F243" s="175">
        <f>IFERROR(IF(VLOOKUP($A243,'Annex 2 EHV charges'!$A:$O,9,FALSE)=0,"",VLOOKUP($A243,'Annex 2 EHV charges'!$A:$O,9,FALSE)),"")</f>
        <v>4.03</v>
      </c>
      <c r="G243" s="174">
        <f>IFERROR(IF(VLOOKUP($A243,'Annex 2 EHV charges'!$A:$O,10,FALSE)=0,"",VLOOKUP($A243,'Annex 2 EHV charges'!$A:$O,10,FALSE)),"")</f>
        <v>2.25</v>
      </c>
      <c r="H243" s="174">
        <f>IFERROR(IF(VLOOKUP($A243,'Annex 2 EHV charges'!$A:$O,11,FALSE)=0,"",VLOOKUP($A243,'Annex 2 EHV charges'!$A:$O,11,FALSE)),"")</f>
        <v>2.25</v>
      </c>
    </row>
    <row r="244" spans="1:8" x14ac:dyDescent="0.2">
      <c r="A244" s="93" t="str">
        <f t="array" ref="A244">IFERROR(INDEX('Annex 2 EHV charges'!$A$10:$A$301, MATCH(0, IF(ISBLANK('Annex 2 EHV charges'!$A$10:$A$301),1, COUNTIF(A$4:$A243, 'Annex 2 EHV charges'!$A$10:$A$301)), 0)),"")</f>
        <v>WDLWWW</v>
      </c>
      <c r="B244" s="93">
        <f>IF($A244="","",VLOOKUP($A244,'Annex 2 EHV charges'!$A:$O,2,0))</f>
        <v>430</v>
      </c>
      <c r="C244" s="94">
        <f>IF($A244="","",VLOOKUP($A244,'Annex 2 EHV charges'!$A:$O,3,0))</f>
        <v>1030078016696</v>
      </c>
      <c r="D244" s="93" t="str">
        <f>IF($A244="","",VLOOKUP($A244,'Annex 2 EHV charges'!$A:$O,7,0))</f>
        <v>WDLWWW</v>
      </c>
      <c r="E244" s="173">
        <f>IFERROR(IF(VLOOKUP($A244,'Annex 2 EHV charges'!$A:$O,8,FALSE)=0,"",VLOOKUP($A244,'Annex 2 EHV charges'!$A:$O,8,FALSE)),"")</f>
        <v>3.6999999999999998E-2</v>
      </c>
      <c r="F244" s="175">
        <f>IFERROR(IF(VLOOKUP($A244,'Annex 2 EHV charges'!$A:$O,9,FALSE)=0,"",VLOOKUP($A244,'Annex 2 EHV charges'!$A:$O,9,FALSE)),"")</f>
        <v>4.71</v>
      </c>
      <c r="G244" s="174">
        <f>IFERROR(IF(VLOOKUP($A244,'Annex 2 EHV charges'!$A:$O,10,FALSE)=0,"",VLOOKUP($A244,'Annex 2 EHV charges'!$A:$O,10,FALSE)),"")</f>
        <v>1.49</v>
      </c>
      <c r="H244" s="174">
        <f>IFERROR(IF(VLOOKUP($A244,'Annex 2 EHV charges'!$A:$O,11,FALSE)=0,"",VLOOKUP($A244,'Annex 2 EHV charges'!$A:$O,11,FALSE)),"")</f>
        <v>1.49</v>
      </c>
    </row>
    <row r="245" spans="1:8" x14ac:dyDescent="0.2">
      <c r="A245" s="93" t="str">
        <f t="array" ref="A245">IFERROR(INDEX('Annex 2 EHV charges'!$A$10:$A$301, MATCH(0, IF(ISBLANK('Annex 2 EHV charges'!$A$10:$A$301),1, COUNTIF(A$4:$A244, 'Annex 2 EHV charges'!$A$10:$A$301)), 0)),"")</f>
        <v>WHMLWF</v>
      </c>
      <c r="B245" s="93">
        <f>IF($A245="","",VLOOKUP($A245,'Annex 2 EHV charges'!$A:$O,2,0))</f>
        <v>868</v>
      </c>
      <c r="C245" s="94">
        <f>IF($A245="","",VLOOKUP($A245,'Annex 2 EHV charges'!$A:$O,3,0))</f>
        <v>1030079196591</v>
      </c>
      <c r="D245" s="93" t="str">
        <f>IF($A245="","",VLOOKUP($A245,'Annex 2 EHV charges'!$A:$O,7,0))</f>
        <v>WHMLWF</v>
      </c>
      <c r="E245" s="173" t="str">
        <f>IFERROR(IF(VLOOKUP($A245,'Annex 2 EHV charges'!$A:$O,8,FALSE)=0,"",VLOOKUP($A245,'Annex 2 EHV charges'!$A:$O,8,FALSE)),"")</f>
        <v/>
      </c>
      <c r="F245" s="175">
        <f>IFERROR(IF(VLOOKUP($A245,'Annex 2 EHV charges'!$A:$O,9,FALSE)=0,"",VLOOKUP($A245,'Annex 2 EHV charges'!$A:$O,9,FALSE)),"")</f>
        <v>79.8</v>
      </c>
      <c r="G245" s="174">
        <f>IFERROR(IF(VLOOKUP($A245,'Annex 2 EHV charges'!$A:$O,10,FALSE)=0,"",VLOOKUP($A245,'Annex 2 EHV charges'!$A:$O,10,FALSE)),"")</f>
        <v>1.48</v>
      </c>
      <c r="H245" s="174">
        <f>IFERROR(IF(VLOOKUP($A245,'Annex 2 EHV charges'!$A:$O,11,FALSE)=0,"",VLOOKUP($A245,'Annex 2 EHV charges'!$A:$O,11,FALSE)),"")</f>
        <v>1.48</v>
      </c>
    </row>
    <row r="246" spans="1:8" x14ac:dyDescent="0.2">
      <c r="A246" s="93" t="str">
        <f t="array" ref="A246">IFERROR(INDEX('Annex 2 EHV charges'!$A$10:$A$301, MATCH(0, IF(ISBLANK('Annex 2 EHV charges'!$A$10:$A$301),1, COUNTIF(A$4:$A245, 'Annex 2 EHV charges'!$A$10:$A$301)), 0)),"")</f>
        <v>WIGGIN</v>
      </c>
      <c r="B246" s="93">
        <f>IF($A246="","",VLOOKUP($A246,'Annex 2 EHV charges'!$A:$O,2,0))</f>
        <v>529</v>
      </c>
      <c r="C246" s="94">
        <f>IF($A246="","",VLOOKUP($A246,'Annex 2 EHV charges'!$A:$O,3,0))</f>
        <v>1050000769145</v>
      </c>
      <c r="D246" s="93" t="str">
        <f>IF($A246="","",VLOOKUP($A246,'Annex 2 EHV charges'!$A:$O,7,0))</f>
        <v>WIGGIN</v>
      </c>
      <c r="E246" s="173">
        <f>IFERROR(IF(VLOOKUP($A246,'Annex 2 EHV charges'!$A:$O,8,FALSE)=0,"",VLOOKUP($A246,'Annex 2 EHV charges'!$A:$O,8,FALSE)),"")</f>
        <v>0.183</v>
      </c>
      <c r="F246" s="175">
        <f>IFERROR(IF(VLOOKUP($A246,'Annex 2 EHV charges'!$A:$O,9,FALSE)=0,"",VLOOKUP($A246,'Annex 2 EHV charges'!$A:$O,9,FALSE)),"")</f>
        <v>12.86</v>
      </c>
      <c r="G246" s="174">
        <f>IFERROR(IF(VLOOKUP($A246,'Annex 2 EHV charges'!$A:$O,10,FALSE)=0,"",VLOOKUP($A246,'Annex 2 EHV charges'!$A:$O,10,FALSE)),"")</f>
        <v>2.62</v>
      </c>
      <c r="H246" s="174">
        <f>IFERROR(IF(VLOOKUP($A246,'Annex 2 EHV charges'!$A:$O,11,FALSE)=0,"",VLOOKUP($A246,'Annex 2 EHV charges'!$A:$O,11,FALSE)),"")</f>
        <v>2.62</v>
      </c>
    </row>
    <row r="247" spans="1:8" x14ac:dyDescent="0.2">
      <c r="A247" s="93" t="str">
        <f t="array" ref="A247">IFERROR(INDEX('Annex 2 EHV charges'!$A$10:$A$301, MATCH(0, IF(ISBLANK('Annex 2 EHV charges'!$A$10:$A$301),1, COUNTIF(A$4:$A246, 'Annex 2 EHV charges'!$A$10:$A$301)), 0)),"")</f>
        <v>WILLIA</v>
      </c>
      <c r="B247" s="93">
        <f>IF($A247="","",VLOOKUP($A247,'Annex 2 EHV charges'!$A:$O,2,0))</f>
        <v>819</v>
      </c>
      <c r="C247" s="94">
        <f>IF($A247="","",VLOOKUP($A247,'Annex 2 EHV charges'!$A:$O,3,0))</f>
        <v>1030027859903</v>
      </c>
      <c r="D247" s="93" t="str">
        <f>IF($A247="","",VLOOKUP($A247,'Annex 2 EHV charges'!$A:$O,7,0))</f>
        <v>WILLIA</v>
      </c>
      <c r="E247" s="173" t="str">
        <f>IFERROR(IF(VLOOKUP($A247,'Annex 2 EHV charges'!$A:$O,8,FALSE)=0,"",VLOOKUP($A247,'Annex 2 EHV charges'!$A:$O,8,FALSE)),"")</f>
        <v/>
      </c>
      <c r="F247" s="175">
        <f>IFERROR(IF(VLOOKUP($A247,'Annex 2 EHV charges'!$A:$O,9,FALSE)=0,"",VLOOKUP($A247,'Annex 2 EHV charges'!$A:$O,9,FALSE)),"")</f>
        <v>1191.24</v>
      </c>
      <c r="G247" s="174">
        <f>IFERROR(IF(VLOOKUP($A247,'Annex 2 EHV charges'!$A:$O,10,FALSE)=0,"",VLOOKUP($A247,'Annex 2 EHV charges'!$A:$O,10,FALSE)),"")</f>
        <v>2.0499999999999998</v>
      </c>
      <c r="H247" s="174">
        <f>IFERROR(IF(VLOOKUP($A247,'Annex 2 EHV charges'!$A:$O,11,FALSE)=0,"",VLOOKUP($A247,'Annex 2 EHV charges'!$A:$O,11,FALSE)),"")</f>
        <v>2.0499999999999998</v>
      </c>
    </row>
    <row r="248" spans="1:8" x14ac:dyDescent="0.2">
      <c r="A248" s="93" t="str">
        <f t="array" ref="A248">IFERROR(INDEX('Annex 2 EHV charges'!$A$10:$A$301, MATCH(0, IF(ISBLANK('Annex 2 EHV charges'!$A$10:$A$301),1, COUNTIF(A$4:$A247, 'Annex 2 EHV charges'!$A$10:$A$301)), 0)),"")</f>
        <v>WLBRHM</v>
      </c>
      <c r="B248" s="93">
        <f>IF($A248="","",VLOOKUP($A248,'Annex 2 EHV charges'!$A:$O,2,0))</f>
        <v>530</v>
      </c>
      <c r="C248" s="94">
        <f>IF($A248="","",VLOOKUP($A248,'Annex 2 EHV charges'!$A:$O,3,0))</f>
        <v>1050000714155</v>
      </c>
      <c r="D248" s="93" t="str">
        <f>IF($A248="","",VLOOKUP($A248,'Annex 2 EHV charges'!$A:$O,7,0))</f>
        <v>WLBRHM</v>
      </c>
      <c r="E248" s="173">
        <f>IFERROR(IF(VLOOKUP($A248,'Annex 2 EHV charges'!$A:$O,8,FALSE)=0,"",VLOOKUP($A248,'Annex 2 EHV charges'!$A:$O,8,FALSE)),"")</f>
        <v>0.127</v>
      </c>
      <c r="F248" s="175">
        <f>IFERROR(IF(VLOOKUP($A248,'Annex 2 EHV charges'!$A:$O,9,FALSE)=0,"",VLOOKUP($A248,'Annex 2 EHV charges'!$A:$O,9,FALSE)),"")</f>
        <v>9.5399999999999991</v>
      </c>
      <c r="G248" s="174">
        <f>IFERROR(IF(VLOOKUP($A248,'Annex 2 EHV charges'!$A:$O,10,FALSE)=0,"",VLOOKUP($A248,'Annex 2 EHV charges'!$A:$O,10,FALSE)),"")</f>
        <v>10.050000000000001</v>
      </c>
      <c r="H248" s="174">
        <f>IFERROR(IF(VLOOKUP($A248,'Annex 2 EHV charges'!$A:$O,11,FALSE)=0,"",VLOOKUP($A248,'Annex 2 EHV charges'!$A:$O,11,FALSE)),"")</f>
        <v>10.050000000000001</v>
      </c>
    </row>
    <row r="249" spans="1:8" x14ac:dyDescent="0.2">
      <c r="A249" s="93" t="str">
        <f t="array" ref="A249">IFERROR(INDEX('Annex 2 EHV charges'!$A$10:$A$301, MATCH(0, IF(ISBLANK('Annex 2 EHV charges'!$A$10:$A$301),1, COUNTIF(A$4:$A248, 'Annex 2 EHV charges'!$A$10:$A$301)), 0)),"")</f>
        <v>WOOLLY</v>
      </c>
      <c r="B249" s="93">
        <f>IF($A249="","",VLOOKUP($A249,'Annex 2 EHV charges'!$A:$O,2,0))</f>
        <v>532</v>
      </c>
      <c r="C249" s="94">
        <f>IF($A249="","",VLOOKUP($A249,'Annex 2 EHV charges'!$A:$O,3,0))</f>
        <v>1050000555920</v>
      </c>
      <c r="D249" s="93" t="str">
        <f>IF($A249="","",VLOOKUP($A249,'Annex 2 EHV charges'!$A:$O,7,0))</f>
        <v>WOOLLY</v>
      </c>
      <c r="E249" s="173">
        <f>IFERROR(IF(VLOOKUP($A249,'Annex 2 EHV charges'!$A:$O,8,FALSE)=0,"",VLOOKUP($A249,'Annex 2 EHV charges'!$A:$O,8,FALSE)),"")</f>
        <v>0.47299999999999998</v>
      </c>
      <c r="F249" s="175">
        <f>IFERROR(IF(VLOOKUP($A249,'Annex 2 EHV charges'!$A:$O,9,FALSE)=0,"",VLOOKUP($A249,'Annex 2 EHV charges'!$A:$O,9,FALSE)),"")</f>
        <v>56.72</v>
      </c>
      <c r="G249" s="174">
        <f>IFERROR(IF(VLOOKUP($A249,'Annex 2 EHV charges'!$A:$O,10,FALSE)=0,"",VLOOKUP($A249,'Annex 2 EHV charges'!$A:$O,10,FALSE)),"")</f>
        <v>4.9000000000000004</v>
      </c>
      <c r="H249" s="174">
        <f>IFERROR(IF(VLOOKUP($A249,'Annex 2 EHV charges'!$A:$O,11,FALSE)=0,"",VLOOKUP($A249,'Annex 2 EHV charges'!$A:$O,11,FALSE)),"")</f>
        <v>4.9000000000000004</v>
      </c>
    </row>
    <row r="250" spans="1:8" x14ac:dyDescent="0.2">
      <c r="A250" s="93" t="str">
        <f t="array" ref="A250">IFERROR(INDEX('Annex 2 EHV charges'!$A$10:$A$301, MATCH(0, IF(ISBLANK('Annex 2 EHV charges'!$A$10:$A$301),1, COUNTIF(A$4:$A249, 'Annex 2 EHV charges'!$A$10:$A$301)), 0)),"")</f>
        <v>WRGSTE</v>
      </c>
      <c r="B250" s="93">
        <f>IF($A250="","",VLOOKUP($A250,'Annex 2 EHV charges'!$A:$O,2,0))</f>
        <v>839</v>
      </c>
      <c r="C250" s="94">
        <f>IF($A250="","",VLOOKUP($A250,'Annex 2 EHV charges'!$A:$O,3,0))</f>
        <v>1023479303448</v>
      </c>
      <c r="D250" s="93" t="str">
        <f>IF($A250="","",VLOOKUP($A250,'Annex 2 EHV charges'!$A:$O,7,0))</f>
        <v>WRGSTE</v>
      </c>
      <c r="E250" s="173">
        <f>IFERROR(IF(VLOOKUP($A250,'Annex 2 EHV charges'!$A:$O,8,FALSE)=0,"",VLOOKUP($A250,'Annex 2 EHV charges'!$A:$O,8,FALSE)),"")</f>
        <v>8.9999999999999993E-3</v>
      </c>
      <c r="F250" s="175">
        <f>IFERROR(IF(VLOOKUP($A250,'Annex 2 EHV charges'!$A:$O,9,FALSE)=0,"",VLOOKUP($A250,'Annex 2 EHV charges'!$A:$O,9,FALSE)),"")</f>
        <v>96.51</v>
      </c>
      <c r="G250" s="174">
        <f>IFERROR(IF(VLOOKUP($A250,'Annex 2 EHV charges'!$A:$O,10,FALSE)=0,"",VLOOKUP($A250,'Annex 2 EHV charges'!$A:$O,10,FALSE)),"")</f>
        <v>1.1599999999999999</v>
      </c>
      <c r="H250" s="174">
        <f>IFERROR(IF(VLOOKUP($A250,'Annex 2 EHV charges'!$A:$O,11,FALSE)=0,"",VLOOKUP($A250,'Annex 2 EHV charges'!$A:$O,11,FALSE)),"")</f>
        <v>1.1599999999999999</v>
      </c>
    </row>
    <row r="251" spans="1:8" x14ac:dyDescent="0.2">
      <c r="A251" s="93" t="str">
        <f t="array" ref="A251">IFERROR(INDEX('Annex 2 EHV charges'!$A$10:$A$301, MATCH(0, IF(ISBLANK('Annex 2 EHV charges'!$A$10:$A$301),1, COUNTIF(A$4:$A250, 'Annex 2 EHV charges'!$A$10:$A$301)), 0)),"")</f>
        <v>WRYDEC</v>
      </c>
      <c r="B251" s="93">
        <f>IF($A251="","",VLOOKUP($A251,'Annex 2 EHV charges'!$A:$O,2,0))</f>
        <v>563</v>
      </c>
      <c r="C251" s="94">
        <f>IF($A251="","",VLOOKUP($A251,'Annex 2 EHV charges'!$A:$O,3,0))</f>
        <v>1050000948110</v>
      </c>
      <c r="D251" s="93" t="str">
        <f>IF($A251="","",VLOOKUP($A251,'Annex 2 EHV charges'!$A:$O,7,0))</f>
        <v>WRYDEC</v>
      </c>
      <c r="E251" s="173" t="str">
        <f>IFERROR(IF(VLOOKUP($A251,'Annex 2 EHV charges'!$A:$O,8,FALSE)=0,"",VLOOKUP($A251,'Annex 2 EHV charges'!$A:$O,8,FALSE)),"")</f>
        <v/>
      </c>
      <c r="F251" s="175">
        <f>IFERROR(IF(VLOOKUP($A251,'Annex 2 EHV charges'!$A:$O,9,FALSE)=0,"",VLOOKUP($A251,'Annex 2 EHV charges'!$A:$O,9,FALSE)),"")</f>
        <v>22.45</v>
      </c>
      <c r="G251" s="174">
        <f>IFERROR(IF(VLOOKUP($A251,'Annex 2 EHV charges'!$A:$O,10,FALSE)=0,"",VLOOKUP($A251,'Annex 2 EHV charges'!$A:$O,10,FALSE)),"")</f>
        <v>1.77</v>
      </c>
      <c r="H251" s="174">
        <f>IFERROR(IF(VLOOKUP($A251,'Annex 2 EHV charges'!$A:$O,11,FALSE)=0,"",VLOOKUP($A251,'Annex 2 EHV charges'!$A:$O,11,FALSE)),"")</f>
        <v>1.77</v>
      </c>
    </row>
    <row r="252" spans="1:8" x14ac:dyDescent="0.2">
      <c r="A252" s="93" t="str">
        <f t="array" ref="A252">IFERROR(INDEX('Annex 2 EHV charges'!$A$10:$A$301, MATCH(0, IF(ISBLANK('Annex 2 EHV charges'!$A$10:$A$301),1, COUNTIF(A$4:$A251, 'Annex 2 EHV charges'!$A$10:$A$301)), 0)),"")</f>
        <v>WSBRDG</v>
      </c>
      <c r="B252" s="93">
        <f>IF($A252="","",VLOOKUP($A252,'Annex 2 EHV charges'!$A:$O,2,0))</f>
        <v>531</v>
      </c>
      <c r="C252" s="94">
        <f>IF($A252="","",VLOOKUP($A252,'Annex 2 EHV charges'!$A:$O,3,0))</f>
        <v>1050000650690</v>
      </c>
      <c r="D252" s="93" t="str">
        <f>IF($A252="","",VLOOKUP($A252,'Annex 2 EHV charges'!$A:$O,7,0))</f>
        <v>WSBRDG</v>
      </c>
      <c r="E252" s="173">
        <f>IFERROR(IF(VLOOKUP($A252,'Annex 2 EHV charges'!$A:$O,8,FALSE)=0,"",VLOOKUP($A252,'Annex 2 EHV charges'!$A:$O,8,FALSE)),"")</f>
        <v>0.47099999999999997</v>
      </c>
      <c r="F252" s="175">
        <f>IFERROR(IF(VLOOKUP($A252,'Annex 2 EHV charges'!$A:$O,9,FALSE)=0,"",VLOOKUP($A252,'Annex 2 EHV charges'!$A:$O,9,FALSE)),"")</f>
        <v>8.5</v>
      </c>
      <c r="G252" s="174">
        <f>IFERROR(IF(VLOOKUP($A252,'Annex 2 EHV charges'!$A:$O,10,FALSE)=0,"",VLOOKUP($A252,'Annex 2 EHV charges'!$A:$O,10,FALSE)),"")</f>
        <v>7.73</v>
      </c>
      <c r="H252" s="174">
        <f>IFERROR(IF(VLOOKUP($A252,'Annex 2 EHV charges'!$A:$O,11,FALSE)=0,"",VLOOKUP($A252,'Annex 2 EHV charges'!$A:$O,11,FALSE)),"")</f>
        <v>7.73</v>
      </c>
    </row>
    <row r="253" spans="1:8" x14ac:dyDescent="0.2">
      <c r="A253" s="93" t="str">
        <f t="array" ref="A253">IFERROR(INDEX('Annex 2 EHV charges'!$A$10:$A$301, MATCH(0, IF(ISBLANK('Annex 2 EHV charges'!$A$10:$A$301),1, COUNTIF(A$4:$A252, 'Annex 2 EHV charges'!$A$10:$A$301)), 0)),"")</f>
        <v>WSTNLV</v>
      </c>
      <c r="B253" s="93">
        <f>IF($A253="","",VLOOKUP($A253,'Annex 2 EHV charges'!$A:$O,2,0))</f>
        <v>538</v>
      </c>
      <c r="C253" s="94">
        <f>IF($A253="","",VLOOKUP($A253,'Annex 2 EHV charges'!$A:$O,3,0))</f>
        <v>1050000811596</v>
      </c>
      <c r="D253" s="93" t="str">
        <f>IF($A253="","",VLOOKUP($A253,'Annex 2 EHV charges'!$A:$O,7,0))</f>
        <v>WSTNLV</v>
      </c>
      <c r="E253" s="173">
        <f>IFERROR(IF(VLOOKUP($A253,'Annex 2 EHV charges'!$A:$O,8,FALSE)=0,"",VLOOKUP($A253,'Annex 2 EHV charges'!$A:$O,8,FALSE)),"")</f>
        <v>8.4000000000000005E-2</v>
      </c>
      <c r="F253" s="175">
        <f>IFERROR(IF(VLOOKUP($A253,'Annex 2 EHV charges'!$A:$O,9,FALSE)=0,"",VLOOKUP($A253,'Annex 2 EHV charges'!$A:$O,9,FALSE)),"")</f>
        <v>9.75</v>
      </c>
      <c r="G253" s="174">
        <f>IFERROR(IF(VLOOKUP($A253,'Annex 2 EHV charges'!$A:$O,10,FALSE)=0,"",VLOOKUP($A253,'Annex 2 EHV charges'!$A:$O,10,FALSE)),"")</f>
        <v>3.98</v>
      </c>
      <c r="H253" s="174">
        <f>IFERROR(IF(VLOOKUP($A253,'Annex 2 EHV charges'!$A:$O,11,FALSE)=0,"",VLOOKUP($A253,'Annex 2 EHV charges'!$A:$O,11,FALSE)),"")</f>
        <v>3.98</v>
      </c>
    </row>
    <row r="254" spans="1:8" x14ac:dyDescent="0.2">
      <c r="A254" s="93" t="str">
        <f t="array" ref="A254">IFERROR(INDEX('Annex 2 EHV charges'!$A$10:$A$301, MATCH(0, IF(ISBLANK('Annex 2 EHV charges'!$A$10:$A$301),1, COUNTIF(A$4:$A253, 'Annex 2 EHV charges'!$A$10:$A$301)), 0)),"")</f>
        <v>WTRLOO</v>
      </c>
      <c r="B254" s="93">
        <f>IF($A254="","",VLOOKUP($A254,'Annex 2 EHV charges'!$A:$O,2,0))</f>
        <v>533</v>
      </c>
      <c r="C254" s="94">
        <f>IF($A254="","",VLOOKUP($A254,'Annex 2 EHV charges'!$A:$O,3,0))</f>
        <v>1050000769163</v>
      </c>
      <c r="D254" s="93" t="str">
        <f>IF($A254="","",VLOOKUP($A254,'Annex 2 EHV charges'!$A:$O,7,0))</f>
        <v>WTRLOO</v>
      </c>
      <c r="E254" s="173" t="str">
        <f>IFERROR(IF(VLOOKUP($A254,'Annex 2 EHV charges'!$A:$O,8,FALSE)=0,"",VLOOKUP($A254,'Annex 2 EHV charges'!$A:$O,8,FALSE)),"")</f>
        <v/>
      </c>
      <c r="F254" s="175">
        <f>IFERROR(IF(VLOOKUP($A254,'Annex 2 EHV charges'!$A:$O,9,FALSE)=0,"",VLOOKUP($A254,'Annex 2 EHV charges'!$A:$O,9,FALSE)),"")</f>
        <v>6.92</v>
      </c>
      <c r="G254" s="174">
        <f>IFERROR(IF(VLOOKUP($A254,'Annex 2 EHV charges'!$A:$O,10,FALSE)=0,"",VLOOKUP($A254,'Annex 2 EHV charges'!$A:$O,10,FALSE)),"")</f>
        <v>3.39</v>
      </c>
      <c r="H254" s="174">
        <f>IFERROR(IF(VLOOKUP($A254,'Annex 2 EHV charges'!$A:$O,11,FALSE)=0,"",VLOOKUP($A254,'Annex 2 EHV charges'!$A:$O,11,FALSE)),"")</f>
        <v>3.39</v>
      </c>
    </row>
    <row r="255" spans="1:8" ht="25.5" x14ac:dyDescent="0.2">
      <c r="A255" s="93" t="str">
        <f t="array" ref="A255">IFERROR(INDEX('Annex 2 EHV charges'!$A$10:$A$301, MATCH(0, IF(ISBLANK('Annex 2 EHV charges'!$A$10:$A$301),1, COUNTIF(A$4:$A254, 'Annex 2 EHV charges'!$A$10:$A$301)), 0)),"")</f>
        <v>WWYNDC</v>
      </c>
      <c r="B255" s="93">
        <f>IF($A255="","",VLOOKUP($A255,'Annex 2 EHV charges'!$A:$O,2,0))</f>
        <v>863</v>
      </c>
      <c r="C255" s="94" t="str">
        <f>IF($A255="","",VLOOKUP($A255,'Annex 2 EHV charges'!$A:$O,3,0))</f>
        <v>1030059750786
1030059751015</v>
      </c>
      <c r="D255" s="93" t="str">
        <f>IF($A255="","",VLOOKUP($A255,'Annex 2 EHV charges'!$A:$O,7,0))</f>
        <v>WWYNDC</v>
      </c>
      <c r="E255" s="173" t="str">
        <f>IFERROR(IF(VLOOKUP($A255,'Annex 2 EHV charges'!$A:$O,8,FALSE)=0,"",VLOOKUP($A255,'Annex 2 EHV charges'!$A:$O,8,FALSE)),"")</f>
        <v/>
      </c>
      <c r="F255" s="175">
        <f>IFERROR(IF(VLOOKUP($A255,'Annex 2 EHV charges'!$A:$O,9,FALSE)=0,"",VLOOKUP($A255,'Annex 2 EHV charges'!$A:$O,9,FALSE)),"")</f>
        <v>20051.48</v>
      </c>
      <c r="G255" s="174">
        <f>IFERROR(IF(VLOOKUP($A255,'Annex 2 EHV charges'!$A:$O,10,FALSE)=0,"",VLOOKUP($A255,'Annex 2 EHV charges'!$A:$O,10,FALSE)),"")</f>
        <v>5</v>
      </c>
      <c r="H255" s="174">
        <f>IFERROR(IF(VLOOKUP($A255,'Annex 2 EHV charges'!$A:$O,11,FALSE)=0,"",VLOOKUP($A255,'Annex 2 EHV charges'!$A:$O,11,FALSE)),"")</f>
        <v>5</v>
      </c>
    </row>
    <row r="256" spans="1:8" x14ac:dyDescent="0.2">
      <c r="A256" s="93" t="str">
        <f t="array" ref="A256">IFERROR(INDEX('Annex 2 EHV charges'!$A$10:$A$301, MATCH(0, IF(ISBLANK('Annex 2 EHV charges'!$A$10:$A$301),1, COUNTIF(A$4:$A255, 'Annex 2 EHV charges'!$A$10:$A$301)), 0)),"")</f>
        <v/>
      </c>
      <c r="B256" s="93" t="str">
        <f>IF($A256="","",VLOOKUP($A256,'Annex 2 EHV charges'!$A:$O,2,0))</f>
        <v/>
      </c>
      <c r="C256" s="94" t="str">
        <f>IF($A256="","",VLOOKUP($A256,'Annex 2 EHV charges'!$A:$O,3,0))</f>
        <v/>
      </c>
      <c r="D256" s="93" t="str">
        <f>IF($A256="","",VLOOKUP($A256,'Annex 2 EHV charges'!$A:$O,7,0))</f>
        <v/>
      </c>
      <c r="E256" s="173" t="str">
        <f>IFERROR(IF(VLOOKUP($A256,'Annex 2 EHV charges'!$A:$O,8,FALSE)=0,"",VLOOKUP($A256,'Annex 2 EHV charges'!$A:$O,8,FALSE)),"")</f>
        <v/>
      </c>
      <c r="F256" s="175" t="str">
        <f>IFERROR(IF(VLOOKUP($A256,'Annex 2 EHV charges'!$A:$O,9,FALSE)=0,"",VLOOKUP($A256,'Annex 2 EHV charges'!$A:$O,9,FALSE)),"")</f>
        <v/>
      </c>
      <c r="G256" s="174" t="str">
        <f>IFERROR(IF(VLOOKUP($A256,'Annex 2 EHV charges'!$A:$O,10,FALSE)=0,"",VLOOKUP($A256,'Annex 2 EHV charges'!$A:$O,10,FALSE)),"")</f>
        <v/>
      </c>
      <c r="H256" s="174" t="str">
        <f>IFERROR(IF(VLOOKUP($A256,'Annex 2 EHV charges'!$A:$O,11,FALSE)=0,"",VLOOKUP($A256,'Annex 2 EHV charges'!$A:$O,11,FALSE)),"")</f>
        <v/>
      </c>
    </row>
    <row r="257" spans="1:8" x14ac:dyDescent="0.2">
      <c r="A257" s="93" t="str">
        <f t="array" ref="A257">IFERROR(INDEX('Annex 2 EHV charges'!$A$10:$A$301, MATCH(0, IF(ISBLANK('Annex 2 EHV charges'!$A$10:$A$301),1, COUNTIF(A$4:$A256, 'Annex 2 EHV charges'!$A$10:$A$301)), 0)),"")</f>
        <v/>
      </c>
      <c r="B257" s="93" t="str">
        <f>IF($A257="","",VLOOKUP($A257,'Annex 2 EHV charges'!$A:$O,2,0))</f>
        <v/>
      </c>
      <c r="C257" s="94" t="str">
        <f>IF($A257="","",VLOOKUP($A257,'Annex 2 EHV charges'!$A:$O,3,0))</f>
        <v/>
      </c>
      <c r="D257" s="93" t="str">
        <f>IF($A257="","",VLOOKUP($A257,'Annex 2 EHV charges'!$A:$O,7,0))</f>
        <v/>
      </c>
      <c r="E257" s="173" t="str">
        <f>IFERROR(IF(VLOOKUP($A257,'Annex 2 EHV charges'!$A:$O,8,FALSE)=0,"",VLOOKUP($A257,'Annex 2 EHV charges'!$A:$O,8,FALSE)),"")</f>
        <v/>
      </c>
      <c r="F257" s="175" t="str">
        <f>IFERROR(IF(VLOOKUP($A257,'Annex 2 EHV charges'!$A:$O,9,FALSE)=0,"",VLOOKUP($A257,'Annex 2 EHV charges'!$A:$O,9,FALSE)),"")</f>
        <v/>
      </c>
      <c r="G257" s="174" t="str">
        <f>IFERROR(IF(VLOOKUP($A257,'Annex 2 EHV charges'!$A:$O,10,FALSE)=0,"",VLOOKUP($A257,'Annex 2 EHV charges'!$A:$O,10,FALSE)),"")</f>
        <v/>
      </c>
      <c r="H257" s="174" t="str">
        <f>IFERROR(IF(VLOOKUP($A257,'Annex 2 EHV charges'!$A:$O,11,FALSE)=0,"",VLOOKUP($A257,'Annex 2 EHV charges'!$A:$O,11,FALSE)),"")</f>
        <v/>
      </c>
    </row>
    <row r="258" spans="1:8" x14ac:dyDescent="0.2">
      <c r="A258" s="93" t="str">
        <f t="array" ref="A258">IFERROR(INDEX('Annex 2 EHV charges'!$A$10:$A$301, MATCH(0, IF(ISBLANK('Annex 2 EHV charges'!$A$10:$A$301),1, COUNTIF(A$4:$A257, 'Annex 2 EHV charges'!$A$10:$A$301)), 0)),"")</f>
        <v/>
      </c>
      <c r="B258" s="93" t="str">
        <f>IF($A258="","",VLOOKUP($A258,'Annex 2 EHV charges'!$A:$O,2,0))</f>
        <v/>
      </c>
      <c r="C258" s="94" t="str">
        <f>IF($A258="","",VLOOKUP($A258,'Annex 2 EHV charges'!$A:$O,3,0))</f>
        <v/>
      </c>
      <c r="D258" s="93" t="str">
        <f>IF($A258="","",VLOOKUP($A258,'Annex 2 EHV charges'!$A:$O,7,0))</f>
        <v/>
      </c>
      <c r="E258" s="173" t="str">
        <f>IFERROR(IF(VLOOKUP($A258,'Annex 2 EHV charges'!$A:$O,8,FALSE)=0,"",VLOOKUP($A258,'Annex 2 EHV charges'!$A:$O,8,FALSE)),"")</f>
        <v/>
      </c>
      <c r="F258" s="175" t="str">
        <f>IFERROR(IF(VLOOKUP($A258,'Annex 2 EHV charges'!$A:$O,9,FALSE)=0,"",VLOOKUP($A258,'Annex 2 EHV charges'!$A:$O,9,FALSE)),"")</f>
        <v/>
      </c>
      <c r="G258" s="174" t="str">
        <f>IFERROR(IF(VLOOKUP($A258,'Annex 2 EHV charges'!$A:$O,10,FALSE)=0,"",VLOOKUP($A258,'Annex 2 EHV charges'!$A:$O,10,FALSE)),"")</f>
        <v/>
      </c>
      <c r="H258" s="174" t="str">
        <f>IFERROR(IF(VLOOKUP($A258,'Annex 2 EHV charges'!$A:$O,11,FALSE)=0,"",VLOOKUP($A258,'Annex 2 EHV charges'!$A:$O,11,FALSE)),"")</f>
        <v/>
      </c>
    </row>
    <row r="259" spans="1:8" x14ac:dyDescent="0.2">
      <c r="A259" s="93" t="str">
        <f t="array" ref="A259">IFERROR(INDEX('Annex 2 EHV charges'!$A$10:$A$301, MATCH(0, IF(ISBLANK('Annex 2 EHV charges'!$A$10:$A$301),1, COUNTIF(A$4:$A258, 'Annex 2 EHV charges'!$A$10:$A$301)), 0)),"")</f>
        <v/>
      </c>
      <c r="B259" s="93" t="str">
        <f>IF($A259="","",VLOOKUP($A259,'Annex 2 EHV charges'!$A:$O,2,0))</f>
        <v/>
      </c>
      <c r="C259" s="94" t="str">
        <f>IF($A259="","",VLOOKUP($A259,'Annex 2 EHV charges'!$A:$O,3,0))</f>
        <v/>
      </c>
      <c r="D259" s="93" t="str">
        <f>IF($A259="","",VLOOKUP($A259,'Annex 2 EHV charges'!$A:$O,7,0))</f>
        <v/>
      </c>
      <c r="E259" s="173" t="str">
        <f>IFERROR(IF(VLOOKUP($A259,'Annex 2 EHV charges'!$A:$O,8,FALSE)=0,"",VLOOKUP($A259,'Annex 2 EHV charges'!$A:$O,8,FALSE)),"")</f>
        <v/>
      </c>
      <c r="F259" s="175" t="str">
        <f>IFERROR(IF(VLOOKUP($A259,'Annex 2 EHV charges'!$A:$O,9,FALSE)=0,"",VLOOKUP($A259,'Annex 2 EHV charges'!$A:$O,9,FALSE)),"")</f>
        <v/>
      </c>
      <c r="G259" s="174" t="str">
        <f>IFERROR(IF(VLOOKUP($A259,'Annex 2 EHV charges'!$A:$O,10,FALSE)=0,"",VLOOKUP($A259,'Annex 2 EHV charges'!$A:$O,10,FALSE)),"")</f>
        <v/>
      </c>
      <c r="H259" s="174" t="str">
        <f>IFERROR(IF(VLOOKUP($A259,'Annex 2 EHV charges'!$A:$O,11,FALSE)=0,"",VLOOKUP($A259,'Annex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161"/>
  <sheetViews>
    <sheetView zoomScale="90" zoomScaleNormal="90" zoomScaleSheetLayoutView="100" workbookViewId="0">
      <selection activeCell="E3" sqref="E3"/>
    </sheetView>
  </sheetViews>
  <sheetFormatPr defaultRowHeight="12.75" x14ac:dyDescent="0.2"/>
  <cols>
    <col min="1" max="1" width="14.7109375" style="46" customWidth="1"/>
    <col min="2" max="2" width="8.7109375" style="46" customWidth="1"/>
    <col min="3" max="3" width="15.7109375" style="52" bestFit="1" customWidth="1"/>
    <col min="4" max="4" width="50.7109375" style="52" customWidth="1"/>
    <col min="5" max="5" width="14.7109375" style="53" customWidth="1"/>
    <col min="6" max="7" width="14.7109375" style="54" customWidth="1"/>
    <col min="8" max="8" width="14.7109375" style="46" customWidth="1"/>
    <col min="9" max="9" width="15.5703125" style="46" customWidth="1"/>
    <col min="10" max="16384" width="9.140625" style="46"/>
  </cols>
  <sheetData>
    <row r="1" spans="1:15" ht="66.75" customHeight="1" x14ac:dyDescent="0.2">
      <c r="A1" s="249" t="s">
        <v>509</v>
      </c>
      <c r="B1" s="249"/>
      <c r="C1" s="249"/>
      <c r="D1" s="249"/>
      <c r="E1" s="249"/>
      <c r="F1" s="249"/>
      <c r="G1" s="249"/>
      <c r="H1" s="249"/>
    </row>
    <row r="2" spans="1:15" s="47" customFormat="1" ht="25.5" customHeight="1" x14ac:dyDescent="0.2">
      <c r="A2" s="259" t="str">
        <f>Overview!B4&amp; " - Effective from "&amp;Overview!D4&amp;" - "&amp;Overview!E4&amp;" EDCM export charges"</f>
        <v>Eastern Power Networks - Effective from 1 April 2020 - Final EDCM export charges</v>
      </c>
      <c r="B2" s="260"/>
      <c r="C2" s="260"/>
      <c r="D2" s="260"/>
      <c r="E2" s="260"/>
      <c r="F2" s="260"/>
      <c r="G2" s="260"/>
      <c r="H2" s="261"/>
    </row>
    <row r="3" spans="1:15" s="78" customFormat="1" ht="18" x14ac:dyDescent="0.2">
      <c r="A3" s="84"/>
      <c r="B3" s="84"/>
      <c r="C3" s="84"/>
      <c r="D3" s="85"/>
      <c r="E3" s="86"/>
      <c r="F3" s="86"/>
      <c r="G3" s="87"/>
      <c r="H3" s="87"/>
      <c r="I3" s="75"/>
      <c r="J3" s="75"/>
      <c r="K3" s="75"/>
      <c r="L3" s="75"/>
      <c r="M3" s="75"/>
      <c r="N3" s="75"/>
      <c r="O3" s="75"/>
    </row>
    <row r="4" spans="1:15" ht="60.75" customHeight="1" x14ac:dyDescent="0.2">
      <c r="A4" s="48" t="s">
        <v>481</v>
      </c>
      <c r="B4" s="49" t="s">
        <v>468</v>
      </c>
      <c r="C4" s="48" t="s">
        <v>470</v>
      </c>
      <c r="D4" s="50" t="s">
        <v>179</v>
      </c>
      <c r="E4" s="50" t="str">
        <f>'Annex 2 EHV charges'!L9</f>
        <v>Export
Super Red
unit charge
(p/kWh)</v>
      </c>
      <c r="F4" s="50" t="str">
        <f>'Annex 2 EHV charges'!M9</f>
        <v>Export
fixed charge
(p/day)</v>
      </c>
      <c r="G4" s="50" t="str">
        <f>'Annex 2 EHV charges'!N9</f>
        <v>Export
capacity charge
(p/kVA/day)</v>
      </c>
      <c r="H4" s="50" t="str">
        <f>'Annex 2 EHV charges'!O9</f>
        <v>Export
exceeded capacity charge
(p/kVA/day)</v>
      </c>
    </row>
    <row r="5" spans="1:15" ht="12.75" customHeight="1" x14ac:dyDescent="0.2">
      <c r="A5" s="94" t="str">
        <f t="array" ref="A5">IFERROR(INDEX('Annex 2 EHV charges'!$D$10:$D$301, MATCH(0, IF(ISBLANK('Annex 2 EHV charges'!$D$10:$D$301),1, COUNTIF(A$4:$A4, 'Annex 2 EHV charges'!$D$10:$D$301)), 0)),"")</f>
        <v>ABSRSF</v>
      </c>
      <c r="B5" s="93">
        <f>IF($A5="","",VLOOKUP($A5,'Annex 2 EHV charges'!$D:$O,2,0))</f>
        <v>744</v>
      </c>
      <c r="C5" s="94">
        <f>IF($A5="","",VLOOKUP($A5,'Annex 2 EHV charges'!$D:$O,3,0))</f>
        <v>1050000574694</v>
      </c>
      <c r="D5" s="93" t="str">
        <f>IF($A5="","",VLOOKUP($A5,'Annex 2 EHV charges'!$D:$O,4,0))</f>
        <v>ABSRSF</v>
      </c>
      <c r="E5" s="176" t="str">
        <f>IFERROR(IF(VLOOKUP($A5,'Annex 2 EHV charges'!$D:$O,9,FALSE)=0,"",VLOOKUP($A5,'Annex 2 EHV charges'!$D:$O,9,FALSE)),"")</f>
        <v/>
      </c>
      <c r="F5" s="178">
        <f>IFERROR(IF(VLOOKUP($A5,'Annex 2 EHV charges'!$D:$O,10,FALSE)=0,"",VLOOKUP($A5,'Annex 2 EHV charges'!$D:$O,10,FALSE)),"")</f>
        <v>3679.33</v>
      </c>
      <c r="G5" s="177">
        <f>IFERROR(IF(VLOOKUP($A5,'Annex 2 EHV charges'!$D:$O,11,FALSE)=0,"",VLOOKUP($A5,'Annex 2 EHV charges'!$D:$O,11,FALSE)),"")</f>
        <v>0.05</v>
      </c>
      <c r="H5" s="177">
        <f>IFERROR(IF(VLOOKUP($A5,'Annex 2 EHV charges'!$D:$O,12,FALSE)=0,"",VLOOKUP($A5,'Annex 2 EHV charges'!$D:$O,12,FALSE)),"")</f>
        <v>0.05</v>
      </c>
    </row>
    <row r="6" spans="1:15" ht="12.75" customHeight="1" x14ac:dyDescent="0.2">
      <c r="A6" s="94" t="str">
        <f t="array" ref="A6">IFERROR(INDEX('Annex 2 EHV charges'!$D$10:$D$301, MATCH(0, IF(ISBLANK('Annex 2 EHV charges'!$D$10:$D$301),1, COUNTIF(A$4:$A5, 'Annex 2 EHV charges'!$D$10:$D$301)), 0)),"")</f>
        <v>AIAMAN</v>
      </c>
      <c r="B6" s="93">
        <f>IF($A6="","",VLOOKUP($A6,'Annex 2 EHV charges'!$D:$O,2,0))</f>
        <v>435</v>
      </c>
      <c r="C6" s="94">
        <f>IF($A6="","",VLOOKUP($A6,'Annex 2 EHV charges'!$D:$O,3,0))</f>
        <v>1030054607984</v>
      </c>
      <c r="D6" s="93" t="str">
        <f>IF($A6="","",VLOOKUP($A6,'Annex 2 EHV charges'!$D:$O,4,0))</f>
        <v>AIAMAN</v>
      </c>
      <c r="E6" s="176">
        <f>IFERROR(IF(VLOOKUP($A6,'Annex 2 EHV charges'!$D:$O,9,FALSE)=0,"",VLOOKUP($A6,'Annex 2 EHV charges'!$D:$O,9,FALSE)),"")</f>
        <v>-0.626</v>
      </c>
      <c r="F6" s="178">
        <f>IFERROR(IF(VLOOKUP($A6,'Annex 2 EHV charges'!$D:$O,10,FALSE)=0,"",VLOOKUP($A6,'Annex 2 EHV charges'!$D:$O,10,FALSE)),"")</f>
        <v>171.29</v>
      </c>
      <c r="G6" s="177">
        <f>IFERROR(IF(VLOOKUP($A6,'Annex 2 EHV charges'!$D:$O,11,FALSE)=0,"",VLOOKUP($A6,'Annex 2 EHV charges'!$D:$O,11,FALSE)),"")</f>
        <v>0.05</v>
      </c>
      <c r="H6" s="177">
        <f>IFERROR(IF(VLOOKUP($A6,'Annex 2 EHV charges'!$D:$O,12,FALSE)=0,"",VLOOKUP($A6,'Annex 2 EHV charges'!$D:$O,12,FALSE)),"")</f>
        <v>0.05</v>
      </c>
    </row>
    <row r="7" spans="1:15" ht="12.75" customHeight="1" x14ac:dyDescent="0.2">
      <c r="A7" s="94" t="str">
        <f t="array" ref="A7">IFERROR(INDEX('Annex 2 EHV charges'!$D$10:$D$301, MATCH(0, IF(ISBLANK('Annex 2 EHV charges'!$D$10:$D$301),1, COUNTIF(A$4:$A6, 'Annex 2 EHV charges'!$D$10:$D$301)), 0)),"")</f>
        <v>ALCORG</v>
      </c>
      <c r="B7" s="93">
        <f>IF($A7="","",VLOOKUP($A7,'Annex 2 EHV charges'!$D:$O,2,0))</f>
        <v>651</v>
      </c>
      <c r="C7" s="94">
        <f>IF($A7="","",VLOOKUP($A7,'Annex 2 EHV charges'!$D:$O,3,0))</f>
        <v>1050000998050</v>
      </c>
      <c r="D7" s="93" t="str">
        <f>IF($A7="","",VLOOKUP($A7,'Annex 2 EHV charges'!$D:$O,4,0))</f>
        <v>ALCORG</v>
      </c>
      <c r="E7" s="176" t="str">
        <f>IFERROR(IF(VLOOKUP($A7,'Annex 2 EHV charges'!$D:$O,9,FALSE)=0,"",VLOOKUP($A7,'Annex 2 EHV charges'!$D:$O,9,FALSE)),"")</f>
        <v/>
      </c>
      <c r="F7" s="178">
        <f>IFERROR(IF(VLOOKUP($A7,'Annex 2 EHV charges'!$D:$O,10,FALSE)=0,"",VLOOKUP($A7,'Annex 2 EHV charges'!$D:$O,10,FALSE)),"")</f>
        <v>510.86</v>
      </c>
      <c r="G7" s="177">
        <f>IFERROR(IF(VLOOKUP($A7,'Annex 2 EHV charges'!$D:$O,11,FALSE)=0,"",VLOOKUP($A7,'Annex 2 EHV charges'!$D:$O,11,FALSE)),"")</f>
        <v>0.05</v>
      </c>
      <c r="H7" s="177">
        <f>IFERROR(IF(VLOOKUP($A7,'Annex 2 EHV charges'!$D:$O,12,FALSE)=0,"",VLOOKUP($A7,'Annex 2 EHV charges'!$D:$O,12,FALSE)),"")</f>
        <v>0.05</v>
      </c>
    </row>
    <row r="8" spans="1:15" ht="12.75" customHeight="1" x14ac:dyDescent="0.2">
      <c r="A8" s="94" t="str">
        <f t="array" ref="A8">IFERROR(INDEX('Annex 2 EHV charges'!$D$10:$D$301, MATCH(0, IF(ISBLANK('Annex 2 EHV charges'!$D$10:$D$301),1, COUNTIF(A$4:$A7, 'Annex 2 EHV charges'!$D$10:$D$301)), 0)),"")</f>
        <v>ARDLGH</v>
      </c>
      <c r="B8" s="93">
        <f>IF($A8="","",VLOOKUP($A8,'Annex 2 EHV charges'!$D:$O,2,0))</f>
        <v>666</v>
      </c>
      <c r="C8" s="94">
        <f>IF($A8="","",VLOOKUP($A8,'Annex 2 EHV charges'!$D:$O,3,0))</f>
        <v>1050001061602</v>
      </c>
      <c r="D8" s="93" t="str">
        <f>IF($A8="","",VLOOKUP($A8,'Annex 2 EHV charges'!$D:$O,4,0))</f>
        <v>ARDLGH</v>
      </c>
      <c r="E8" s="176" t="str">
        <f>IFERROR(IF(VLOOKUP($A8,'Annex 2 EHV charges'!$D:$O,9,FALSE)=0,"",VLOOKUP($A8,'Annex 2 EHV charges'!$D:$O,9,FALSE)),"")</f>
        <v/>
      </c>
      <c r="F8" s="178">
        <f>IFERROR(IF(VLOOKUP($A8,'Annex 2 EHV charges'!$D:$O,10,FALSE)=0,"",VLOOKUP($A8,'Annex 2 EHV charges'!$D:$O,10,FALSE)),"")</f>
        <v>795.65</v>
      </c>
      <c r="G8" s="177">
        <f>IFERROR(IF(VLOOKUP($A8,'Annex 2 EHV charges'!$D:$O,11,FALSE)=0,"",VLOOKUP($A8,'Annex 2 EHV charges'!$D:$O,11,FALSE)),"")</f>
        <v>0.05</v>
      </c>
      <c r="H8" s="177">
        <f>IFERROR(IF(VLOOKUP($A8,'Annex 2 EHV charges'!$D:$O,12,FALSE)=0,"",VLOOKUP($A8,'Annex 2 EHV charges'!$D:$O,12,FALSE)),"")</f>
        <v>0.05</v>
      </c>
    </row>
    <row r="9" spans="1:15" ht="12.75" customHeight="1" x14ac:dyDescent="0.2">
      <c r="A9" s="94" t="str">
        <f t="array" ref="A9">IFERROR(INDEX('Annex 2 EHV charges'!$D$10:$D$301, MATCH(0, IF(ISBLANK('Annex 2 EHV charges'!$D$10:$D$301),1, COUNTIF(A$4:$A8, 'Annex 2 EHV charges'!$D$10:$D$301)), 0)),"")</f>
        <v>ARLAFD</v>
      </c>
      <c r="B9" s="93">
        <f>IF($A9="","",VLOOKUP($A9,'Annex 2 EHV charges'!$D:$O,2,0))</f>
        <v>710</v>
      </c>
      <c r="C9" s="94" t="str">
        <f>IF($A9="","",VLOOKUP($A9,'Annex 2 EHV charges'!$D:$O,3,0))</f>
        <v>1030085114723
1030085114955</v>
      </c>
      <c r="D9" s="93" t="str">
        <f>IF($A9="","",VLOOKUP($A9,'Annex 2 EHV charges'!$D:$O,4,0))</f>
        <v>ARLAFD</v>
      </c>
      <c r="E9" s="176" t="str">
        <f>IFERROR(IF(VLOOKUP($A9,'Annex 2 EHV charges'!$D:$O,9,FALSE)=0,"",VLOOKUP($A9,'Annex 2 EHV charges'!$D:$O,9,FALSE)),"")</f>
        <v/>
      </c>
      <c r="F9" s="178">
        <f>IFERROR(IF(VLOOKUP($A9,'Annex 2 EHV charges'!$D:$O,10,FALSE)=0,"",VLOOKUP($A9,'Annex 2 EHV charges'!$D:$O,10,FALSE)),"")</f>
        <v>1104.02</v>
      </c>
      <c r="G9" s="177">
        <f>IFERROR(IF(VLOOKUP($A9,'Annex 2 EHV charges'!$D:$O,11,FALSE)=0,"",VLOOKUP($A9,'Annex 2 EHV charges'!$D:$O,11,FALSE)),"")</f>
        <v>0.05</v>
      </c>
      <c r="H9" s="177">
        <f>IFERROR(IF(VLOOKUP($A9,'Annex 2 EHV charges'!$D:$O,12,FALSE)=0,"",VLOOKUP($A9,'Annex 2 EHV charges'!$D:$O,12,FALSE)),"")</f>
        <v>0.05</v>
      </c>
    </row>
    <row r="10" spans="1:15" ht="12.75" customHeight="1" x14ac:dyDescent="0.2">
      <c r="A10" s="94" t="str">
        <f t="array" ref="A10">IFERROR(INDEX('Annex 2 EHV charges'!$D$10:$D$301, MATCH(0, IF(ISBLANK('Annex 2 EHV charges'!$D$10:$D$301),1, COUNTIF(A$4:$A9, 'Annex 2 EHV charges'!$D$10:$D$301)), 0)),"")</f>
        <v>ASTONC</v>
      </c>
      <c r="B10" s="93">
        <f>IF($A10="","",VLOOKUP($A10,'Annex 2 EHV charges'!$D:$O,2,0))</f>
        <v>780</v>
      </c>
      <c r="C10" s="94">
        <f>IF($A10="","",VLOOKUP($A10,'Annex 2 EHV charges'!$D:$O,3,0))</f>
        <v>1050000834255</v>
      </c>
      <c r="D10" s="93" t="str">
        <f>IF($A10="","",VLOOKUP($A10,'Annex 2 EHV charges'!$D:$O,4,0))</f>
        <v>ASTONC</v>
      </c>
      <c r="E10" s="176" t="str">
        <f>IFERROR(IF(VLOOKUP($A10,'Annex 2 EHV charges'!$D:$O,9,FALSE)=0,"",VLOOKUP($A10,'Annex 2 EHV charges'!$D:$O,9,FALSE)),"")</f>
        <v/>
      </c>
      <c r="F10" s="178">
        <f>IFERROR(IF(VLOOKUP($A10,'Annex 2 EHV charges'!$D:$O,10,FALSE)=0,"",VLOOKUP($A10,'Annex 2 EHV charges'!$D:$O,10,FALSE)),"")</f>
        <v>520.15</v>
      </c>
      <c r="G10" s="177">
        <f>IFERROR(IF(VLOOKUP($A10,'Annex 2 EHV charges'!$D:$O,11,FALSE)=0,"",VLOOKUP($A10,'Annex 2 EHV charges'!$D:$O,11,FALSE)),"")</f>
        <v>0.05</v>
      </c>
      <c r="H10" s="177">
        <f>IFERROR(IF(VLOOKUP($A10,'Annex 2 EHV charges'!$D:$O,12,FALSE)=0,"",VLOOKUP($A10,'Annex 2 EHV charges'!$D:$O,12,FALSE)),"")</f>
        <v>0.05</v>
      </c>
    </row>
    <row r="11" spans="1:15" ht="12.75" customHeight="1" x14ac:dyDescent="0.2">
      <c r="A11" s="94" t="str">
        <f t="array" ref="A11">IFERROR(INDEX('Annex 2 EHV charges'!$D$10:$D$301, MATCH(0, IF(ISBLANK('Annex 2 EHV charges'!$D$10:$D$301),1, COUNTIF(A$4:$A10, 'Annex 2 EHV charges'!$D$10:$D$301)), 0)),"")</f>
        <v>AVENUE</v>
      </c>
      <c r="B11" s="93">
        <f>IF($A11="","",VLOOKUP($A11,'Annex 2 EHV charges'!$D:$O,2,0))</f>
        <v>781</v>
      </c>
      <c r="C11" s="94">
        <f>IF($A11="","",VLOOKUP($A11,'Annex 2 EHV charges'!$D:$O,3,0))</f>
        <v>1050000774980</v>
      </c>
      <c r="D11" s="93" t="str">
        <f>IF($A11="","",VLOOKUP($A11,'Annex 2 EHV charges'!$D:$O,4,0))</f>
        <v>AVENUE</v>
      </c>
      <c r="E11" s="176" t="str">
        <f>IFERROR(IF(VLOOKUP($A11,'Annex 2 EHV charges'!$D:$O,9,FALSE)=0,"",VLOOKUP($A11,'Annex 2 EHV charges'!$D:$O,9,FALSE)),"")</f>
        <v/>
      </c>
      <c r="F11" s="178">
        <f>IFERROR(IF(VLOOKUP($A11,'Annex 2 EHV charges'!$D:$O,10,FALSE)=0,"",VLOOKUP($A11,'Annex 2 EHV charges'!$D:$O,10,FALSE)),"")</f>
        <v>1124.5899999999999</v>
      </c>
      <c r="G11" s="177">
        <f>IFERROR(IF(VLOOKUP($A11,'Annex 2 EHV charges'!$D:$O,11,FALSE)=0,"",VLOOKUP($A11,'Annex 2 EHV charges'!$D:$O,11,FALSE)),"")</f>
        <v>0.05</v>
      </c>
      <c r="H11" s="177">
        <f>IFERROR(IF(VLOOKUP($A11,'Annex 2 EHV charges'!$D:$O,12,FALSE)=0,"",VLOOKUP($A11,'Annex 2 EHV charges'!$D:$O,12,FALSE)),"")</f>
        <v>0.05</v>
      </c>
    </row>
    <row r="12" spans="1:15" ht="12.75" customHeight="1" x14ac:dyDescent="0.2">
      <c r="A12" s="94" t="str">
        <f t="array" ref="A12">IFERROR(INDEX('Annex 2 EHV charges'!$D$10:$D$301, MATCH(0, IF(ISBLANK('Annex 2 EHV charges'!$D$10:$D$301),1, COUNTIF(A$4:$A11, 'Annex 2 EHV charges'!$D$10:$D$301)), 0)),"")</f>
        <v>BARNFM</v>
      </c>
      <c r="B12" s="93">
        <f>IF($A12="","",VLOOKUP($A12,'Annex 2 EHV charges'!$D:$O,2,0))</f>
        <v>652</v>
      </c>
      <c r="C12" s="94">
        <f>IF($A12="","",VLOOKUP($A12,'Annex 2 EHV charges'!$D:$O,3,0))</f>
        <v>1050000775005</v>
      </c>
      <c r="D12" s="93" t="str">
        <f>IF($A12="","",VLOOKUP($A12,'Annex 2 EHV charges'!$D:$O,4,0))</f>
        <v>BARNFM</v>
      </c>
      <c r="E12" s="176" t="str">
        <f>IFERROR(IF(VLOOKUP($A12,'Annex 2 EHV charges'!$D:$O,9,FALSE)=0,"",VLOOKUP($A12,'Annex 2 EHV charges'!$D:$O,9,FALSE)),"")</f>
        <v/>
      </c>
      <c r="F12" s="178">
        <f>IFERROR(IF(VLOOKUP($A12,'Annex 2 EHV charges'!$D:$O,10,FALSE)=0,"",VLOOKUP($A12,'Annex 2 EHV charges'!$D:$O,10,FALSE)),"")</f>
        <v>2143.4499999999998</v>
      </c>
      <c r="G12" s="177">
        <f>IFERROR(IF(VLOOKUP($A12,'Annex 2 EHV charges'!$D:$O,11,FALSE)=0,"",VLOOKUP($A12,'Annex 2 EHV charges'!$D:$O,11,FALSE)),"")</f>
        <v>0.05</v>
      </c>
      <c r="H12" s="177">
        <f>IFERROR(IF(VLOOKUP($A12,'Annex 2 EHV charges'!$D:$O,12,FALSE)=0,"",VLOOKUP($A12,'Annex 2 EHV charges'!$D:$O,12,FALSE)),"")</f>
        <v>0.05</v>
      </c>
    </row>
    <row r="13" spans="1:15" ht="12.75" customHeight="1" x14ac:dyDescent="0.2">
      <c r="A13" s="94" t="str">
        <f t="array" ref="A13">IFERROR(INDEX('Annex 2 EHV charges'!$D$10:$D$301, MATCH(0, IF(ISBLANK('Annex 2 EHV charges'!$D$10:$D$301),1, COUNTIF(A$4:$A12, 'Annex 2 EHV charges'!$D$10:$D$301)), 0)),"")</f>
        <v>BAYFMS</v>
      </c>
      <c r="B13" s="93">
        <f>IF($A13="","",VLOOKUP($A13,'Annex 2 EHV charges'!$D:$O,2,0))</f>
        <v>745</v>
      </c>
      <c r="C13" s="94">
        <f>IF($A13="","",VLOOKUP($A13,'Annex 2 EHV charges'!$D:$O,3,0))</f>
        <v>1050000579327</v>
      </c>
      <c r="D13" s="93" t="str">
        <f>IF($A13="","",VLOOKUP($A13,'Annex 2 EHV charges'!$D:$O,4,0))</f>
        <v>BAYFMS</v>
      </c>
      <c r="E13" s="176" t="str">
        <f>IFERROR(IF(VLOOKUP($A13,'Annex 2 EHV charges'!$D:$O,9,FALSE)=0,"",VLOOKUP($A13,'Annex 2 EHV charges'!$D:$O,9,FALSE)),"")</f>
        <v/>
      </c>
      <c r="F13" s="178">
        <f>IFERROR(IF(VLOOKUP($A13,'Annex 2 EHV charges'!$D:$O,10,FALSE)=0,"",VLOOKUP($A13,'Annex 2 EHV charges'!$D:$O,10,FALSE)),"")</f>
        <v>2827.82</v>
      </c>
      <c r="G13" s="177">
        <f>IFERROR(IF(VLOOKUP($A13,'Annex 2 EHV charges'!$D:$O,11,FALSE)=0,"",VLOOKUP($A13,'Annex 2 EHV charges'!$D:$O,11,FALSE)),"")</f>
        <v>0.05</v>
      </c>
      <c r="H13" s="177">
        <f>IFERROR(IF(VLOOKUP($A13,'Annex 2 EHV charges'!$D:$O,12,FALSE)=0,"",VLOOKUP($A13,'Annex 2 EHV charges'!$D:$O,12,FALSE)),"")</f>
        <v>0.05</v>
      </c>
    </row>
    <row r="14" spans="1:15" ht="12.75" customHeight="1" x14ac:dyDescent="0.2">
      <c r="A14" s="94" t="str">
        <f t="array" ref="A14">IFERROR(INDEX('Annex 2 EHV charges'!$D$10:$D$301, MATCH(0, IF(ISBLANK('Annex 2 EHV charges'!$D$10:$D$301),1, COUNTIF(A$4:$A13, 'Annex 2 EHV charges'!$D$10:$D$301)), 0)),"")</f>
        <v>BDGHSE</v>
      </c>
      <c r="B14" s="93">
        <f>IF($A14="","",VLOOKUP($A14,'Annex 2 EHV charges'!$D:$O,2,0))</f>
        <v>782</v>
      </c>
      <c r="C14" s="94">
        <f>IF($A14="","",VLOOKUP($A14,'Annex 2 EHV charges'!$D:$O,3,0))</f>
        <v>1050000669539</v>
      </c>
      <c r="D14" s="93" t="str">
        <f>IF($A14="","",VLOOKUP($A14,'Annex 2 EHV charges'!$D:$O,4,0))</f>
        <v>BDGHSE</v>
      </c>
      <c r="E14" s="176" t="str">
        <f>IFERROR(IF(VLOOKUP($A14,'Annex 2 EHV charges'!$D:$O,9,FALSE)=0,"",VLOOKUP($A14,'Annex 2 EHV charges'!$D:$O,9,FALSE)),"")</f>
        <v/>
      </c>
      <c r="F14" s="178">
        <f>IFERROR(IF(VLOOKUP($A14,'Annex 2 EHV charges'!$D:$O,10,FALSE)=0,"",VLOOKUP($A14,'Annex 2 EHV charges'!$D:$O,10,FALSE)),"")</f>
        <v>1061.26</v>
      </c>
      <c r="G14" s="177">
        <f>IFERROR(IF(VLOOKUP($A14,'Annex 2 EHV charges'!$D:$O,11,FALSE)=0,"",VLOOKUP($A14,'Annex 2 EHV charges'!$D:$O,11,FALSE)),"")</f>
        <v>0.05</v>
      </c>
      <c r="H14" s="177">
        <f>IFERROR(IF(VLOOKUP($A14,'Annex 2 EHV charges'!$D:$O,12,FALSE)=0,"",VLOOKUP($A14,'Annex 2 EHV charges'!$D:$O,12,FALSE)),"")</f>
        <v>0.05</v>
      </c>
    </row>
    <row r="15" spans="1:15" ht="12.75" customHeight="1" x14ac:dyDescent="0.2">
      <c r="A15" s="94" t="str">
        <f t="array" ref="A15">IFERROR(INDEX('Annex 2 EHV charges'!$D$10:$D$301, MATCH(0, IF(ISBLANK('Annex 2 EHV charges'!$D$10:$D$301),1, COUNTIF(A$4:$A14, 'Annex 2 EHV charges'!$D$10:$D$301)), 0)),"")</f>
        <v>BDWLWF</v>
      </c>
      <c r="B15" s="93">
        <f>IF($A15="","",VLOOKUP($A15,'Annex 2 EHV charges'!$D:$O,2,0))</f>
        <v>734</v>
      </c>
      <c r="C15" s="94">
        <f>IF($A15="","",VLOOKUP($A15,'Annex 2 EHV charges'!$D:$O,3,0))</f>
        <v>1030082700647</v>
      </c>
      <c r="D15" s="93" t="str">
        <f>IF($A15="","",VLOOKUP($A15,'Annex 2 EHV charges'!$D:$O,4,0))</f>
        <v>BDWLWF</v>
      </c>
      <c r="E15" s="176" t="str">
        <f>IFERROR(IF(VLOOKUP($A15,'Annex 2 EHV charges'!$D:$O,9,FALSE)=0,"",VLOOKUP($A15,'Annex 2 EHV charges'!$D:$O,9,FALSE)),"")</f>
        <v/>
      </c>
      <c r="F15" s="178">
        <f>IFERROR(IF(VLOOKUP($A15,'Annex 2 EHV charges'!$D:$O,10,FALSE)=0,"",VLOOKUP($A15,'Annex 2 EHV charges'!$D:$O,10,FALSE)),"")</f>
        <v>4235.2</v>
      </c>
      <c r="G15" s="177">
        <f>IFERROR(IF(VLOOKUP($A15,'Annex 2 EHV charges'!$D:$O,11,FALSE)=0,"",VLOOKUP($A15,'Annex 2 EHV charges'!$D:$O,11,FALSE)),"")</f>
        <v>0.05</v>
      </c>
      <c r="H15" s="177">
        <f>IFERROR(IF(VLOOKUP($A15,'Annex 2 EHV charges'!$D:$O,12,FALSE)=0,"",VLOOKUP($A15,'Annex 2 EHV charges'!$D:$O,12,FALSE)),"")</f>
        <v>0.05</v>
      </c>
    </row>
    <row r="16" spans="1:15" ht="12.75" customHeight="1" x14ac:dyDescent="0.2">
      <c r="A16" s="94" t="str">
        <f t="array" ref="A16">IFERROR(INDEX('Annex 2 EHV charges'!$D$10:$D$301, MATCH(0, IF(ISBLANK('Annex 2 EHV charges'!$D$10:$D$301),1, COUNTIF(A$4:$A15, 'Annex 2 EHV charges'!$D$10:$D$301)), 0)),"")</f>
        <v>BERDHF</v>
      </c>
      <c r="B16" s="93">
        <f>IF($A16="","",VLOOKUP($A16,'Annex 2 EHV charges'!$D:$O,2,0))</f>
        <v>436</v>
      </c>
      <c r="C16" s="94">
        <f>IF($A16="","",VLOOKUP($A16,'Annex 2 EHV charges'!$D:$O,3,0))</f>
        <v>1050001382531</v>
      </c>
      <c r="D16" s="93" t="str">
        <f>IF($A16="","",VLOOKUP($A16,'Annex 2 EHV charges'!$D:$O,4,0))</f>
        <v>BERDHF</v>
      </c>
      <c r="E16" s="176" t="str">
        <f>IFERROR(IF(VLOOKUP($A16,'Annex 2 EHV charges'!$D:$O,9,FALSE)=0,"",VLOOKUP($A16,'Annex 2 EHV charges'!$D:$O,9,FALSE)),"")</f>
        <v/>
      </c>
      <c r="F16" s="178">
        <f>IFERROR(IF(VLOOKUP($A16,'Annex 2 EHV charges'!$D:$O,10,FALSE)=0,"",VLOOKUP($A16,'Annex 2 EHV charges'!$D:$O,10,FALSE)),"")</f>
        <v>1325.75</v>
      </c>
      <c r="G16" s="177">
        <f>IFERROR(IF(VLOOKUP($A16,'Annex 2 EHV charges'!$D:$O,11,FALSE)=0,"",VLOOKUP($A16,'Annex 2 EHV charges'!$D:$O,11,FALSE)),"")</f>
        <v>0.05</v>
      </c>
      <c r="H16" s="177">
        <f>IFERROR(IF(VLOOKUP($A16,'Annex 2 EHV charges'!$D:$O,12,FALSE)=0,"",VLOOKUP($A16,'Annex 2 EHV charges'!$D:$O,12,FALSE)),"")</f>
        <v>0.05</v>
      </c>
    </row>
    <row r="17" spans="1:8" ht="12.75" customHeight="1" x14ac:dyDescent="0.2">
      <c r="A17" s="94" t="str">
        <f t="array" ref="A17">IFERROR(INDEX('Annex 2 EHV charges'!$D$10:$D$301, MATCH(0, IF(ISBLANK('Annex 2 EHV charges'!$D$10:$D$301),1, COUNTIF(A$4:$A16, 'Annex 2 EHV charges'!$D$10:$D$301)), 0)),"")</f>
        <v>BGWDWF</v>
      </c>
      <c r="B17" s="93">
        <f>IF($A17="","",VLOOKUP($A17,'Annex 2 EHV charges'!$D:$O,2,0))</f>
        <v>746</v>
      </c>
      <c r="C17" s="94">
        <f>IF($A17="","",VLOOKUP($A17,'Annex 2 EHV charges'!$D:$O,3,0))</f>
        <v>1030083931142</v>
      </c>
      <c r="D17" s="93" t="str">
        <f>IF($A17="","",VLOOKUP($A17,'Annex 2 EHV charges'!$D:$O,4,0))</f>
        <v>BGWDWF</v>
      </c>
      <c r="E17" s="176" t="str">
        <f>IFERROR(IF(VLOOKUP($A17,'Annex 2 EHV charges'!$D:$O,9,FALSE)=0,"",VLOOKUP($A17,'Annex 2 EHV charges'!$D:$O,9,FALSE)),"")</f>
        <v/>
      </c>
      <c r="F17" s="178">
        <f>IFERROR(IF(VLOOKUP($A17,'Annex 2 EHV charges'!$D:$O,10,FALSE)=0,"",VLOOKUP($A17,'Annex 2 EHV charges'!$D:$O,10,FALSE)),"")</f>
        <v>280.64</v>
      </c>
      <c r="G17" s="177">
        <f>IFERROR(IF(VLOOKUP($A17,'Annex 2 EHV charges'!$D:$O,11,FALSE)=0,"",VLOOKUP($A17,'Annex 2 EHV charges'!$D:$O,11,FALSE)),"")</f>
        <v>0.05</v>
      </c>
      <c r="H17" s="177">
        <f>IFERROR(IF(VLOOKUP($A17,'Annex 2 EHV charges'!$D:$O,12,FALSE)=0,"",VLOOKUP($A17,'Annex 2 EHV charges'!$D:$O,12,FALSE)),"")</f>
        <v>0.05</v>
      </c>
    </row>
    <row r="18" spans="1:8" ht="12.75" customHeight="1" x14ac:dyDescent="0.2">
      <c r="A18" s="94" t="str">
        <f t="array" ref="A18">IFERROR(INDEX('Annex 2 EHV charges'!$D$10:$D$301, MATCH(0, IF(ISBLANK('Annex 2 EHV charges'!$D$10:$D$301),1, COUNTIF(A$4:$A17, 'Annex 2 EHV charges'!$D$10:$D$301)), 0)),"")</f>
        <v>BLCAMB</v>
      </c>
      <c r="B18" s="93">
        <f>IF($A18="","",VLOOKUP($A18,'Annex 2 EHV charges'!$D:$O,2,0))</f>
        <v>653</v>
      </c>
      <c r="C18" s="94">
        <f>IF($A18="","",VLOOKUP($A18,'Annex 2 EHV charges'!$D:$O,3,0))</f>
        <v>1050001036624</v>
      </c>
      <c r="D18" s="93" t="str">
        <f>IF($A18="","",VLOOKUP($A18,'Annex 2 EHV charges'!$D:$O,4,0))</f>
        <v>BLCAMB</v>
      </c>
      <c r="E18" s="176" t="str">
        <f>IFERROR(IF(VLOOKUP($A18,'Annex 2 EHV charges'!$D:$O,9,FALSE)=0,"",VLOOKUP($A18,'Annex 2 EHV charges'!$D:$O,9,FALSE)),"")</f>
        <v/>
      </c>
      <c r="F18" s="178">
        <f>IFERROR(IF(VLOOKUP($A18,'Annex 2 EHV charges'!$D:$O,10,FALSE)=0,"",VLOOKUP($A18,'Annex 2 EHV charges'!$D:$O,10,FALSE)),"")</f>
        <v>252.93</v>
      </c>
      <c r="G18" s="177">
        <f>IFERROR(IF(VLOOKUP($A18,'Annex 2 EHV charges'!$D:$O,11,FALSE)=0,"",VLOOKUP($A18,'Annex 2 EHV charges'!$D:$O,11,FALSE)),"")</f>
        <v>0.05</v>
      </c>
      <c r="H18" s="177">
        <f>IFERROR(IF(VLOOKUP($A18,'Annex 2 EHV charges'!$D:$O,12,FALSE)=0,"",VLOOKUP($A18,'Annex 2 EHV charges'!$D:$O,12,FALSE)),"")</f>
        <v>0.05</v>
      </c>
    </row>
    <row r="19" spans="1:8" ht="12.75" customHeight="1" x14ac:dyDescent="0.2">
      <c r="A19" s="94" t="str">
        <f t="array" ref="A19">IFERROR(INDEX('Annex 2 EHV charges'!$D$10:$D$301, MATCH(0, IF(ISBLANK('Annex 2 EHV charges'!$D$10:$D$301),1, COUNTIF(A$4:$A18, 'Annex 2 EHV charges'!$D$10:$D$301)), 0)),"")</f>
        <v>BLDOCK</v>
      </c>
      <c r="B19" s="93">
        <f>IF($A19="","",VLOOKUP($A19,'Annex 2 EHV charges'!$D:$O,2,0))</f>
        <v>0</v>
      </c>
      <c r="C19" s="94" t="str">
        <f>IF($A19="","",VLOOKUP($A19,'Annex 2 EHV charges'!$D:$O,3,0))</f>
        <v>MSID: 7308</v>
      </c>
      <c r="D19" s="93" t="str">
        <f>IF($A19="","",VLOOKUP($A19,'Annex 2 EHV charges'!$D:$O,4,0))</f>
        <v>BLDOCK</v>
      </c>
      <c r="E19" s="176">
        <f>IFERROR(IF(VLOOKUP($A19,'Annex 2 EHV charges'!$D:$O,9,FALSE)=0,"",VLOOKUP($A19,'Annex 2 EHV charges'!$D:$O,9,FALSE)),"")</f>
        <v>-1.4279999999999999</v>
      </c>
      <c r="F19" s="178">
        <f>IFERROR(IF(VLOOKUP($A19,'Annex 2 EHV charges'!$D:$O,10,FALSE)=0,"",VLOOKUP($A19,'Annex 2 EHV charges'!$D:$O,10,FALSE)),"")</f>
        <v>752.01</v>
      </c>
      <c r="G19" s="177">
        <f>IFERROR(IF(VLOOKUP($A19,'Annex 2 EHV charges'!$D:$O,11,FALSE)=0,"",VLOOKUP($A19,'Annex 2 EHV charges'!$D:$O,11,FALSE)),"")</f>
        <v>0.05</v>
      </c>
      <c r="H19" s="177">
        <f>IFERROR(IF(VLOOKUP($A19,'Annex 2 EHV charges'!$D:$O,12,FALSE)=0,"",VLOOKUP($A19,'Annex 2 EHV charges'!$D:$O,12,FALSE)),"")</f>
        <v>0.05</v>
      </c>
    </row>
    <row r="20" spans="1:8" ht="12.75" customHeight="1" x14ac:dyDescent="0.2">
      <c r="A20" s="94" t="str">
        <f t="array" ref="A20">IFERROR(INDEX('Annex 2 EHV charges'!$D$10:$D$301, MATCH(0, IF(ISBLANK('Annex 2 EHV charges'!$D$10:$D$301),1, COUNTIF(A$4:$A19, 'Annex 2 EHV charges'!$D$10:$D$301)), 0)),"")</f>
        <v>BLGTSF</v>
      </c>
      <c r="B20" s="93">
        <f>IF($A20="","",VLOOKUP($A20,'Annex 2 EHV charges'!$D:$O,2,0))</f>
        <v>466</v>
      </c>
      <c r="C20" s="94">
        <f>IF($A20="","",VLOOKUP($A20,'Annex 2 EHV charges'!$D:$O,3,0))</f>
        <v>1050000769048</v>
      </c>
      <c r="D20" s="93" t="str">
        <f>IF($A20="","",VLOOKUP($A20,'Annex 2 EHV charges'!$D:$O,4,0))</f>
        <v>BLGTSF</v>
      </c>
      <c r="E20" s="176" t="str">
        <f>IFERROR(IF(VLOOKUP($A20,'Annex 2 EHV charges'!$D:$O,9,FALSE)=0,"",VLOOKUP($A20,'Annex 2 EHV charges'!$D:$O,9,FALSE)),"")</f>
        <v/>
      </c>
      <c r="F20" s="178">
        <f>IFERROR(IF(VLOOKUP($A20,'Annex 2 EHV charges'!$D:$O,10,FALSE)=0,"",VLOOKUP($A20,'Annex 2 EHV charges'!$D:$O,10,FALSE)),"")</f>
        <v>1127.21</v>
      </c>
      <c r="G20" s="177">
        <f>IFERROR(IF(VLOOKUP($A20,'Annex 2 EHV charges'!$D:$O,11,FALSE)=0,"",VLOOKUP($A20,'Annex 2 EHV charges'!$D:$O,11,FALSE)),"")</f>
        <v>0.05</v>
      </c>
      <c r="H20" s="177">
        <f>IFERROR(IF(VLOOKUP($A20,'Annex 2 EHV charges'!$D:$O,12,FALSE)=0,"",VLOOKUP($A20,'Annex 2 EHV charges'!$D:$O,12,FALSE)),"")</f>
        <v>0.05</v>
      </c>
    </row>
    <row r="21" spans="1:8" ht="12.75" customHeight="1" x14ac:dyDescent="0.2">
      <c r="A21" s="94" t="str">
        <f t="array" ref="A21">IFERROR(INDEX('Annex 2 EHV charges'!$D$10:$D$301, MATCH(0, IF(ISBLANK('Annex 2 EHV charges'!$D$10:$D$301),1, COUNTIF(A$4:$A20, 'Annex 2 EHV charges'!$D$10:$D$301)), 0)),"")</f>
        <v>BNNSHL</v>
      </c>
      <c r="B21" s="93">
        <f>IF($A21="","",VLOOKUP($A21,'Annex 2 EHV charges'!$D:$O,2,0))</f>
        <v>654</v>
      </c>
      <c r="C21" s="94">
        <f>IF($A21="","",VLOOKUP($A21,'Annex 2 EHV charges'!$D:$O,3,0))</f>
        <v>1050001021423</v>
      </c>
      <c r="D21" s="93" t="str">
        <f>IF($A21="","",VLOOKUP($A21,'Annex 2 EHV charges'!$D:$O,4,0))</f>
        <v>BNNSHL</v>
      </c>
      <c r="E21" s="176" t="str">
        <f>IFERROR(IF(VLOOKUP($A21,'Annex 2 EHV charges'!$D:$O,9,FALSE)=0,"",VLOOKUP($A21,'Annex 2 EHV charges'!$D:$O,9,FALSE)),"")</f>
        <v/>
      </c>
      <c r="F21" s="178">
        <f>IFERROR(IF(VLOOKUP($A21,'Annex 2 EHV charges'!$D:$O,10,FALSE)=0,"",VLOOKUP($A21,'Annex 2 EHV charges'!$D:$O,10,FALSE)),"")</f>
        <v>1520.81</v>
      </c>
      <c r="G21" s="177">
        <f>IFERROR(IF(VLOOKUP($A21,'Annex 2 EHV charges'!$D:$O,11,FALSE)=0,"",VLOOKUP($A21,'Annex 2 EHV charges'!$D:$O,11,FALSE)),"")</f>
        <v>0.05</v>
      </c>
      <c r="H21" s="177">
        <f>IFERROR(IF(VLOOKUP($A21,'Annex 2 EHV charges'!$D:$O,12,FALSE)=0,"",VLOOKUP($A21,'Annex 2 EHV charges'!$D:$O,12,FALSE)),"")</f>
        <v>0.05</v>
      </c>
    </row>
    <row r="22" spans="1:8" ht="12.75" customHeight="1" x14ac:dyDescent="0.2">
      <c r="A22" s="94" t="str">
        <f t="array" ref="A22">IFERROR(INDEX('Annex 2 EHV charges'!$D$10:$D$301, MATCH(0, IF(ISBLANK('Annex 2 EHV charges'!$D$10:$D$301),1, COUNTIF(A$4:$A21, 'Annex 2 EHV charges'!$D$10:$D$301)), 0)),"")</f>
        <v>BOXTED</v>
      </c>
      <c r="B22" s="93">
        <f>IF($A22="","",VLOOKUP($A22,'Annex 2 EHV charges'!$D:$O,2,0))</f>
        <v>783</v>
      </c>
      <c r="C22" s="94">
        <f>IF($A22="","",VLOOKUP($A22,'Annex 2 EHV charges'!$D:$O,3,0))</f>
        <v>1050000774289</v>
      </c>
      <c r="D22" s="93" t="str">
        <f>IF($A22="","",VLOOKUP($A22,'Annex 2 EHV charges'!$D:$O,4,0))</f>
        <v>BOXTED</v>
      </c>
      <c r="E22" s="176" t="str">
        <f>IFERROR(IF(VLOOKUP($A22,'Annex 2 EHV charges'!$D:$O,9,FALSE)=0,"",VLOOKUP($A22,'Annex 2 EHV charges'!$D:$O,9,FALSE)),"")</f>
        <v/>
      </c>
      <c r="F22" s="178">
        <f>IFERROR(IF(VLOOKUP($A22,'Annex 2 EHV charges'!$D:$O,10,FALSE)=0,"",VLOOKUP($A22,'Annex 2 EHV charges'!$D:$O,10,FALSE)),"")</f>
        <v>256.39999999999998</v>
      </c>
      <c r="G22" s="177">
        <f>IFERROR(IF(VLOOKUP($A22,'Annex 2 EHV charges'!$D:$O,11,FALSE)=0,"",VLOOKUP($A22,'Annex 2 EHV charges'!$D:$O,11,FALSE)),"")</f>
        <v>0.05</v>
      </c>
      <c r="H22" s="177">
        <f>IFERROR(IF(VLOOKUP($A22,'Annex 2 EHV charges'!$D:$O,12,FALSE)=0,"",VLOOKUP($A22,'Annex 2 EHV charges'!$D:$O,12,FALSE)),"")</f>
        <v>0.05</v>
      </c>
    </row>
    <row r="23" spans="1:8" ht="12.75" customHeight="1" x14ac:dyDescent="0.2">
      <c r="A23" s="94" t="str">
        <f t="array" ref="A23">IFERROR(INDEX('Annex 2 EHV charges'!$D$10:$D$301, MATCH(0, IF(ISBLANK('Annex 2 EHV charges'!$D$10:$D$301),1, COUNTIF(A$4:$A22, 'Annex 2 EHV charges'!$D$10:$D$301)), 0)),"")</f>
        <v>BRCHGP</v>
      </c>
      <c r="B23" s="93">
        <f>IF($A23="","",VLOOKUP($A23,'Annex 2 EHV charges'!$D:$O,2,0))</f>
        <v>457</v>
      </c>
      <c r="C23" s="94">
        <f>IF($A23="","",VLOOKUP($A23,'Annex 2 EHV charges'!$D:$O,3,0))</f>
        <v>1050000961965</v>
      </c>
      <c r="D23" s="93" t="str">
        <f>IF($A23="","",VLOOKUP($A23,'Annex 2 EHV charges'!$D:$O,4,0))</f>
        <v>BRCHGP</v>
      </c>
      <c r="E23" s="176" t="str">
        <f>IFERROR(IF(VLOOKUP($A23,'Annex 2 EHV charges'!$D:$O,9,FALSE)=0,"",VLOOKUP($A23,'Annex 2 EHV charges'!$D:$O,9,FALSE)),"")</f>
        <v/>
      </c>
      <c r="F23" s="178">
        <f>IFERROR(IF(VLOOKUP($A23,'Annex 2 EHV charges'!$D:$O,10,FALSE)=0,"",VLOOKUP($A23,'Annex 2 EHV charges'!$D:$O,10,FALSE)),"")</f>
        <v>2204.2199999999998</v>
      </c>
      <c r="G23" s="177">
        <f>IFERROR(IF(VLOOKUP($A23,'Annex 2 EHV charges'!$D:$O,11,FALSE)=0,"",VLOOKUP($A23,'Annex 2 EHV charges'!$D:$O,11,FALSE)),"")</f>
        <v>0.05</v>
      </c>
      <c r="H23" s="177">
        <f>IFERROR(IF(VLOOKUP($A23,'Annex 2 EHV charges'!$D:$O,12,FALSE)=0,"",VLOOKUP($A23,'Annex 2 EHV charges'!$D:$O,12,FALSE)),"")</f>
        <v>0.05</v>
      </c>
    </row>
    <row r="24" spans="1:8" ht="12.75" customHeight="1" x14ac:dyDescent="0.2">
      <c r="A24" s="94" t="str">
        <f t="array" ref="A24">IFERROR(INDEX('Annex 2 EHV charges'!$D$10:$D$301, MATCH(0, IF(ISBLANK('Annex 2 EHV charges'!$D$10:$D$301),1, COUNTIF(A$4:$A23, 'Annex 2 EHV charges'!$D$10:$D$301)), 0)),"")</f>
        <v>BROXSF</v>
      </c>
      <c r="B24" s="93">
        <f>IF($A24="","",VLOOKUP($A24,'Annex 2 EHV charges'!$D:$O,2,0))</f>
        <v>747</v>
      </c>
      <c r="C24" s="94">
        <f>IF($A24="","",VLOOKUP($A24,'Annex 2 EHV charges'!$D:$O,3,0))</f>
        <v>1030085039971</v>
      </c>
      <c r="D24" s="93" t="str">
        <f>IF($A24="","",VLOOKUP($A24,'Annex 2 EHV charges'!$D:$O,4,0))</f>
        <v>BROXSF</v>
      </c>
      <c r="E24" s="176" t="str">
        <f>IFERROR(IF(VLOOKUP($A24,'Annex 2 EHV charges'!$D:$O,9,FALSE)=0,"",VLOOKUP($A24,'Annex 2 EHV charges'!$D:$O,9,FALSE)),"")</f>
        <v/>
      </c>
      <c r="F24" s="178">
        <f>IFERROR(IF(VLOOKUP($A24,'Annex 2 EHV charges'!$D:$O,10,FALSE)=0,"",VLOOKUP($A24,'Annex 2 EHV charges'!$D:$O,10,FALSE)),"")</f>
        <v>2596.8200000000002</v>
      </c>
      <c r="G24" s="177">
        <f>IFERROR(IF(VLOOKUP($A24,'Annex 2 EHV charges'!$D:$O,11,FALSE)=0,"",VLOOKUP($A24,'Annex 2 EHV charges'!$D:$O,11,FALSE)),"")</f>
        <v>0.05</v>
      </c>
      <c r="H24" s="177">
        <f>IFERROR(IF(VLOOKUP($A24,'Annex 2 EHV charges'!$D:$O,12,FALSE)=0,"",VLOOKUP($A24,'Annex 2 EHV charges'!$D:$O,12,FALSE)),"")</f>
        <v>0.05</v>
      </c>
    </row>
    <row r="25" spans="1:8" ht="12.75" customHeight="1" x14ac:dyDescent="0.2">
      <c r="A25" s="94" t="str">
        <f t="array" ref="A25">IFERROR(INDEX('Annex 2 EHV charges'!$D$10:$D$301, MATCH(0, IF(ISBLANK('Annex 2 EHV charges'!$D$10:$D$301),1, COUNTIF(A$4:$A24, 'Annex 2 EHV charges'!$D$10:$D$301)), 0)),"")</f>
        <v>BRTHS2</v>
      </c>
      <c r="B25" s="93">
        <f>IF($A25="","",VLOOKUP($A25,'Annex 2 EHV charges'!$D:$O,2,0))</f>
        <v>785</v>
      </c>
      <c r="C25" s="94">
        <f>IF($A25="","",VLOOKUP($A25,'Annex 2 EHV charges'!$D:$O,3,0))</f>
        <v>1050000773842</v>
      </c>
      <c r="D25" s="93" t="str">
        <f>IF($A25="","",VLOOKUP($A25,'Annex 2 EHV charges'!$D:$O,4,0))</f>
        <v>BRTHS2</v>
      </c>
      <c r="E25" s="176" t="str">
        <f>IFERROR(IF(VLOOKUP($A25,'Annex 2 EHV charges'!$D:$O,9,FALSE)=0,"",VLOOKUP($A25,'Annex 2 EHV charges'!$D:$O,9,FALSE)),"")</f>
        <v/>
      </c>
      <c r="F25" s="178">
        <f>IFERROR(IF(VLOOKUP($A25,'Annex 2 EHV charges'!$D:$O,10,FALSE)=0,"",VLOOKUP($A25,'Annex 2 EHV charges'!$D:$O,10,FALSE)),"")</f>
        <v>256.7</v>
      </c>
      <c r="G25" s="177">
        <f>IFERROR(IF(VLOOKUP($A25,'Annex 2 EHV charges'!$D:$O,11,FALSE)=0,"",VLOOKUP($A25,'Annex 2 EHV charges'!$D:$O,11,FALSE)),"")</f>
        <v>0.05</v>
      </c>
      <c r="H25" s="177">
        <f>IFERROR(IF(VLOOKUP($A25,'Annex 2 EHV charges'!$D:$O,12,FALSE)=0,"",VLOOKUP($A25,'Annex 2 EHV charges'!$D:$O,12,FALSE)),"")</f>
        <v>0.05</v>
      </c>
    </row>
    <row r="26" spans="1:8" ht="12.75" customHeight="1" x14ac:dyDescent="0.2">
      <c r="A26" s="94" t="str">
        <f t="array" ref="A26">IFERROR(INDEX('Annex 2 EHV charges'!$D$10:$D$301, MATCH(0, IF(ISBLANK('Annex 2 EHV charges'!$D$10:$D$301),1, COUNTIF(A$4:$A25, 'Annex 2 EHV charges'!$D$10:$D$301)), 0)),"")</f>
        <v>BRTHSS</v>
      </c>
      <c r="B26" s="93">
        <f>IF($A26="","",VLOOKUP($A26,'Annex 2 EHV charges'!$D:$O,2,0))</f>
        <v>735</v>
      </c>
      <c r="C26" s="94">
        <f>IF($A26="","",VLOOKUP($A26,'Annex 2 EHV charges'!$D:$O,3,0))</f>
        <v>1030083941034</v>
      </c>
      <c r="D26" s="93" t="str">
        <f>IF($A26="","",VLOOKUP($A26,'Annex 2 EHV charges'!$D:$O,4,0))</f>
        <v>BRTHSS</v>
      </c>
      <c r="E26" s="176" t="str">
        <f>IFERROR(IF(VLOOKUP($A26,'Annex 2 EHV charges'!$D:$O,9,FALSE)=0,"",VLOOKUP($A26,'Annex 2 EHV charges'!$D:$O,9,FALSE)),"")</f>
        <v/>
      </c>
      <c r="F26" s="178">
        <f>IFERROR(IF(VLOOKUP($A26,'Annex 2 EHV charges'!$D:$O,10,FALSE)=0,"",VLOOKUP($A26,'Annex 2 EHV charges'!$D:$O,10,FALSE)),"")</f>
        <v>255.14</v>
      </c>
      <c r="G26" s="177">
        <f>IFERROR(IF(VLOOKUP($A26,'Annex 2 EHV charges'!$D:$O,11,FALSE)=0,"",VLOOKUP($A26,'Annex 2 EHV charges'!$D:$O,11,FALSE)),"")</f>
        <v>0.05</v>
      </c>
      <c r="H26" s="177">
        <f>IFERROR(IF(VLOOKUP($A26,'Annex 2 EHV charges'!$D:$O,12,FALSE)=0,"",VLOOKUP($A26,'Annex 2 EHV charges'!$D:$O,12,FALSE)),"")</f>
        <v>0.05</v>
      </c>
    </row>
    <row r="27" spans="1:8" ht="12.75" customHeight="1" x14ac:dyDescent="0.2">
      <c r="A27" s="94" t="str">
        <f t="array" ref="A27">IFERROR(INDEX('Annex 2 EHV charges'!$D$10:$D$301, MATCH(0, IF(ISBLANK('Annex 2 EHV charges'!$D$10:$D$301),1, COUNTIF(A$4:$A26, 'Annex 2 EHV charges'!$D$10:$D$301)), 0)),"")</f>
        <v>BRTHSW</v>
      </c>
      <c r="B27" s="93">
        <f>IF($A27="","",VLOOKUP($A27,'Annex 2 EHV charges'!$D:$O,2,0))</f>
        <v>748</v>
      </c>
      <c r="C27" s="94">
        <f>IF($A27="","",VLOOKUP($A27,'Annex 2 EHV charges'!$D:$O,3,0))</f>
        <v>1030083917802</v>
      </c>
      <c r="D27" s="93" t="str">
        <f>IF($A27="","",VLOOKUP($A27,'Annex 2 EHV charges'!$D:$O,4,0))</f>
        <v>BRTHSW</v>
      </c>
      <c r="E27" s="176" t="str">
        <f>IFERROR(IF(VLOOKUP($A27,'Annex 2 EHV charges'!$D:$O,9,FALSE)=0,"",VLOOKUP($A27,'Annex 2 EHV charges'!$D:$O,9,FALSE)),"")</f>
        <v/>
      </c>
      <c r="F27" s="178">
        <f>IFERROR(IF(VLOOKUP($A27,'Annex 2 EHV charges'!$D:$O,10,FALSE)=0,"",VLOOKUP($A27,'Annex 2 EHV charges'!$D:$O,10,FALSE)),"")</f>
        <v>250.68</v>
      </c>
      <c r="G27" s="177">
        <f>IFERROR(IF(VLOOKUP($A27,'Annex 2 EHV charges'!$D:$O,11,FALSE)=0,"",VLOOKUP($A27,'Annex 2 EHV charges'!$D:$O,11,FALSE)),"")</f>
        <v>0.05</v>
      </c>
      <c r="H27" s="177">
        <f>IFERROR(IF(VLOOKUP($A27,'Annex 2 EHV charges'!$D:$O,12,FALSE)=0,"",VLOOKUP($A27,'Annex 2 EHV charges'!$D:$O,12,FALSE)),"")</f>
        <v>0.05</v>
      </c>
    </row>
    <row r="28" spans="1:8" ht="12.75" customHeight="1" x14ac:dyDescent="0.2">
      <c r="A28" s="94" t="str">
        <f t="array" ref="A28">IFERROR(INDEX('Annex 2 EHV charges'!$D$10:$D$301, MATCH(0, IF(ISBLANK('Annex 2 EHV charges'!$D$10:$D$301),1, COUNTIF(A$4:$A27, 'Annex 2 EHV charges'!$D$10:$D$301)), 0)),"")</f>
        <v>BS_BUR</v>
      </c>
      <c r="B28" s="93">
        <f>IF($A28="","",VLOOKUP($A28,'Annex 2 EHV charges'!$D:$O,2,0))</f>
        <v>700</v>
      </c>
      <c r="C28" s="94" t="str">
        <f>IF($A28="","",VLOOKUP($A28,'Annex 2 EHV charges'!$D:$O,3,0))</f>
        <v>1023485782546
1050000914900</v>
      </c>
      <c r="D28" s="93" t="str">
        <f>IF($A28="","",VLOOKUP($A28,'Annex 2 EHV charges'!$D:$O,4,0))</f>
        <v>BS_BUR</v>
      </c>
      <c r="E28" s="176">
        <f>IFERROR(IF(VLOOKUP($A28,'Annex 2 EHV charges'!$D:$O,9,FALSE)=0,"",VLOOKUP($A28,'Annex 2 EHV charges'!$D:$O,9,FALSE)),"")</f>
        <v>-1.2490000000000001</v>
      </c>
      <c r="F28" s="178">
        <f>IFERROR(IF(VLOOKUP($A28,'Annex 2 EHV charges'!$D:$O,10,FALSE)=0,"",VLOOKUP($A28,'Annex 2 EHV charges'!$D:$O,10,FALSE)),"")</f>
        <v>679.1</v>
      </c>
      <c r="G28" s="177">
        <f>IFERROR(IF(VLOOKUP($A28,'Annex 2 EHV charges'!$D:$O,11,FALSE)=0,"",VLOOKUP($A28,'Annex 2 EHV charges'!$D:$O,11,FALSE)),"")</f>
        <v>0.05</v>
      </c>
      <c r="H28" s="177">
        <f>IFERROR(IF(VLOOKUP($A28,'Annex 2 EHV charges'!$D:$O,12,FALSE)=0,"",VLOOKUP($A28,'Annex 2 EHV charges'!$D:$O,12,FALSE)),"")</f>
        <v>0.05</v>
      </c>
    </row>
    <row r="29" spans="1:8" ht="12.75" customHeight="1" x14ac:dyDescent="0.2">
      <c r="A29" s="94" t="str">
        <f t="array" ref="A29">IFERROR(INDEX('Annex 2 EHV charges'!$D$10:$D$301, MATCH(0, IF(ISBLANK('Annex 2 EHV charges'!$D$10:$D$301),1, COUNTIF(A$4:$A28, 'Annex 2 EHV charges'!$D$10:$D$301)), 0)),"")</f>
        <v>BS_WIS</v>
      </c>
      <c r="B29" s="93">
        <f>IF($A29="","",VLOOKUP($A29,'Annex 2 EHV charges'!$D:$O,2,0))</f>
        <v>719</v>
      </c>
      <c r="C29" s="94">
        <f>IF($A29="","",VLOOKUP($A29,'Annex 2 EHV charges'!$D:$O,3,0))</f>
        <v>1023470427970</v>
      </c>
      <c r="D29" s="93" t="str">
        <f>IF($A29="","",VLOOKUP($A29,'Annex 2 EHV charges'!$D:$O,4,0))</f>
        <v>BS_WIS</v>
      </c>
      <c r="E29" s="176">
        <f>IFERROR(IF(VLOOKUP($A29,'Annex 2 EHV charges'!$D:$O,9,FALSE)=0,"",VLOOKUP($A29,'Annex 2 EHV charges'!$D:$O,9,FALSE)),"")</f>
        <v>-0.41899999999999998</v>
      </c>
      <c r="F29" s="178">
        <f>IFERROR(IF(VLOOKUP($A29,'Annex 2 EHV charges'!$D:$O,10,FALSE)=0,"",VLOOKUP($A29,'Annex 2 EHV charges'!$D:$O,10,FALSE)),"")</f>
        <v>232.19</v>
      </c>
      <c r="G29" s="177">
        <f>IFERROR(IF(VLOOKUP($A29,'Annex 2 EHV charges'!$D:$O,11,FALSE)=0,"",VLOOKUP($A29,'Annex 2 EHV charges'!$D:$O,11,FALSE)),"")</f>
        <v>0.05</v>
      </c>
      <c r="H29" s="177">
        <f>IFERROR(IF(VLOOKUP($A29,'Annex 2 EHV charges'!$D:$O,12,FALSE)=0,"",VLOOKUP($A29,'Annex 2 EHV charges'!$D:$O,12,FALSE)),"")</f>
        <v>0.05</v>
      </c>
    </row>
    <row r="30" spans="1:8" ht="12.75" customHeight="1" x14ac:dyDescent="0.2">
      <c r="A30" s="94" t="str">
        <f t="array" ref="A30">IFERROR(INDEX('Annex 2 EHV charges'!$D$10:$D$301, MATCH(0, IF(ISBLANK('Annex 2 EHV charges'!$D$10:$D$301),1, COUNTIF(A$4:$A29, 'Annex 2 EHV charges'!$D$10:$D$301)), 0)),"")</f>
        <v>BSGBRN</v>
      </c>
      <c r="B30" s="93">
        <f>IF($A30="","",VLOOKUP($A30,'Annex 2 EHV charges'!$D:$O,2,0))</f>
        <v>784</v>
      </c>
      <c r="C30" s="94">
        <f>IF($A30="","",VLOOKUP($A30,'Annex 2 EHV charges'!$D:$O,3,0))</f>
        <v>1050000773860</v>
      </c>
      <c r="D30" s="93" t="str">
        <f>IF($A30="","",VLOOKUP($A30,'Annex 2 EHV charges'!$D:$O,4,0))</f>
        <v>BSGBRN</v>
      </c>
      <c r="E30" s="176" t="str">
        <f>IFERROR(IF(VLOOKUP($A30,'Annex 2 EHV charges'!$D:$O,9,FALSE)=0,"",VLOOKUP($A30,'Annex 2 EHV charges'!$D:$O,9,FALSE)),"")</f>
        <v/>
      </c>
      <c r="F30" s="178">
        <f>IFERROR(IF(VLOOKUP($A30,'Annex 2 EHV charges'!$D:$O,10,FALSE)=0,"",VLOOKUP($A30,'Annex 2 EHV charges'!$D:$O,10,FALSE)),"")</f>
        <v>1546.29</v>
      </c>
      <c r="G30" s="177">
        <f>IFERROR(IF(VLOOKUP($A30,'Annex 2 EHV charges'!$D:$O,11,FALSE)=0,"",VLOOKUP($A30,'Annex 2 EHV charges'!$D:$O,11,FALSE)),"")</f>
        <v>0.05</v>
      </c>
      <c r="H30" s="177">
        <f>IFERROR(IF(VLOOKUP($A30,'Annex 2 EHV charges'!$D:$O,12,FALSE)=0,"",VLOOKUP($A30,'Annex 2 EHV charges'!$D:$O,12,FALSE)),"")</f>
        <v>0.05</v>
      </c>
    </row>
    <row r="31" spans="1:8" ht="12.75" customHeight="1" x14ac:dyDescent="0.2">
      <c r="A31" s="94" t="str">
        <f t="array" ref="A31">IFERROR(INDEX('Annex 2 EHV charges'!$D$10:$D$301, MATCH(0, IF(ISBLANK('Annex 2 EHV charges'!$D$10:$D$301),1, COUNTIF(A$4:$A30, 'Annex 2 EHV charges'!$D$10:$D$301)), 0)),"")</f>
        <v>BURYLN</v>
      </c>
      <c r="B31" s="93">
        <f>IF($A31="","",VLOOKUP($A31,'Annex 2 EHV charges'!$D:$O,2,0))</f>
        <v>786</v>
      </c>
      <c r="C31" s="94">
        <f>IF($A31="","",VLOOKUP($A31,'Annex 2 EHV charges'!$D:$O,3,0))</f>
        <v>1050000729667</v>
      </c>
      <c r="D31" s="93" t="str">
        <f>IF($A31="","",VLOOKUP($A31,'Annex 2 EHV charges'!$D:$O,4,0))</f>
        <v>BURYLN</v>
      </c>
      <c r="E31" s="176" t="str">
        <f>IFERROR(IF(VLOOKUP($A31,'Annex 2 EHV charges'!$D:$O,9,FALSE)=0,"",VLOOKUP($A31,'Annex 2 EHV charges'!$D:$O,9,FALSE)),"")</f>
        <v/>
      </c>
      <c r="F31" s="178">
        <f>IFERROR(IF(VLOOKUP($A31,'Annex 2 EHV charges'!$D:$O,10,FALSE)=0,"",VLOOKUP($A31,'Annex 2 EHV charges'!$D:$O,10,FALSE)),"")</f>
        <v>781.27</v>
      </c>
      <c r="G31" s="177">
        <f>IFERROR(IF(VLOOKUP($A31,'Annex 2 EHV charges'!$D:$O,11,FALSE)=0,"",VLOOKUP($A31,'Annex 2 EHV charges'!$D:$O,11,FALSE)),"")</f>
        <v>0.05</v>
      </c>
      <c r="H31" s="177">
        <f>IFERROR(IF(VLOOKUP($A31,'Annex 2 EHV charges'!$D:$O,12,FALSE)=0,"",VLOOKUP($A31,'Annex 2 EHV charges'!$D:$O,12,FALSE)),"")</f>
        <v>0.05</v>
      </c>
    </row>
    <row r="32" spans="1:8" ht="12.75" customHeight="1" x14ac:dyDescent="0.2">
      <c r="A32" s="94" t="str">
        <f t="array" ref="A32">IFERROR(INDEX('Annex 2 EHV charges'!$D$10:$D$301, MATCH(0, IF(ISBLANK('Annex 2 EHV charges'!$D$10:$D$301),1, COUNTIF(A$4:$A31, 'Annex 2 EHV charges'!$D$10:$D$301)), 0)),"")</f>
        <v>CANTSF</v>
      </c>
      <c r="B32" s="93">
        <f>IF($A32="","",VLOOKUP($A32,'Annex 2 EHV charges'!$D:$O,2,0))</f>
        <v>749</v>
      </c>
      <c r="C32" s="94">
        <f>IF($A32="","",VLOOKUP($A32,'Annex 2 EHV charges'!$D:$O,3,0))</f>
        <v>1030081926920</v>
      </c>
      <c r="D32" s="93" t="str">
        <f>IF($A32="","",VLOOKUP($A32,'Annex 2 EHV charges'!$D:$O,4,0))</f>
        <v>CANTSF</v>
      </c>
      <c r="E32" s="176" t="str">
        <f>IFERROR(IF(VLOOKUP($A32,'Annex 2 EHV charges'!$D:$O,9,FALSE)=0,"",VLOOKUP($A32,'Annex 2 EHV charges'!$D:$O,9,FALSE)),"")</f>
        <v/>
      </c>
      <c r="F32" s="178">
        <f>IFERROR(IF(VLOOKUP($A32,'Annex 2 EHV charges'!$D:$O,10,FALSE)=0,"",VLOOKUP($A32,'Annex 2 EHV charges'!$D:$O,10,FALSE)),"")</f>
        <v>1170.6400000000001</v>
      </c>
      <c r="G32" s="177">
        <f>IFERROR(IF(VLOOKUP($A32,'Annex 2 EHV charges'!$D:$O,11,FALSE)=0,"",VLOOKUP($A32,'Annex 2 EHV charges'!$D:$O,11,FALSE)),"")</f>
        <v>0.05</v>
      </c>
      <c r="H32" s="177">
        <f>IFERROR(IF(VLOOKUP($A32,'Annex 2 EHV charges'!$D:$O,12,FALSE)=0,"",VLOOKUP($A32,'Annex 2 EHV charges'!$D:$O,12,FALSE)),"")</f>
        <v>0.05</v>
      </c>
    </row>
    <row r="33" spans="1:8" ht="12.75" customHeight="1" x14ac:dyDescent="0.2">
      <c r="A33" s="94" t="str">
        <f t="array" ref="A33">IFERROR(INDEX('Annex 2 EHV charges'!$D$10:$D$301, MATCH(0, IF(ISBLANK('Annex 2 EHV charges'!$D$10:$D$301),1, COUNTIF(A$4:$A32, 'Annex 2 EHV charges'!$D$10:$D$301)), 0)),"")</f>
        <v>CHEDSF</v>
      </c>
      <c r="B33" s="93">
        <f>IF($A33="","",VLOOKUP($A33,'Annex 2 EHV charges'!$D:$O,2,0))</f>
        <v>750</v>
      </c>
      <c r="C33" s="94">
        <f>IF($A33="","",VLOOKUP($A33,'Annex 2 EHV charges'!$D:$O,3,0))</f>
        <v>1030083806256</v>
      </c>
      <c r="D33" s="93" t="str">
        <f>IF($A33="","",VLOOKUP($A33,'Annex 2 EHV charges'!$D:$O,4,0))</f>
        <v>CHEDSF</v>
      </c>
      <c r="E33" s="176" t="str">
        <f>IFERROR(IF(VLOOKUP($A33,'Annex 2 EHV charges'!$D:$O,9,FALSE)=0,"",VLOOKUP($A33,'Annex 2 EHV charges'!$D:$O,9,FALSE)),"")</f>
        <v/>
      </c>
      <c r="F33" s="178">
        <f>IFERROR(IF(VLOOKUP($A33,'Annex 2 EHV charges'!$D:$O,10,FALSE)=0,"",VLOOKUP($A33,'Annex 2 EHV charges'!$D:$O,10,FALSE)),"")</f>
        <v>1029.32</v>
      </c>
      <c r="G33" s="177">
        <f>IFERROR(IF(VLOOKUP($A33,'Annex 2 EHV charges'!$D:$O,11,FALSE)=0,"",VLOOKUP($A33,'Annex 2 EHV charges'!$D:$O,11,FALSE)),"")</f>
        <v>0.05</v>
      </c>
      <c r="H33" s="177">
        <f>IFERROR(IF(VLOOKUP($A33,'Annex 2 EHV charges'!$D:$O,12,FALSE)=0,"",VLOOKUP($A33,'Annex 2 EHV charges'!$D:$O,12,FALSE)),"")</f>
        <v>0.05</v>
      </c>
    </row>
    <row r="34" spans="1:8" ht="12.75" customHeight="1" x14ac:dyDescent="0.2">
      <c r="A34" s="94" t="str">
        <f t="array" ref="A34">IFERROR(INDEX('Annex 2 EHV charges'!$D$10:$D$301, MATCH(0, IF(ISBLANK('Annex 2 EHV charges'!$D$10:$D$301),1, COUNTIF(A$4:$A33, 'Annex 2 EHV charges'!$D$10:$D$301)), 0)),"")</f>
        <v>CHFARM</v>
      </c>
      <c r="B34" s="93">
        <f>IF($A34="","",VLOOKUP($A34,'Annex 2 EHV charges'!$D:$O,2,0))</f>
        <v>683</v>
      </c>
      <c r="C34" s="94">
        <f>IF($A34="","",VLOOKUP($A34,'Annex 2 EHV charges'!$D:$O,3,0))</f>
        <v>1050000961992</v>
      </c>
      <c r="D34" s="93" t="str">
        <f>IF($A34="","",VLOOKUP($A34,'Annex 2 EHV charges'!$D:$O,4,0))</f>
        <v>CHFARM</v>
      </c>
      <c r="E34" s="176" t="str">
        <f>IFERROR(IF(VLOOKUP($A34,'Annex 2 EHV charges'!$D:$O,9,FALSE)=0,"",VLOOKUP($A34,'Annex 2 EHV charges'!$D:$O,9,FALSE)),"")</f>
        <v/>
      </c>
      <c r="F34" s="178">
        <f>IFERROR(IF(VLOOKUP($A34,'Annex 2 EHV charges'!$D:$O,10,FALSE)=0,"",VLOOKUP($A34,'Annex 2 EHV charges'!$D:$O,10,FALSE)),"")</f>
        <v>2553.27</v>
      </c>
      <c r="G34" s="177">
        <f>IFERROR(IF(VLOOKUP($A34,'Annex 2 EHV charges'!$D:$O,11,FALSE)=0,"",VLOOKUP($A34,'Annex 2 EHV charges'!$D:$O,11,FALSE)),"")</f>
        <v>0.05</v>
      </c>
      <c r="H34" s="177">
        <f>IFERROR(IF(VLOOKUP($A34,'Annex 2 EHV charges'!$D:$O,12,FALSE)=0,"",VLOOKUP($A34,'Annex 2 EHV charges'!$D:$O,12,FALSE)),"")</f>
        <v>0.05</v>
      </c>
    </row>
    <row r="35" spans="1:8" ht="12.75" customHeight="1" x14ac:dyDescent="0.2">
      <c r="A35" s="94" t="str">
        <f t="array" ref="A35">IFERROR(INDEX('Annex 2 EHV charges'!$D$10:$D$301, MATCH(0, IF(ISBLANK('Annex 2 EHV charges'!$D$10:$D$301),1, COUNTIF(A$4:$A34, 'Annex 2 EHV charges'!$D$10:$D$301)), 0)),"")</f>
        <v>CHPLOW</v>
      </c>
      <c r="B35" s="93">
        <f>IF($A35="","",VLOOKUP($A35,'Annex 2 EHV charges'!$D:$O,2,0))</f>
        <v>655</v>
      </c>
      <c r="C35" s="94">
        <f>IF($A35="","",VLOOKUP($A35,'Annex 2 EHV charges'!$D:$O,3,0))</f>
        <v>1050000948031</v>
      </c>
      <c r="D35" s="93" t="str">
        <f>IF($A35="","",VLOOKUP($A35,'Annex 2 EHV charges'!$D:$O,4,0))</f>
        <v>CHPLOW</v>
      </c>
      <c r="E35" s="176" t="str">
        <f>IFERROR(IF(VLOOKUP($A35,'Annex 2 EHV charges'!$D:$O,9,FALSE)=0,"",VLOOKUP($A35,'Annex 2 EHV charges'!$D:$O,9,FALSE)),"")</f>
        <v/>
      </c>
      <c r="F35" s="178">
        <f>IFERROR(IF(VLOOKUP($A35,'Annex 2 EHV charges'!$D:$O,10,FALSE)=0,"",VLOOKUP($A35,'Annex 2 EHV charges'!$D:$O,10,FALSE)),"")</f>
        <v>4114.9799999999996</v>
      </c>
      <c r="G35" s="177">
        <f>IFERROR(IF(VLOOKUP($A35,'Annex 2 EHV charges'!$D:$O,11,FALSE)=0,"",VLOOKUP($A35,'Annex 2 EHV charges'!$D:$O,11,FALSE)),"")</f>
        <v>0.05</v>
      </c>
      <c r="H35" s="177">
        <f>IFERROR(IF(VLOOKUP($A35,'Annex 2 EHV charges'!$D:$O,12,FALSE)=0,"",VLOOKUP($A35,'Annex 2 EHV charges'!$D:$O,12,FALSE)),"")</f>
        <v>0.05</v>
      </c>
    </row>
    <row r="36" spans="1:8" ht="12.75" customHeight="1" x14ac:dyDescent="0.2">
      <c r="A36" s="94" t="str">
        <f t="array" ref="A36">IFERROR(INDEX('Annex 2 EHV charges'!$D$10:$D$301, MATCH(0, IF(ISBLANK('Annex 2 EHV charges'!$D$10:$D$301),1, COUNTIF(A$4:$A35, 'Annex 2 EHV charges'!$D$10:$D$301)), 0)),"")</f>
        <v>CLAYPV</v>
      </c>
      <c r="B36" s="93">
        <f>IF($A36="","",VLOOKUP($A36,'Annex 2 EHV charges'!$D:$O,2,0))</f>
        <v>437</v>
      </c>
      <c r="C36" s="94">
        <f>IF($A36="","",VLOOKUP($A36,'Annex 2 EHV charges'!$D:$O,3,0))</f>
        <v>1050001382355</v>
      </c>
      <c r="D36" s="93" t="str">
        <f>IF($A36="","",VLOOKUP($A36,'Annex 2 EHV charges'!$D:$O,4,0))</f>
        <v>CLAYPV</v>
      </c>
      <c r="E36" s="176" t="str">
        <f>IFERROR(IF(VLOOKUP($A36,'Annex 2 EHV charges'!$D:$O,9,FALSE)=0,"",VLOOKUP($A36,'Annex 2 EHV charges'!$D:$O,9,FALSE)),"")</f>
        <v/>
      </c>
      <c r="F36" s="178" t="str">
        <f>IFERROR(IF(VLOOKUP($A36,'Annex 2 EHV charges'!$D:$O,10,FALSE)=0,"",VLOOKUP($A36,'Annex 2 EHV charges'!$D:$O,10,FALSE)),"")</f>
        <v/>
      </c>
      <c r="G36" s="177">
        <f>IFERROR(IF(VLOOKUP($A36,'Annex 2 EHV charges'!$D:$O,11,FALSE)=0,"",VLOOKUP($A36,'Annex 2 EHV charges'!$D:$O,11,FALSE)),"")</f>
        <v>0.05</v>
      </c>
      <c r="H36" s="177">
        <f>IFERROR(IF(VLOOKUP($A36,'Annex 2 EHV charges'!$D:$O,12,FALSE)=0,"",VLOOKUP($A36,'Annex 2 EHV charges'!$D:$O,12,FALSE)),"")</f>
        <v>0.05</v>
      </c>
    </row>
    <row r="37" spans="1:8" ht="12.75" customHeight="1" x14ac:dyDescent="0.2">
      <c r="A37" s="94" t="str">
        <f t="array" ref="A37">IFERROR(INDEX('Annex 2 EHV charges'!$D$10:$D$301, MATCH(0, IF(ISBLANK('Annex 2 EHV charges'!$D$10:$D$301),1, COUNTIF(A$4:$A36, 'Annex 2 EHV charges'!$D$10:$D$301)), 0)),"")</f>
        <v>CLDECT</v>
      </c>
      <c r="B37" s="93">
        <f>IF($A37="","",VLOOKUP($A37,'Annex 2 EHV charges'!$D:$O,2,0))</f>
        <v>656</v>
      </c>
      <c r="C37" s="94">
        <f>IF($A37="","",VLOOKUP($A37,'Annex 2 EHV charges'!$D:$O,3,0))</f>
        <v>1050000714182</v>
      </c>
      <c r="D37" s="93" t="str">
        <f>IF($A37="","",VLOOKUP($A37,'Annex 2 EHV charges'!$D:$O,4,0))</f>
        <v>CLDECT</v>
      </c>
      <c r="E37" s="176" t="str">
        <f>IFERROR(IF(VLOOKUP($A37,'Annex 2 EHV charges'!$D:$O,9,FALSE)=0,"",VLOOKUP($A37,'Annex 2 EHV charges'!$D:$O,9,FALSE)),"")</f>
        <v/>
      </c>
      <c r="F37" s="178">
        <f>IFERROR(IF(VLOOKUP($A37,'Annex 2 EHV charges'!$D:$O,10,FALSE)=0,"",VLOOKUP($A37,'Annex 2 EHV charges'!$D:$O,10,FALSE)),"")</f>
        <v>2587.79</v>
      </c>
      <c r="G37" s="177">
        <f>IFERROR(IF(VLOOKUP($A37,'Annex 2 EHV charges'!$D:$O,11,FALSE)=0,"",VLOOKUP($A37,'Annex 2 EHV charges'!$D:$O,11,FALSE)),"")</f>
        <v>0.05</v>
      </c>
      <c r="H37" s="177">
        <f>IFERROR(IF(VLOOKUP($A37,'Annex 2 EHV charges'!$D:$O,12,FALSE)=0,"",VLOOKUP($A37,'Annex 2 EHV charges'!$D:$O,12,FALSE)),"")</f>
        <v>0.05</v>
      </c>
    </row>
    <row r="38" spans="1:8" ht="12.75" customHeight="1" x14ac:dyDescent="0.2">
      <c r="A38" s="94" t="str">
        <f t="array" ref="A38">IFERROR(INDEX('Annex 2 EHV charges'!$D$10:$D$301, MATCH(0, IF(ISBLANK('Annex 2 EHV charges'!$D$10:$D$301),1, COUNTIF(A$4:$A37, 'Annex 2 EHV charges'!$D$10:$D$301)), 0)),"")</f>
        <v>CLFFQY</v>
      </c>
      <c r="B38" s="93">
        <f>IF($A38="","",VLOOKUP($A38,'Annex 2 EHV charges'!$D:$O,2,0))</f>
        <v>438</v>
      </c>
      <c r="C38" s="94">
        <f>IF($A38="","",VLOOKUP($A38,'Annex 2 EHV charges'!$D:$O,3,0))</f>
        <v>1050001439417</v>
      </c>
      <c r="D38" s="93" t="str">
        <f>IF($A38="","",VLOOKUP($A38,'Annex 2 EHV charges'!$D:$O,4,0))</f>
        <v>CLFFQY</v>
      </c>
      <c r="E38" s="176">
        <f>IFERROR(IF(VLOOKUP($A38,'Annex 2 EHV charges'!$D:$O,9,FALSE)=0,"",VLOOKUP($A38,'Annex 2 EHV charges'!$D:$O,9,FALSE)),"")</f>
        <v>-0.73299999999999998</v>
      </c>
      <c r="F38" s="178">
        <f>IFERROR(IF(VLOOKUP($A38,'Annex 2 EHV charges'!$D:$O,10,FALSE)=0,"",VLOOKUP($A38,'Annex 2 EHV charges'!$D:$O,10,FALSE)),"")</f>
        <v>2496.19</v>
      </c>
      <c r="G38" s="177">
        <f>IFERROR(IF(VLOOKUP($A38,'Annex 2 EHV charges'!$D:$O,11,FALSE)=0,"",VLOOKUP($A38,'Annex 2 EHV charges'!$D:$O,11,FALSE)),"")</f>
        <v>0.05</v>
      </c>
      <c r="H38" s="177">
        <f>IFERROR(IF(VLOOKUP($A38,'Annex 2 EHV charges'!$D:$O,12,FALSE)=0,"",VLOOKUP($A38,'Annex 2 EHV charges'!$D:$O,12,FALSE)),"")</f>
        <v>0.05</v>
      </c>
    </row>
    <row r="39" spans="1:8" ht="12.75" customHeight="1" x14ac:dyDescent="0.2">
      <c r="A39" s="94" t="str">
        <f t="array" ref="A39">IFERROR(INDEX('Annex 2 EHV charges'!$D$10:$D$301, MATCH(0, IF(ISBLANK('Annex 2 EHV charges'!$D$10:$D$301),1, COUNTIF(A$4:$A38, 'Annex 2 EHV charges'!$D$10:$D$301)), 0)),"")</f>
        <v>CLRDWN</v>
      </c>
      <c r="B39" s="93">
        <f>IF($A39="","",VLOOKUP($A39,'Annex 2 EHV charges'!$D:$O,2,0))</f>
        <v>439</v>
      </c>
      <c r="C39" s="94">
        <f>IF($A39="","",VLOOKUP($A39,'Annex 2 EHV charges'!$D:$O,3,0))</f>
        <v>1050001495183</v>
      </c>
      <c r="D39" s="93" t="str">
        <f>IF($A39="","",VLOOKUP($A39,'Annex 2 EHV charges'!$D:$O,4,0))</f>
        <v>CLRDWN</v>
      </c>
      <c r="E39" s="176">
        <f>IFERROR(IF(VLOOKUP($A39,'Annex 2 EHV charges'!$D:$O,9,FALSE)=0,"",VLOOKUP($A39,'Annex 2 EHV charges'!$D:$O,9,FALSE)),"")</f>
        <v>-3.2160000000000002</v>
      </c>
      <c r="F39" s="178">
        <f>IFERROR(IF(VLOOKUP($A39,'Annex 2 EHV charges'!$D:$O,10,FALSE)=0,"",VLOOKUP($A39,'Annex 2 EHV charges'!$D:$O,10,FALSE)),"")</f>
        <v>491.3</v>
      </c>
      <c r="G39" s="177">
        <f>IFERROR(IF(VLOOKUP($A39,'Annex 2 EHV charges'!$D:$O,11,FALSE)=0,"",VLOOKUP($A39,'Annex 2 EHV charges'!$D:$O,11,FALSE)),"")</f>
        <v>0.05</v>
      </c>
      <c r="H39" s="177">
        <f>IFERROR(IF(VLOOKUP($A39,'Annex 2 EHV charges'!$D:$O,12,FALSE)=0,"",VLOOKUP($A39,'Annex 2 EHV charges'!$D:$O,12,FALSE)),"")</f>
        <v>0.05</v>
      </c>
    </row>
    <row r="40" spans="1:8" ht="12.75" customHeight="1" x14ac:dyDescent="0.2">
      <c r="A40" s="94" t="str">
        <f t="array" ref="A40">IFERROR(INDEX('Annex 2 EHV charges'!$D$10:$D$301, MATCH(0, IF(ISBLANK('Annex 2 EHV charges'!$D$10:$D$301),1, COUNTIF(A$4:$A39, 'Annex 2 EHV charges'!$D$10:$D$301)), 0)),"")</f>
        <v>CLTSHL</v>
      </c>
      <c r="B40" s="93">
        <f>IF($A40="","",VLOOKUP($A40,'Annex 2 EHV charges'!$D:$O,2,0))</f>
        <v>467</v>
      </c>
      <c r="C40" s="94">
        <f>IF($A40="","",VLOOKUP($A40,'Annex 2 EHV charges'!$D:$O,3,0))</f>
        <v>1050000841926</v>
      </c>
      <c r="D40" s="93" t="str">
        <f>IF($A40="","",VLOOKUP($A40,'Annex 2 EHV charges'!$D:$O,4,0))</f>
        <v>CLTSHL</v>
      </c>
      <c r="E40" s="176" t="str">
        <f>IFERROR(IF(VLOOKUP($A40,'Annex 2 EHV charges'!$D:$O,9,FALSE)=0,"",VLOOKUP($A40,'Annex 2 EHV charges'!$D:$O,9,FALSE)),"")</f>
        <v/>
      </c>
      <c r="F40" s="178">
        <f>IFERROR(IF(VLOOKUP($A40,'Annex 2 EHV charges'!$D:$O,10,FALSE)=0,"",VLOOKUP($A40,'Annex 2 EHV charges'!$D:$O,10,FALSE)),"")</f>
        <v>604.23</v>
      </c>
      <c r="G40" s="177">
        <f>IFERROR(IF(VLOOKUP($A40,'Annex 2 EHV charges'!$D:$O,11,FALSE)=0,"",VLOOKUP($A40,'Annex 2 EHV charges'!$D:$O,11,FALSE)),"")</f>
        <v>0.05</v>
      </c>
      <c r="H40" s="177">
        <f>IFERROR(IF(VLOOKUP($A40,'Annex 2 EHV charges'!$D:$O,12,FALSE)=0,"",VLOOKUP($A40,'Annex 2 EHV charges'!$D:$O,12,FALSE)),"")</f>
        <v>0.05</v>
      </c>
    </row>
    <row r="41" spans="1:8" ht="12.75" customHeight="1" x14ac:dyDescent="0.2">
      <c r="A41" s="94" t="str">
        <f t="array" ref="A41">IFERROR(INDEX('Annex 2 EHV charges'!$D$10:$D$301, MATCH(0, IF(ISBLANK('Annex 2 EHV charges'!$D$10:$D$301),1, COUNTIF(A$4:$A40, 'Annex 2 EHV charges'!$D$10:$D$301)), 0)),"")</f>
        <v>CRANHM</v>
      </c>
      <c r="B41" s="93">
        <f>IF($A41="","",VLOOKUP($A41,'Annex 2 EHV charges'!$D:$O,2,0))</f>
        <v>684</v>
      </c>
      <c r="C41" s="94">
        <f>IF($A41="","",VLOOKUP($A41,'Annex 2 EHV charges'!$D:$O,3,0))</f>
        <v>1050001191808</v>
      </c>
      <c r="D41" s="93" t="str">
        <f>IF($A41="","",VLOOKUP($A41,'Annex 2 EHV charges'!$D:$O,4,0))</f>
        <v>CRANHM</v>
      </c>
      <c r="E41" s="176" t="str">
        <f>IFERROR(IF(VLOOKUP($A41,'Annex 2 EHV charges'!$D:$O,9,FALSE)=0,"",VLOOKUP($A41,'Annex 2 EHV charges'!$D:$O,9,FALSE)),"")</f>
        <v/>
      </c>
      <c r="F41" s="178">
        <f>IFERROR(IF(VLOOKUP($A41,'Annex 2 EHV charges'!$D:$O,10,FALSE)=0,"",VLOOKUP($A41,'Annex 2 EHV charges'!$D:$O,10,FALSE)),"")</f>
        <v>557.95000000000005</v>
      </c>
      <c r="G41" s="177">
        <f>IFERROR(IF(VLOOKUP($A41,'Annex 2 EHV charges'!$D:$O,11,FALSE)=0,"",VLOOKUP($A41,'Annex 2 EHV charges'!$D:$O,11,FALSE)),"")</f>
        <v>0.05</v>
      </c>
      <c r="H41" s="177">
        <f>IFERROR(IF(VLOOKUP($A41,'Annex 2 EHV charges'!$D:$O,12,FALSE)=0,"",VLOOKUP($A41,'Annex 2 EHV charges'!$D:$O,12,FALSE)),"")</f>
        <v>0.05</v>
      </c>
    </row>
    <row r="42" spans="1:8" ht="12.75" customHeight="1" x14ac:dyDescent="0.2">
      <c r="A42" s="94" t="str">
        <f t="array" ref="A42">IFERROR(INDEX('Annex 2 EHV charges'!$D$10:$D$301, MATCH(0, IF(ISBLANK('Annex 2 EHV charges'!$D$10:$D$301),1, COUNTIF(A$4:$A41, 'Annex 2 EHV charges'!$D$10:$D$301)), 0)),"")</f>
        <v>CROYDN</v>
      </c>
      <c r="B42" s="93">
        <f>IF($A42="","",VLOOKUP($A42,'Annex 2 EHV charges'!$D:$O,2,0))</f>
        <v>787</v>
      </c>
      <c r="C42" s="94">
        <f>IF($A42="","",VLOOKUP($A42,'Annex 2 EHV charges'!$D:$O,3,0))</f>
        <v>1050000808868</v>
      </c>
      <c r="D42" s="93" t="str">
        <f>IF($A42="","",VLOOKUP($A42,'Annex 2 EHV charges'!$D:$O,4,0))</f>
        <v>CROYDN</v>
      </c>
      <c r="E42" s="176" t="str">
        <f>IFERROR(IF(VLOOKUP($A42,'Annex 2 EHV charges'!$D:$O,9,FALSE)=0,"",VLOOKUP($A42,'Annex 2 EHV charges'!$D:$O,9,FALSE)),"")</f>
        <v/>
      </c>
      <c r="F42" s="178">
        <f>IFERROR(IF(VLOOKUP($A42,'Annex 2 EHV charges'!$D:$O,10,FALSE)=0,"",VLOOKUP($A42,'Annex 2 EHV charges'!$D:$O,10,FALSE)),"")</f>
        <v>1162.98</v>
      </c>
      <c r="G42" s="177">
        <f>IFERROR(IF(VLOOKUP($A42,'Annex 2 EHV charges'!$D:$O,11,FALSE)=0,"",VLOOKUP($A42,'Annex 2 EHV charges'!$D:$O,11,FALSE)),"")</f>
        <v>0.05</v>
      </c>
      <c r="H42" s="177">
        <f>IFERROR(IF(VLOOKUP($A42,'Annex 2 EHV charges'!$D:$O,12,FALSE)=0,"",VLOOKUP($A42,'Annex 2 EHV charges'!$D:$O,12,FALSE)),"")</f>
        <v>0.05</v>
      </c>
    </row>
    <row r="43" spans="1:8" ht="12.75" customHeight="1" x14ac:dyDescent="0.2">
      <c r="A43" s="94" t="str">
        <f t="array" ref="A43">IFERROR(INDEX('Annex 2 EHV charges'!$D$10:$D$301, MATCH(0, IF(ISBLANK('Annex 2 EHV charges'!$D$10:$D$301),1, COUNTIF(A$4:$A42, 'Annex 2 EHV charges'!$D$10:$D$301)), 0)),"")</f>
        <v>CRSSNG</v>
      </c>
      <c r="B43" s="93">
        <f>IF($A43="","",VLOOKUP($A43,'Annex 2 EHV charges'!$D:$O,2,0))</f>
        <v>657</v>
      </c>
      <c r="C43" s="94">
        <f>IF($A43="","",VLOOKUP($A43,'Annex 2 EHV charges'!$D:$O,3,0))</f>
        <v>1050001047078</v>
      </c>
      <c r="D43" s="93" t="str">
        <f>IF($A43="","",VLOOKUP($A43,'Annex 2 EHV charges'!$D:$O,4,0))</f>
        <v>CRSSNG</v>
      </c>
      <c r="E43" s="176" t="str">
        <f>IFERROR(IF(VLOOKUP($A43,'Annex 2 EHV charges'!$D:$O,9,FALSE)=0,"",VLOOKUP($A43,'Annex 2 EHV charges'!$D:$O,9,FALSE)),"")</f>
        <v/>
      </c>
      <c r="F43" s="178">
        <f>IFERROR(IF(VLOOKUP($A43,'Annex 2 EHV charges'!$D:$O,10,FALSE)=0,"",VLOOKUP($A43,'Annex 2 EHV charges'!$D:$O,10,FALSE)),"")</f>
        <v>749.19</v>
      </c>
      <c r="G43" s="177">
        <f>IFERROR(IF(VLOOKUP($A43,'Annex 2 EHV charges'!$D:$O,11,FALSE)=0,"",VLOOKUP($A43,'Annex 2 EHV charges'!$D:$O,11,FALSE)),"")</f>
        <v>0.05</v>
      </c>
      <c r="H43" s="177">
        <f>IFERROR(IF(VLOOKUP($A43,'Annex 2 EHV charges'!$D:$O,12,FALSE)=0,"",VLOOKUP($A43,'Annex 2 EHV charges'!$D:$O,12,FALSE)),"")</f>
        <v>0.05</v>
      </c>
    </row>
    <row r="44" spans="1:8" ht="12.75" customHeight="1" x14ac:dyDescent="0.2">
      <c r="A44" s="94" t="str">
        <f t="array" ref="A44">IFERROR(INDEX('Annex 2 EHV charges'!$D$10:$D$301, MATCH(0, IF(ISBLANK('Annex 2 EHV charges'!$D$10:$D$301),1, COUNTIF(A$4:$A43, 'Annex 2 EHV charges'!$D$10:$D$301)), 0)),"")</f>
        <v>CTWDFM</v>
      </c>
      <c r="B44" s="93">
        <f>IF($A44="","",VLOOKUP($A44,'Annex 2 EHV charges'!$D:$O,2,0))</f>
        <v>736</v>
      </c>
      <c r="C44" s="94">
        <f>IF($A44="","",VLOOKUP($A44,'Annex 2 EHV charges'!$D:$O,3,0))</f>
        <v>1030079564823</v>
      </c>
      <c r="D44" s="93" t="str">
        <f>IF($A44="","",VLOOKUP($A44,'Annex 2 EHV charges'!$D:$O,4,0))</f>
        <v>CTWDFM</v>
      </c>
      <c r="E44" s="176" t="str">
        <f>IFERROR(IF(VLOOKUP($A44,'Annex 2 EHV charges'!$D:$O,9,FALSE)=0,"",VLOOKUP($A44,'Annex 2 EHV charges'!$D:$O,9,FALSE)),"")</f>
        <v/>
      </c>
      <c r="F44" s="178">
        <f>IFERROR(IF(VLOOKUP($A44,'Annex 2 EHV charges'!$D:$O,10,FALSE)=0,"",VLOOKUP($A44,'Annex 2 EHV charges'!$D:$O,10,FALSE)),"")</f>
        <v>950.55</v>
      </c>
      <c r="G44" s="177">
        <f>IFERROR(IF(VLOOKUP($A44,'Annex 2 EHV charges'!$D:$O,11,FALSE)=0,"",VLOOKUP($A44,'Annex 2 EHV charges'!$D:$O,11,FALSE)),"")</f>
        <v>0.05</v>
      </c>
      <c r="H44" s="177">
        <f>IFERROR(IF(VLOOKUP($A44,'Annex 2 EHV charges'!$D:$O,12,FALSE)=0,"",VLOOKUP($A44,'Annex 2 EHV charges'!$D:$O,12,FALSE)),"")</f>
        <v>0.05</v>
      </c>
    </row>
    <row r="45" spans="1:8" ht="12.75" customHeight="1" x14ac:dyDescent="0.2">
      <c r="A45" s="94" t="str">
        <f t="array" ref="A45">IFERROR(INDEX('Annex 2 EHV charges'!$D$10:$D$301, MATCH(0, IF(ISBLANK('Annex 2 EHV charges'!$D$10:$D$301),1, COUNTIF(A$4:$A44, 'Annex 2 EHV charges'!$D$10:$D$301)), 0)),"")</f>
        <v>DBLANE</v>
      </c>
      <c r="B45" s="93">
        <f>IF($A45="","",VLOOKUP($A45,'Annex 2 EHV charges'!$D:$O,2,0))</f>
        <v>752</v>
      </c>
      <c r="C45" s="94">
        <f>IF($A45="","",VLOOKUP($A45,'Annex 2 EHV charges'!$D:$O,3,0))</f>
        <v>1050000612940</v>
      </c>
      <c r="D45" s="93" t="str">
        <f>IF($A45="","",VLOOKUP($A45,'Annex 2 EHV charges'!$D:$O,4,0))</f>
        <v>DBLANE</v>
      </c>
      <c r="E45" s="176" t="str">
        <f>IFERROR(IF(VLOOKUP($A45,'Annex 2 EHV charges'!$D:$O,9,FALSE)=0,"",VLOOKUP($A45,'Annex 2 EHV charges'!$D:$O,9,FALSE)),"")</f>
        <v/>
      </c>
      <c r="F45" s="178">
        <f>IFERROR(IF(VLOOKUP($A45,'Annex 2 EHV charges'!$D:$O,10,FALSE)=0,"",VLOOKUP($A45,'Annex 2 EHV charges'!$D:$O,10,FALSE)),"")</f>
        <v>1394.94</v>
      </c>
      <c r="G45" s="177">
        <f>IFERROR(IF(VLOOKUP($A45,'Annex 2 EHV charges'!$D:$O,11,FALSE)=0,"",VLOOKUP($A45,'Annex 2 EHV charges'!$D:$O,11,FALSE)),"")</f>
        <v>0.05</v>
      </c>
      <c r="H45" s="177">
        <f>IFERROR(IF(VLOOKUP($A45,'Annex 2 EHV charges'!$D:$O,12,FALSE)=0,"",VLOOKUP($A45,'Annex 2 EHV charges'!$D:$O,12,FALSE)),"")</f>
        <v>0.05</v>
      </c>
    </row>
    <row r="46" spans="1:8" ht="12.75" customHeight="1" x14ac:dyDescent="0.2">
      <c r="A46" s="94" t="str">
        <f t="array" ref="A46">IFERROR(INDEX('Annex 2 EHV charges'!$D$10:$D$301, MATCH(0, IF(ISBLANK('Annex 2 EHV charges'!$D$10:$D$301),1, COUNTIF(A$4:$A45, 'Annex 2 EHV charges'!$D$10:$D$301)), 0)),"")</f>
        <v>DRAPER</v>
      </c>
      <c r="B46" s="93">
        <f>IF($A46="","",VLOOKUP($A46,'Annex 2 EHV charges'!$D:$O,2,0))</f>
        <v>753</v>
      </c>
      <c r="C46" s="94">
        <f>IF($A46="","",VLOOKUP($A46,'Annex 2 EHV charges'!$D:$O,3,0))</f>
        <v>1050000581441</v>
      </c>
      <c r="D46" s="93" t="str">
        <f>IF($A46="","",VLOOKUP($A46,'Annex 2 EHV charges'!$D:$O,4,0))</f>
        <v>DRAPER</v>
      </c>
      <c r="E46" s="176" t="str">
        <f>IFERROR(IF(VLOOKUP($A46,'Annex 2 EHV charges'!$D:$O,9,FALSE)=0,"",VLOOKUP($A46,'Annex 2 EHV charges'!$D:$O,9,FALSE)),"")</f>
        <v/>
      </c>
      <c r="F46" s="178">
        <f>IFERROR(IF(VLOOKUP($A46,'Annex 2 EHV charges'!$D:$O,10,FALSE)=0,"",VLOOKUP($A46,'Annex 2 EHV charges'!$D:$O,10,FALSE)),"")</f>
        <v>534.1</v>
      </c>
      <c r="G46" s="177">
        <f>IFERROR(IF(VLOOKUP($A46,'Annex 2 EHV charges'!$D:$O,11,FALSE)=0,"",VLOOKUP($A46,'Annex 2 EHV charges'!$D:$O,11,FALSE)),"")</f>
        <v>0.05</v>
      </c>
      <c r="H46" s="177">
        <f>IFERROR(IF(VLOOKUP($A46,'Annex 2 EHV charges'!$D:$O,12,FALSE)=0,"",VLOOKUP($A46,'Annex 2 EHV charges'!$D:$O,12,FALSE)),"")</f>
        <v>0.05</v>
      </c>
    </row>
    <row r="47" spans="1:8" ht="12.75" customHeight="1" x14ac:dyDescent="0.2">
      <c r="A47" s="94" t="str">
        <f t="array" ref="A47">IFERROR(INDEX('Annex 2 EHV charges'!$D$10:$D$301, MATCH(0, IF(ISBLANK('Annex 2 EHV charges'!$D$10:$D$301),1, COUNTIF(A$4:$A46, 'Annex 2 EHV charges'!$D$10:$D$301)), 0)),"")</f>
        <v>DRAYTN</v>
      </c>
      <c r="B47" s="93">
        <f>IF($A47="","",VLOOKUP($A47,'Annex 2 EHV charges'!$D:$O,2,0))</f>
        <v>658</v>
      </c>
      <c r="C47" s="94">
        <f>IF($A47="","",VLOOKUP($A47,'Annex 2 EHV charges'!$D:$O,3,0))</f>
        <v>1050001047263</v>
      </c>
      <c r="D47" s="93" t="str">
        <f>IF($A47="","",VLOOKUP($A47,'Annex 2 EHV charges'!$D:$O,4,0))</f>
        <v>DRAYTN</v>
      </c>
      <c r="E47" s="176" t="str">
        <f>IFERROR(IF(VLOOKUP($A47,'Annex 2 EHV charges'!$D:$O,9,FALSE)=0,"",VLOOKUP($A47,'Annex 2 EHV charges'!$D:$O,9,FALSE)),"")</f>
        <v/>
      </c>
      <c r="F47" s="178">
        <f>IFERROR(IF(VLOOKUP($A47,'Annex 2 EHV charges'!$D:$O,10,FALSE)=0,"",VLOOKUP($A47,'Annex 2 EHV charges'!$D:$O,10,FALSE)),"")</f>
        <v>530.27</v>
      </c>
      <c r="G47" s="177">
        <f>IFERROR(IF(VLOOKUP($A47,'Annex 2 EHV charges'!$D:$O,11,FALSE)=0,"",VLOOKUP($A47,'Annex 2 EHV charges'!$D:$O,11,FALSE)),"")</f>
        <v>0.05</v>
      </c>
      <c r="H47" s="177">
        <f>IFERROR(IF(VLOOKUP($A47,'Annex 2 EHV charges'!$D:$O,12,FALSE)=0,"",VLOOKUP($A47,'Annex 2 EHV charges'!$D:$O,12,FALSE)),"")</f>
        <v>0.05</v>
      </c>
    </row>
    <row r="48" spans="1:8" ht="12.75" customHeight="1" x14ac:dyDescent="0.2">
      <c r="A48" s="94" t="str">
        <f t="array" ref="A48">IFERROR(INDEX('Annex 2 EHV charges'!$D$10:$D$301, MATCH(0, IF(ISBLANK('Annex 2 EHV charges'!$D$10:$D$301),1, COUNTIF(A$4:$A47, 'Annex 2 EHV charges'!$D$10:$D$301)), 0)),"")</f>
        <v>DRYHSE</v>
      </c>
      <c r="B48" s="93">
        <f>IF($A48="","",VLOOKUP($A48,'Annex 2 EHV charges'!$D:$O,2,0))</f>
        <v>751</v>
      </c>
      <c r="C48" s="94">
        <f>IF($A48="","",VLOOKUP($A48,'Annex 2 EHV charges'!$D:$O,3,0))</f>
        <v>1050000609380</v>
      </c>
      <c r="D48" s="93" t="str">
        <f>IF($A48="","",VLOOKUP($A48,'Annex 2 EHV charges'!$D:$O,4,0))</f>
        <v>DRYHSE</v>
      </c>
      <c r="E48" s="176" t="str">
        <f>IFERROR(IF(VLOOKUP($A48,'Annex 2 EHV charges'!$D:$O,9,FALSE)=0,"",VLOOKUP($A48,'Annex 2 EHV charges'!$D:$O,9,FALSE)),"")</f>
        <v/>
      </c>
      <c r="F48" s="178">
        <f>IFERROR(IF(VLOOKUP($A48,'Annex 2 EHV charges'!$D:$O,10,FALSE)=0,"",VLOOKUP($A48,'Annex 2 EHV charges'!$D:$O,10,FALSE)),"")</f>
        <v>566.25</v>
      </c>
      <c r="G48" s="177">
        <f>IFERROR(IF(VLOOKUP($A48,'Annex 2 EHV charges'!$D:$O,11,FALSE)=0,"",VLOOKUP($A48,'Annex 2 EHV charges'!$D:$O,11,FALSE)),"")</f>
        <v>0.05</v>
      </c>
      <c r="H48" s="177">
        <f>IFERROR(IF(VLOOKUP($A48,'Annex 2 EHV charges'!$D:$O,12,FALSE)=0,"",VLOOKUP($A48,'Annex 2 EHV charges'!$D:$O,12,FALSE)),"")</f>
        <v>0.05</v>
      </c>
    </row>
    <row r="49" spans="1:8" ht="12.75" customHeight="1" x14ac:dyDescent="0.2">
      <c r="A49" s="94" t="str">
        <f t="array" ref="A49">IFERROR(INDEX('Annex 2 EHV charges'!$D$10:$D$301, MATCH(0, IF(ISBLANK('Annex 2 EHV charges'!$D$10:$D$301),1, COUNTIF(A$4:$A48, 'Annex 2 EHV charges'!$D$10:$D$301)), 0)),"")</f>
        <v>EARLHF</v>
      </c>
      <c r="B49" s="93">
        <f>IF($A49="","",VLOOKUP($A49,'Annex 2 EHV charges'!$D:$O,2,0))</f>
        <v>737</v>
      </c>
      <c r="C49" s="94">
        <f>IF($A49="","",VLOOKUP($A49,'Annex 2 EHV charges'!$D:$O,3,0))</f>
        <v>1030081316960</v>
      </c>
      <c r="D49" s="93" t="str">
        <f>IF($A49="","",VLOOKUP($A49,'Annex 2 EHV charges'!$D:$O,4,0))</f>
        <v>EARLHF</v>
      </c>
      <c r="E49" s="176" t="str">
        <f>IFERROR(IF(VLOOKUP($A49,'Annex 2 EHV charges'!$D:$O,9,FALSE)=0,"",VLOOKUP($A49,'Annex 2 EHV charges'!$D:$O,9,FALSE)),"")</f>
        <v/>
      </c>
      <c r="F49" s="178">
        <f>IFERROR(IF(VLOOKUP($A49,'Annex 2 EHV charges'!$D:$O,10,FALSE)=0,"",VLOOKUP($A49,'Annex 2 EHV charges'!$D:$O,10,FALSE)),"")</f>
        <v>358.72</v>
      </c>
      <c r="G49" s="177">
        <f>IFERROR(IF(VLOOKUP($A49,'Annex 2 EHV charges'!$D:$O,11,FALSE)=0,"",VLOOKUP($A49,'Annex 2 EHV charges'!$D:$O,11,FALSE)),"")</f>
        <v>0.05</v>
      </c>
      <c r="H49" s="177">
        <f>IFERROR(IF(VLOOKUP($A49,'Annex 2 EHV charges'!$D:$O,12,FALSE)=0,"",VLOOKUP($A49,'Annex 2 EHV charges'!$D:$O,12,FALSE)),"")</f>
        <v>0.05</v>
      </c>
    </row>
    <row r="50" spans="1:8" ht="12.75" customHeight="1" x14ac:dyDescent="0.2">
      <c r="A50" s="94" t="str">
        <f t="array" ref="A50">IFERROR(INDEX('Annex 2 EHV charges'!$D$10:$D$301, MATCH(0, IF(ISBLANK('Annex 2 EHV charges'!$D$10:$D$301),1, COUNTIF(A$4:$A49, 'Annex 2 EHV charges'!$D$10:$D$301)), 0)),"")</f>
        <v>EBCKHM</v>
      </c>
      <c r="B50" s="93">
        <f>IF($A50="","",VLOOKUP($A50,'Annex 2 EHV charges'!$D:$O,2,0))</f>
        <v>761</v>
      </c>
      <c r="C50" s="94">
        <f>IF($A50="","",VLOOKUP($A50,'Annex 2 EHV charges'!$D:$O,3,0))</f>
        <v>1050000563595</v>
      </c>
      <c r="D50" s="93" t="str">
        <f>IF($A50="","",VLOOKUP($A50,'Annex 2 EHV charges'!$D:$O,4,0))</f>
        <v>EBCKHM</v>
      </c>
      <c r="E50" s="176" t="str">
        <f>IFERROR(IF(VLOOKUP($A50,'Annex 2 EHV charges'!$D:$O,9,FALSE)=0,"",VLOOKUP($A50,'Annex 2 EHV charges'!$D:$O,9,FALSE)),"")</f>
        <v/>
      </c>
      <c r="F50" s="178">
        <f>IFERROR(IF(VLOOKUP($A50,'Annex 2 EHV charges'!$D:$O,10,FALSE)=0,"",VLOOKUP($A50,'Annex 2 EHV charges'!$D:$O,10,FALSE)),"")</f>
        <v>534.04</v>
      </c>
      <c r="G50" s="177">
        <f>IFERROR(IF(VLOOKUP($A50,'Annex 2 EHV charges'!$D:$O,11,FALSE)=0,"",VLOOKUP($A50,'Annex 2 EHV charges'!$D:$O,11,FALSE)),"")</f>
        <v>0.05</v>
      </c>
      <c r="H50" s="177">
        <f>IFERROR(IF(VLOOKUP($A50,'Annex 2 EHV charges'!$D:$O,12,FALSE)=0,"",VLOOKUP($A50,'Annex 2 EHV charges'!$D:$O,12,FALSE)),"")</f>
        <v>0.05</v>
      </c>
    </row>
    <row r="51" spans="1:8" ht="12.75" customHeight="1" x14ac:dyDescent="0.2">
      <c r="A51" s="94" t="str">
        <f t="array" ref="A51">IFERROR(INDEX('Annex 2 EHV charges'!$D$10:$D$301, MATCH(0, IF(ISBLANK('Annex 2 EHV charges'!$D$10:$D$301),1, COUNTIF(A$4:$A50, 'Annex 2 EHV charges'!$D$10:$D$301)), 0)),"")</f>
        <v>EGMRSF</v>
      </c>
      <c r="B51" s="93">
        <f>IF($A51="","",VLOOKUP($A51,'Annex 2 EHV charges'!$D:$O,2,0))</f>
        <v>754</v>
      </c>
      <c r="C51" s="94">
        <f>IF($A51="","",VLOOKUP($A51,'Annex 2 EHV charges'!$D:$O,3,0))</f>
        <v>1050000567492</v>
      </c>
      <c r="D51" s="93" t="str">
        <f>IF($A51="","",VLOOKUP($A51,'Annex 2 EHV charges'!$D:$O,4,0))</f>
        <v>EGMRSF</v>
      </c>
      <c r="E51" s="176" t="str">
        <f>IFERROR(IF(VLOOKUP($A51,'Annex 2 EHV charges'!$D:$O,9,FALSE)=0,"",VLOOKUP($A51,'Annex 2 EHV charges'!$D:$O,9,FALSE)),"")</f>
        <v/>
      </c>
      <c r="F51" s="178">
        <f>IFERROR(IF(VLOOKUP($A51,'Annex 2 EHV charges'!$D:$O,10,FALSE)=0,"",VLOOKUP($A51,'Annex 2 EHV charges'!$D:$O,10,FALSE)),"")</f>
        <v>542.15</v>
      </c>
      <c r="G51" s="177">
        <f>IFERROR(IF(VLOOKUP($A51,'Annex 2 EHV charges'!$D:$O,11,FALSE)=0,"",VLOOKUP($A51,'Annex 2 EHV charges'!$D:$O,11,FALSE)),"")</f>
        <v>0.05</v>
      </c>
      <c r="H51" s="177">
        <f>IFERROR(IF(VLOOKUP($A51,'Annex 2 EHV charges'!$D:$O,12,FALSE)=0,"",VLOOKUP($A51,'Annex 2 EHV charges'!$D:$O,12,FALSE)),"")</f>
        <v>0.05</v>
      </c>
    </row>
    <row r="52" spans="1:8" ht="12.75" customHeight="1" x14ac:dyDescent="0.2">
      <c r="A52" s="94" t="str">
        <f t="array" ref="A52">IFERROR(INDEX('Annex 2 EHV charges'!$D$10:$D$301, MATCH(0, IF(ISBLANK('Annex 2 EHV charges'!$D$10:$D$301),1, COUNTIF(A$4:$A51, 'Annex 2 EHV charges'!$D$10:$D$301)), 0)),"")</f>
        <v>ELLOSF</v>
      </c>
      <c r="B52" s="93">
        <f>IF($A52="","",VLOOKUP($A52,'Annex 2 EHV charges'!$D:$O,2,0))</f>
        <v>755</v>
      </c>
      <c r="C52" s="94" t="str">
        <f>IF($A52="","",VLOOKUP($A52,'Annex 2 EHV charges'!$D:$O,3,0))</f>
        <v>1050000612870
1050001004915
1050001004924</v>
      </c>
      <c r="D52" s="93" t="str">
        <f>IF($A52="","",VLOOKUP($A52,'Annex 2 EHV charges'!$D:$O,4,0))</f>
        <v>ELLOSF</v>
      </c>
      <c r="E52" s="176" t="str">
        <f>IFERROR(IF(VLOOKUP($A52,'Annex 2 EHV charges'!$D:$O,9,FALSE)=0,"",VLOOKUP($A52,'Annex 2 EHV charges'!$D:$O,9,FALSE)),"")</f>
        <v/>
      </c>
      <c r="F52" s="178">
        <f>IFERROR(IF(VLOOKUP($A52,'Annex 2 EHV charges'!$D:$O,10,FALSE)=0,"",VLOOKUP($A52,'Annex 2 EHV charges'!$D:$O,10,FALSE)),"")</f>
        <v>1085.01</v>
      </c>
      <c r="G52" s="177">
        <f>IFERROR(IF(VLOOKUP($A52,'Annex 2 EHV charges'!$D:$O,11,FALSE)=0,"",VLOOKUP($A52,'Annex 2 EHV charges'!$D:$O,11,FALSE)),"")</f>
        <v>0.05</v>
      </c>
      <c r="H52" s="177">
        <f>IFERROR(IF(VLOOKUP($A52,'Annex 2 EHV charges'!$D:$O,12,FALSE)=0,"",VLOOKUP($A52,'Annex 2 EHV charges'!$D:$O,12,FALSE)),"")</f>
        <v>0.05</v>
      </c>
    </row>
    <row r="53" spans="1:8" ht="12.75" customHeight="1" x14ac:dyDescent="0.2">
      <c r="A53" s="94" t="str">
        <f t="array" ref="A53">IFERROR(INDEX('Annex 2 EHV charges'!$D$10:$D$301, MATCH(0, IF(ISBLANK('Annex 2 EHV charges'!$D$10:$D$301),1, COUNTIF(A$4:$A52, 'Annex 2 EHV charges'!$D$10:$D$301)), 0)),"")</f>
        <v>ELSAGE</v>
      </c>
      <c r="B53" s="93">
        <f>IF($A53="","",VLOOKUP($A53,'Annex 2 EHV charges'!$D:$O,2,0))</f>
        <v>659</v>
      </c>
      <c r="C53" s="94">
        <f>IF($A53="","",VLOOKUP($A53,'Annex 2 EHV charges'!$D:$O,3,0))</f>
        <v>1050000923677</v>
      </c>
      <c r="D53" s="93" t="str">
        <f>IF($A53="","",VLOOKUP($A53,'Annex 2 EHV charges'!$D:$O,4,0))</f>
        <v>ELSAGE</v>
      </c>
      <c r="E53" s="176" t="str">
        <f>IFERROR(IF(VLOOKUP($A53,'Annex 2 EHV charges'!$D:$O,9,FALSE)=0,"",VLOOKUP($A53,'Annex 2 EHV charges'!$D:$O,9,FALSE)),"")</f>
        <v/>
      </c>
      <c r="F53" s="178">
        <f>IFERROR(IF(VLOOKUP($A53,'Annex 2 EHV charges'!$D:$O,10,FALSE)=0,"",VLOOKUP($A53,'Annex 2 EHV charges'!$D:$O,10,FALSE)),"")</f>
        <v>959</v>
      </c>
      <c r="G53" s="177">
        <f>IFERROR(IF(VLOOKUP($A53,'Annex 2 EHV charges'!$D:$O,11,FALSE)=0,"",VLOOKUP($A53,'Annex 2 EHV charges'!$D:$O,11,FALSE)),"")</f>
        <v>0.05</v>
      </c>
      <c r="H53" s="177">
        <f>IFERROR(IF(VLOOKUP($A53,'Annex 2 EHV charges'!$D:$O,12,FALSE)=0,"",VLOOKUP($A53,'Annex 2 EHV charges'!$D:$O,12,FALSE)),"")</f>
        <v>0.05</v>
      </c>
    </row>
    <row r="54" spans="1:8" ht="12.75" customHeight="1" x14ac:dyDescent="0.2">
      <c r="A54" s="94" t="str">
        <f t="array" ref="A54">IFERROR(INDEX('Annex 2 EHV charges'!$D$10:$D$301, MATCH(0, IF(ISBLANK('Annex 2 EHV charges'!$D$10:$D$301),1, COUNTIF(A$4:$A53, 'Annex 2 EHV charges'!$D$10:$D$301)), 0)),"")</f>
        <v>EPRSUT</v>
      </c>
      <c r="B54" s="93">
        <f>IF($A54="","",VLOOKUP($A54,'Annex 2 EHV charges'!$D:$O,2,0))</f>
        <v>705</v>
      </c>
      <c r="C54" s="94">
        <f>IF($A54="","",VLOOKUP($A54,'Annex 2 EHV charges'!$D:$O,3,0))</f>
        <v>1023503165023</v>
      </c>
      <c r="D54" s="93" t="str">
        <f>IF($A54="","",VLOOKUP($A54,'Annex 2 EHV charges'!$D:$O,4,0))</f>
        <v>EPRSUT</v>
      </c>
      <c r="E54" s="176">
        <f>IFERROR(IF(VLOOKUP($A54,'Annex 2 EHV charges'!$D:$O,9,FALSE)=0,"",VLOOKUP($A54,'Annex 2 EHV charges'!$D:$O,9,FALSE)),"")</f>
        <v>-1.3340000000000001</v>
      </c>
      <c r="F54" s="178">
        <f>IFERROR(IF(VLOOKUP($A54,'Annex 2 EHV charges'!$D:$O,10,FALSE)=0,"",VLOOKUP($A54,'Annex 2 EHV charges'!$D:$O,10,FALSE)),"")</f>
        <v>1944.53</v>
      </c>
      <c r="G54" s="177">
        <f>IFERROR(IF(VLOOKUP($A54,'Annex 2 EHV charges'!$D:$O,11,FALSE)=0,"",VLOOKUP($A54,'Annex 2 EHV charges'!$D:$O,11,FALSE)),"")</f>
        <v>0.05</v>
      </c>
      <c r="H54" s="177">
        <f>IFERROR(IF(VLOOKUP($A54,'Annex 2 EHV charges'!$D:$O,12,FALSE)=0,"",VLOOKUP($A54,'Annex 2 EHV charges'!$D:$O,12,FALSE)),"")</f>
        <v>0.05</v>
      </c>
    </row>
    <row r="55" spans="1:8" ht="12.75" customHeight="1" x14ac:dyDescent="0.2">
      <c r="A55" s="94" t="str">
        <f t="array" ref="A55">IFERROR(INDEX('Annex 2 EHV charges'!$D$10:$D$301, MATCH(0, IF(ISBLANK('Annex 2 EHV charges'!$D$10:$D$301),1, COUNTIF(A$4:$A54, 'Annex 2 EHV charges'!$D$10:$D$301)), 0)),"")</f>
        <v>ERNUNN</v>
      </c>
      <c r="B55" s="93">
        <f>IF($A55="","",VLOOKUP($A55,'Annex 2 EHV charges'!$D:$O,2,0))</f>
        <v>441</v>
      </c>
      <c r="C55" s="94">
        <f>IF($A55="","",VLOOKUP($A55,'Annex 2 EHV charges'!$D:$O,3,0))</f>
        <v>1050001440529</v>
      </c>
      <c r="D55" s="93" t="str">
        <f>IF($A55="","",VLOOKUP($A55,'Annex 2 EHV charges'!$D:$O,4,0))</f>
        <v>ERNUNN</v>
      </c>
      <c r="E55" s="176">
        <f>IFERROR(IF(VLOOKUP($A55,'Annex 2 EHV charges'!$D:$O,9,FALSE)=0,"",VLOOKUP($A55,'Annex 2 EHV charges'!$D:$O,9,FALSE)),"")</f>
        <v>-9.6000000000000002E-2</v>
      </c>
      <c r="F55" s="178">
        <f>IFERROR(IF(VLOOKUP($A55,'Annex 2 EHV charges'!$D:$O,10,FALSE)=0,"",VLOOKUP($A55,'Annex 2 EHV charges'!$D:$O,10,FALSE)),"")</f>
        <v>1459.68</v>
      </c>
      <c r="G55" s="177">
        <f>IFERROR(IF(VLOOKUP($A55,'Annex 2 EHV charges'!$D:$O,11,FALSE)=0,"",VLOOKUP($A55,'Annex 2 EHV charges'!$D:$O,11,FALSE)),"")</f>
        <v>0.05</v>
      </c>
      <c r="H55" s="177">
        <f>IFERROR(IF(VLOOKUP($A55,'Annex 2 EHV charges'!$D:$O,12,FALSE)=0,"",VLOOKUP($A55,'Annex 2 EHV charges'!$D:$O,12,FALSE)),"")</f>
        <v>0.05</v>
      </c>
    </row>
    <row r="56" spans="1:8" ht="12.75" customHeight="1" x14ac:dyDescent="0.2">
      <c r="A56" s="94" t="str">
        <f t="array" ref="A56">IFERROR(INDEX('Annex 2 EHV charges'!$D$10:$D$301, MATCH(0, IF(ISBLANK('Annex 2 EHV charges'!$D$10:$D$301),1, COUNTIF(A$4:$A55, 'Annex 2 EHV charges'!$D$10:$D$301)), 0)),"")</f>
        <v>ESWMID</v>
      </c>
      <c r="B56" s="93">
        <f>IF($A56="","",VLOOKUP($A56,'Annex 2 EHV charges'!$D:$O,2,0))</f>
        <v>432</v>
      </c>
      <c r="C56" s="94" t="str">
        <f>IF($A56="","",VLOOKUP($A56,'Annex 2 EHV charges'!$D:$O,3,0))</f>
        <v>1023518907371
1023518908064</v>
      </c>
      <c r="D56" s="93" t="str">
        <f>IF($A56="","",VLOOKUP($A56,'Annex 2 EHV charges'!$D:$O,4,0))</f>
        <v>ESWMID</v>
      </c>
      <c r="E56" s="176">
        <f>IFERROR(IF(VLOOKUP($A56,'Annex 2 EHV charges'!$D:$O,9,FALSE)=0,"",VLOOKUP($A56,'Annex 2 EHV charges'!$D:$O,9,FALSE)),"")</f>
        <v>-5.5990000000000002</v>
      </c>
      <c r="F56" s="178">
        <f>IFERROR(IF(VLOOKUP($A56,'Annex 2 EHV charges'!$D:$O,10,FALSE)=0,"",VLOOKUP($A56,'Annex 2 EHV charges'!$D:$O,10,FALSE)),"")</f>
        <v>11.99</v>
      </c>
      <c r="G56" s="177">
        <f>IFERROR(IF(VLOOKUP($A56,'Annex 2 EHV charges'!$D:$O,11,FALSE)=0,"",VLOOKUP($A56,'Annex 2 EHV charges'!$D:$O,11,FALSE)),"")</f>
        <v>0.05</v>
      </c>
      <c r="H56" s="177">
        <f>IFERROR(IF(VLOOKUP($A56,'Annex 2 EHV charges'!$D:$O,12,FALSE)=0,"",VLOOKUP($A56,'Annex 2 EHV charges'!$D:$O,12,FALSE)),"")</f>
        <v>0.05</v>
      </c>
    </row>
    <row r="57" spans="1:8" ht="12.75" customHeight="1" x14ac:dyDescent="0.2">
      <c r="A57" s="94" t="str">
        <f t="array" ref="A57">IFERROR(INDEX('Annex 2 EHV charges'!$D$10:$D$301, MATCH(0, IF(ISBLANK('Annex 2 EHV charges'!$D$10:$D$301),1, COUNTIF(A$4:$A56, 'Annex 2 EHV charges'!$D$10:$D$301)), 0)),"")</f>
        <v>EUSTSF</v>
      </c>
      <c r="B57" s="93">
        <f>IF($A57="","",VLOOKUP($A57,'Annex 2 EHV charges'!$D:$O,2,0))</f>
        <v>756</v>
      </c>
      <c r="C57" s="94">
        <f>IF($A57="","",VLOOKUP($A57,'Annex 2 EHV charges'!$D:$O,3,0))</f>
        <v>1050000628170</v>
      </c>
      <c r="D57" s="93" t="str">
        <f>IF($A57="","",VLOOKUP($A57,'Annex 2 EHV charges'!$D:$O,4,0))</f>
        <v>EUSTSF</v>
      </c>
      <c r="E57" s="176" t="str">
        <f>IFERROR(IF(VLOOKUP($A57,'Annex 2 EHV charges'!$D:$O,9,FALSE)=0,"",VLOOKUP($A57,'Annex 2 EHV charges'!$D:$O,9,FALSE)),"")</f>
        <v/>
      </c>
      <c r="F57" s="178">
        <f>IFERROR(IF(VLOOKUP($A57,'Annex 2 EHV charges'!$D:$O,10,FALSE)=0,"",VLOOKUP($A57,'Annex 2 EHV charges'!$D:$O,10,FALSE)),"")</f>
        <v>1221.4000000000001</v>
      </c>
      <c r="G57" s="177">
        <f>IFERROR(IF(VLOOKUP($A57,'Annex 2 EHV charges'!$D:$O,11,FALSE)=0,"",VLOOKUP($A57,'Annex 2 EHV charges'!$D:$O,11,FALSE)),"")</f>
        <v>0.05</v>
      </c>
      <c r="H57" s="177">
        <f>IFERROR(IF(VLOOKUP($A57,'Annex 2 EHV charges'!$D:$O,12,FALSE)=0,"",VLOOKUP($A57,'Annex 2 EHV charges'!$D:$O,12,FALSE)),"")</f>
        <v>0.05</v>
      </c>
    </row>
    <row r="58" spans="1:8" ht="12.75" customHeight="1" x14ac:dyDescent="0.2">
      <c r="A58" s="94" t="str">
        <f t="array" ref="A58">IFERROR(INDEX('Annex 2 EHV charges'!$D$10:$D$301, MATCH(0, IF(ISBLANK('Annex 2 EHV charges'!$D$10:$D$301),1, COUNTIF(A$4:$A57, 'Annex 2 EHV charges'!$D$10:$D$301)), 0)),"")</f>
        <v>EXNING</v>
      </c>
      <c r="B58" s="93">
        <f>IF($A58="","",VLOOKUP($A58,'Annex 2 EHV charges'!$D:$O,2,0))</f>
        <v>788</v>
      </c>
      <c r="C58" s="94">
        <f>IF($A58="","",VLOOKUP($A58,'Annex 2 EHV charges'!$D:$O,3,0))</f>
        <v>1050000784393</v>
      </c>
      <c r="D58" s="93" t="str">
        <f>IF($A58="","",VLOOKUP($A58,'Annex 2 EHV charges'!$D:$O,4,0))</f>
        <v>EXNING</v>
      </c>
      <c r="E58" s="176" t="str">
        <f>IFERROR(IF(VLOOKUP($A58,'Annex 2 EHV charges'!$D:$O,9,FALSE)=0,"",VLOOKUP($A58,'Annex 2 EHV charges'!$D:$O,9,FALSE)),"")</f>
        <v/>
      </c>
      <c r="F58" s="178">
        <f>IFERROR(IF(VLOOKUP($A58,'Annex 2 EHV charges'!$D:$O,10,FALSE)=0,"",VLOOKUP($A58,'Annex 2 EHV charges'!$D:$O,10,FALSE)),"")</f>
        <v>2848.49</v>
      </c>
      <c r="G58" s="177">
        <f>IFERROR(IF(VLOOKUP($A58,'Annex 2 EHV charges'!$D:$O,11,FALSE)=0,"",VLOOKUP($A58,'Annex 2 EHV charges'!$D:$O,11,FALSE)),"")</f>
        <v>0.05</v>
      </c>
      <c r="H58" s="177">
        <f>IFERROR(IF(VLOOKUP($A58,'Annex 2 EHV charges'!$D:$O,12,FALSE)=0,"",VLOOKUP($A58,'Annex 2 EHV charges'!$D:$O,12,FALSE)),"")</f>
        <v>0.05</v>
      </c>
    </row>
    <row r="59" spans="1:8" ht="12.75" customHeight="1" x14ac:dyDescent="0.2">
      <c r="A59" s="94" t="str">
        <f t="array" ref="A59">IFERROR(INDEX('Annex 2 EHV charges'!$D$10:$D$301, MATCH(0, IF(ISBLANK('Annex 2 EHV charges'!$D$10:$D$301),1, COUNTIF(A$4:$A58, 'Annex 2 EHV charges'!$D$10:$D$301)), 0)),"")</f>
        <v>EYEWFM</v>
      </c>
      <c r="B59" s="93">
        <f>IF($A59="","",VLOOKUP($A59,'Annex 2 EHV charges'!$D:$O,2,0))</f>
        <v>757</v>
      </c>
      <c r="C59" s="94">
        <f>IF($A59="","",VLOOKUP($A59,'Annex 2 EHV charges'!$D:$O,3,0))</f>
        <v>1030085020190</v>
      </c>
      <c r="D59" s="93" t="str">
        <f>IF($A59="","",VLOOKUP($A59,'Annex 2 EHV charges'!$D:$O,4,0))</f>
        <v>EYEWFM</v>
      </c>
      <c r="E59" s="176" t="str">
        <f>IFERROR(IF(VLOOKUP($A59,'Annex 2 EHV charges'!$D:$O,9,FALSE)=0,"",VLOOKUP($A59,'Annex 2 EHV charges'!$D:$O,9,FALSE)),"")</f>
        <v/>
      </c>
      <c r="F59" s="178">
        <f>IFERROR(IF(VLOOKUP($A59,'Annex 2 EHV charges'!$D:$O,10,FALSE)=0,"",VLOOKUP($A59,'Annex 2 EHV charges'!$D:$O,10,FALSE)),"")</f>
        <v>626.92999999999995</v>
      </c>
      <c r="G59" s="177">
        <f>IFERROR(IF(VLOOKUP($A59,'Annex 2 EHV charges'!$D:$O,11,FALSE)=0,"",VLOOKUP($A59,'Annex 2 EHV charges'!$D:$O,11,FALSE)),"")</f>
        <v>0.05</v>
      </c>
      <c r="H59" s="177">
        <f>IFERROR(IF(VLOOKUP($A59,'Annex 2 EHV charges'!$D:$O,12,FALSE)=0,"",VLOOKUP($A59,'Annex 2 EHV charges'!$D:$O,12,FALSE)),"")</f>
        <v>0.05</v>
      </c>
    </row>
    <row r="60" spans="1:8" ht="12.75" customHeight="1" x14ac:dyDescent="0.2">
      <c r="A60" s="94" t="str">
        <f t="array" ref="A60">IFERROR(INDEX('Annex 2 EHV charges'!$D$10:$D$301, MATCH(0, IF(ISBLANK('Annex 2 EHV charges'!$D$10:$D$301),1, COUNTIF(A$4:$A59, 'Annex 2 EHV charges'!$D$10:$D$301)), 0)),"")</f>
        <v>FBWTHE</v>
      </c>
      <c r="B60" s="93">
        <f>IF($A60="","",VLOOKUP($A60,'Annex 2 EHV charges'!$D:$O,2,0))</f>
        <v>718</v>
      </c>
      <c r="C60" s="94">
        <f>IF($A60="","",VLOOKUP($A60,'Annex 2 EHV charges'!$D:$O,3,0))</f>
        <v>1023507304560</v>
      </c>
      <c r="D60" s="93" t="str">
        <f>IF($A60="","",VLOOKUP($A60,'Annex 2 EHV charges'!$D:$O,4,0))</f>
        <v>FBWTHE</v>
      </c>
      <c r="E60" s="176">
        <f>IFERROR(IF(VLOOKUP($A60,'Annex 2 EHV charges'!$D:$O,9,FALSE)=0,"",VLOOKUP($A60,'Annex 2 EHV charges'!$D:$O,9,FALSE)),"")</f>
        <v>-4.109</v>
      </c>
      <c r="F60" s="178">
        <f>IFERROR(IF(VLOOKUP($A60,'Annex 2 EHV charges'!$D:$O,10,FALSE)=0,"",VLOOKUP($A60,'Annex 2 EHV charges'!$D:$O,10,FALSE)),"")</f>
        <v>233.69</v>
      </c>
      <c r="G60" s="177">
        <f>IFERROR(IF(VLOOKUP($A60,'Annex 2 EHV charges'!$D:$O,11,FALSE)=0,"",VLOOKUP($A60,'Annex 2 EHV charges'!$D:$O,11,FALSE)),"")</f>
        <v>0.05</v>
      </c>
      <c r="H60" s="177">
        <f>IFERROR(IF(VLOOKUP($A60,'Annex 2 EHV charges'!$D:$O,12,FALSE)=0,"",VLOOKUP($A60,'Annex 2 EHV charges'!$D:$O,12,FALSE)),"")</f>
        <v>0.05</v>
      </c>
    </row>
    <row r="61" spans="1:8" ht="12.75" customHeight="1" x14ac:dyDescent="0.2">
      <c r="A61" s="94" t="str">
        <f t="array" ref="A61">IFERROR(INDEX('Annex 2 EHV charges'!$D$10:$D$301, MATCH(0, IF(ISBLANK('Annex 2 EHV charges'!$D$10:$D$301),1, COUNTIF(A$4:$A60, 'Annex 2 EHV charges'!$D$10:$D$301)), 0)),"")</f>
        <v>FENLND</v>
      </c>
      <c r="B61" s="93">
        <f>IF($A61="","",VLOOKUP($A61,'Annex 2 EHV charges'!$D:$O,2,0))</f>
        <v>789</v>
      </c>
      <c r="C61" s="94">
        <f>IF($A61="","",VLOOKUP($A61,'Annex 2 EHV charges'!$D:$O,3,0))</f>
        <v>1050000774172</v>
      </c>
      <c r="D61" s="93" t="str">
        <f>IF($A61="","",VLOOKUP($A61,'Annex 2 EHV charges'!$D:$O,4,0))</f>
        <v>FENLND</v>
      </c>
      <c r="E61" s="176" t="str">
        <f>IFERROR(IF(VLOOKUP($A61,'Annex 2 EHV charges'!$D:$O,9,FALSE)=0,"",VLOOKUP($A61,'Annex 2 EHV charges'!$D:$O,9,FALSE)),"")</f>
        <v/>
      </c>
      <c r="F61" s="178">
        <f>IFERROR(IF(VLOOKUP($A61,'Annex 2 EHV charges'!$D:$O,10,FALSE)=0,"",VLOOKUP($A61,'Annex 2 EHV charges'!$D:$O,10,FALSE)),"")</f>
        <v>3735.8</v>
      </c>
      <c r="G61" s="177">
        <f>IFERROR(IF(VLOOKUP($A61,'Annex 2 EHV charges'!$D:$O,11,FALSE)=0,"",VLOOKUP($A61,'Annex 2 EHV charges'!$D:$O,11,FALSE)),"")</f>
        <v>0.05</v>
      </c>
      <c r="H61" s="177">
        <f>IFERROR(IF(VLOOKUP($A61,'Annex 2 EHV charges'!$D:$O,12,FALSE)=0,"",VLOOKUP($A61,'Annex 2 EHV charges'!$D:$O,12,FALSE)),"")</f>
        <v>0.05</v>
      </c>
    </row>
    <row r="62" spans="1:8" ht="12.75" customHeight="1" x14ac:dyDescent="0.2">
      <c r="A62" s="94" t="str">
        <f t="array" ref="A62">IFERROR(INDEX('Annex 2 EHV charges'!$D$10:$D$301, MATCH(0, IF(ISBLANK('Annex 2 EHV charges'!$D$10:$D$301),1, COUNTIF(A$4:$A61, 'Annex 2 EHV charges'!$D$10:$D$301)), 0)),"")</f>
        <v>FIBEYE</v>
      </c>
      <c r="B62" s="93">
        <f>IF($A62="","",VLOOKUP($A62,'Annex 2 EHV charges'!$D:$O,2,0))</f>
        <v>707</v>
      </c>
      <c r="C62" s="94">
        <f>IF($A62="","",VLOOKUP($A62,'Annex 2 EHV charges'!$D:$O,3,0))</f>
        <v>1023479132320</v>
      </c>
      <c r="D62" s="93" t="str">
        <f>IF($A62="","",VLOOKUP($A62,'Annex 2 EHV charges'!$D:$O,4,0))</f>
        <v>FIBEYE</v>
      </c>
      <c r="E62" s="176">
        <f>IFERROR(IF(VLOOKUP($A62,'Annex 2 EHV charges'!$D:$O,9,FALSE)=0,"",VLOOKUP($A62,'Annex 2 EHV charges'!$D:$O,9,FALSE)),"")</f>
        <v>-1.978</v>
      </c>
      <c r="F62" s="178">
        <f>IFERROR(IF(VLOOKUP($A62,'Annex 2 EHV charges'!$D:$O,10,FALSE)=0,"",VLOOKUP($A62,'Annex 2 EHV charges'!$D:$O,10,FALSE)),"")</f>
        <v>302.97000000000003</v>
      </c>
      <c r="G62" s="177">
        <f>IFERROR(IF(VLOOKUP($A62,'Annex 2 EHV charges'!$D:$O,11,FALSE)=0,"",VLOOKUP($A62,'Annex 2 EHV charges'!$D:$O,11,FALSE)),"")</f>
        <v>0.05</v>
      </c>
      <c r="H62" s="177">
        <f>IFERROR(IF(VLOOKUP($A62,'Annex 2 EHV charges'!$D:$O,12,FALSE)=0,"",VLOOKUP($A62,'Annex 2 EHV charges'!$D:$O,12,FALSE)),"")</f>
        <v>0.05</v>
      </c>
    </row>
    <row r="63" spans="1:8" ht="12.75" customHeight="1" x14ac:dyDescent="0.2">
      <c r="A63" s="94" t="str">
        <f t="array" ref="A63">IFERROR(INDEX('Annex 2 EHV charges'!$D$10:$D$301, MATCH(0, IF(ISBLANK('Annex 2 EHV charges'!$D$10:$D$301),1, COUNTIF(A$4:$A62, 'Annex 2 EHV charges'!$D$10:$D$301)), 0)),"")</f>
        <v>FLYFRM</v>
      </c>
      <c r="B63" s="93">
        <f>IF($A63="","",VLOOKUP($A63,'Annex 2 EHV charges'!$D:$O,2,0))</f>
        <v>790</v>
      </c>
      <c r="C63" s="94">
        <f>IF($A63="","",VLOOKUP($A63,'Annex 2 EHV charges'!$D:$O,3,0))</f>
        <v>1050000822472</v>
      </c>
      <c r="D63" s="93" t="str">
        <f>IF($A63="","",VLOOKUP($A63,'Annex 2 EHV charges'!$D:$O,4,0))</f>
        <v>FLYFRM</v>
      </c>
      <c r="E63" s="176" t="str">
        <f>IFERROR(IF(VLOOKUP($A63,'Annex 2 EHV charges'!$D:$O,9,FALSE)=0,"",VLOOKUP($A63,'Annex 2 EHV charges'!$D:$O,9,FALSE)),"")</f>
        <v/>
      </c>
      <c r="F63" s="178">
        <f>IFERROR(IF(VLOOKUP($A63,'Annex 2 EHV charges'!$D:$O,10,FALSE)=0,"",VLOOKUP($A63,'Annex 2 EHV charges'!$D:$O,10,FALSE)),"")</f>
        <v>1134.33</v>
      </c>
      <c r="G63" s="177">
        <f>IFERROR(IF(VLOOKUP($A63,'Annex 2 EHV charges'!$D:$O,11,FALSE)=0,"",VLOOKUP($A63,'Annex 2 EHV charges'!$D:$O,11,FALSE)),"")</f>
        <v>0.05</v>
      </c>
      <c r="H63" s="177">
        <f>IFERROR(IF(VLOOKUP($A63,'Annex 2 EHV charges'!$D:$O,12,FALSE)=0,"",VLOOKUP($A63,'Annex 2 EHV charges'!$D:$O,12,FALSE)),"")</f>
        <v>0.05</v>
      </c>
    </row>
    <row r="64" spans="1:8" ht="12.75" customHeight="1" x14ac:dyDescent="0.2">
      <c r="A64" s="94" t="str">
        <f t="array" ref="A64">IFERROR(INDEX('Annex 2 EHV charges'!$D$10:$D$301, MATCH(0, IF(ISBLANK('Annex 2 EHV charges'!$D$10:$D$301),1, COUNTIF(A$4:$A63, 'Annex 2 EHV charges'!$D$10:$D$301)), 0)),"")</f>
        <v>FWINDS</v>
      </c>
      <c r="B64" s="93">
        <f>IF($A64="","",VLOOKUP($A64,'Annex 2 EHV charges'!$D:$O,2,0))</f>
        <v>766</v>
      </c>
      <c r="C64" s="94">
        <f>IF($A64="","",VLOOKUP($A64,'Annex 2 EHV charges'!$D:$O,3,0))</f>
        <v>1050000709730</v>
      </c>
      <c r="D64" s="93" t="str">
        <f>IF($A64="","",VLOOKUP($A64,'Annex 2 EHV charges'!$D:$O,4,0))</f>
        <v>FWINDS</v>
      </c>
      <c r="E64" s="176" t="str">
        <f>IFERROR(IF(VLOOKUP($A64,'Annex 2 EHV charges'!$D:$O,9,FALSE)=0,"",VLOOKUP($A64,'Annex 2 EHV charges'!$D:$O,9,FALSE)),"")</f>
        <v/>
      </c>
      <c r="F64" s="178">
        <f>IFERROR(IF(VLOOKUP($A64,'Annex 2 EHV charges'!$D:$O,10,FALSE)=0,"",VLOOKUP($A64,'Annex 2 EHV charges'!$D:$O,10,FALSE)),"")</f>
        <v>817.94</v>
      </c>
      <c r="G64" s="177">
        <f>IFERROR(IF(VLOOKUP($A64,'Annex 2 EHV charges'!$D:$O,11,FALSE)=0,"",VLOOKUP($A64,'Annex 2 EHV charges'!$D:$O,11,FALSE)),"")</f>
        <v>0.05</v>
      </c>
      <c r="H64" s="177">
        <f>IFERROR(IF(VLOOKUP($A64,'Annex 2 EHV charges'!$D:$O,12,FALSE)=0,"",VLOOKUP($A64,'Annex 2 EHV charges'!$D:$O,12,FALSE)),"")</f>
        <v>0.05</v>
      </c>
    </row>
    <row r="65" spans="1:8" ht="12.75" customHeight="1" x14ac:dyDescent="0.2">
      <c r="A65" s="94" t="str">
        <f t="array" ref="A65">IFERROR(INDEX('Annex 2 EHV charges'!$D$10:$D$301, MATCH(0, IF(ISBLANK('Annex 2 EHV charges'!$D$10:$D$301),1, COUNTIF(A$4:$A64, 'Annex 2 EHV charges'!$D$10:$D$301)), 0)),"")</f>
        <v>GDE132</v>
      </c>
      <c r="B65" s="93">
        <f>IF($A65="","",VLOOKUP($A65,'Annex 2 EHV charges'!$D:$O,2,0))</f>
        <v>767</v>
      </c>
      <c r="C65" s="94">
        <f>IF($A65="","",VLOOKUP($A65,'Annex 2 EHV charges'!$D:$O,3,0))</f>
        <v>1050000738290</v>
      </c>
      <c r="D65" s="93" t="str">
        <f>IF($A65="","",VLOOKUP($A65,'Annex 2 EHV charges'!$D:$O,4,0))</f>
        <v>GDE132</v>
      </c>
      <c r="E65" s="176" t="str">
        <f>IFERROR(IF(VLOOKUP($A65,'Annex 2 EHV charges'!$D:$O,9,FALSE)=0,"",VLOOKUP($A65,'Annex 2 EHV charges'!$D:$O,9,FALSE)),"")</f>
        <v/>
      </c>
      <c r="F65" s="178">
        <f>IFERROR(IF(VLOOKUP($A65,'Annex 2 EHV charges'!$D:$O,10,FALSE)=0,"",VLOOKUP($A65,'Annex 2 EHV charges'!$D:$O,10,FALSE)),"")</f>
        <v>1027.51</v>
      </c>
      <c r="G65" s="177">
        <f>IFERROR(IF(VLOOKUP($A65,'Annex 2 EHV charges'!$D:$O,11,FALSE)=0,"",VLOOKUP($A65,'Annex 2 EHV charges'!$D:$O,11,FALSE)),"")</f>
        <v>0.05</v>
      </c>
      <c r="H65" s="177">
        <f>IFERROR(IF(VLOOKUP($A65,'Annex 2 EHV charges'!$D:$O,12,FALSE)=0,"",VLOOKUP($A65,'Annex 2 EHV charges'!$D:$O,12,FALSE)),"")</f>
        <v>0.05</v>
      </c>
    </row>
    <row r="66" spans="1:8" ht="12.75" customHeight="1" x14ac:dyDescent="0.2">
      <c r="A66" s="94" t="str">
        <f t="array" ref="A66">IFERROR(INDEX('Annex 2 EHV charges'!$D$10:$D$301, MATCH(0, IF(ISBLANK('Annex 2 EHV charges'!$D$10:$D$301),1, COUNTIF(A$4:$A65, 'Annex 2 EHV charges'!$D$10:$D$301)), 0)),"")</f>
        <v>GFTHRN</v>
      </c>
      <c r="B66" s="93">
        <f>IF($A66="","",VLOOKUP($A66,'Annex 2 EHV charges'!$D:$O,2,0))</f>
        <v>660</v>
      </c>
      <c r="C66" s="94">
        <f>IF($A66="","",VLOOKUP($A66,'Annex 2 EHV charges'!$D:$O,3,0))</f>
        <v>1050000903253</v>
      </c>
      <c r="D66" s="93" t="str">
        <f>IF($A66="","",VLOOKUP($A66,'Annex 2 EHV charges'!$D:$O,4,0))</f>
        <v>GFTHRN</v>
      </c>
      <c r="E66" s="176">
        <f>IFERROR(IF(VLOOKUP($A66,'Annex 2 EHV charges'!$D:$O,9,FALSE)=0,"",VLOOKUP($A66,'Annex 2 EHV charges'!$D:$O,9,FALSE)),"")</f>
        <v>-0.26</v>
      </c>
      <c r="F66" s="178">
        <f>IFERROR(IF(VLOOKUP($A66,'Annex 2 EHV charges'!$D:$O,10,FALSE)=0,"",VLOOKUP($A66,'Annex 2 EHV charges'!$D:$O,10,FALSE)),"")</f>
        <v>724.65</v>
      </c>
      <c r="G66" s="177">
        <f>IFERROR(IF(VLOOKUP($A66,'Annex 2 EHV charges'!$D:$O,11,FALSE)=0,"",VLOOKUP($A66,'Annex 2 EHV charges'!$D:$O,11,FALSE)),"")</f>
        <v>0.05</v>
      </c>
      <c r="H66" s="177">
        <f>IFERROR(IF(VLOOKUP($A66,'Annex 2 EHV charges'!$D:$O,12,FALSE)=0,"",VLOOKUP($A66,'Annex 2 EHV charges'!$D:$O,12,FALSE)),"")</f>
        <v>0.05</v>
      </c>
    </row>
    <row r="67" spans="1:8" ht="12.75" customHeight="1" x14ac:dyDescent="0.2">
      <c r="A67" s="94" t="str">
        <f t="array" ref="A67">IFERROR(INDEX('Annex 2 EHV charges'!$D$10:$D$301, MATCH(0, IF(ISBLANK('Annex 2 EHV charges'!$D$10:$D$301),1, COUNTIF(A$4:$A66, 'Annex 2 EHV charges'!$D$10:$D$301)), 0)),"")</f>
        <v>GLASM2</v>
      </c>
      <c r="B67" s="93">
        <f>IF($A67="","",VLOOKUP($A67,'Annex 2 EHV charges'!$D:$O,2,0))</f>
        <v>738</v>
      </c>
      <c r="C67" s="94">
        <f>IF($A67="","",VLOOKUP($A67,'Annex 2 EHV charges'!$D:$O,3,0))</f>
        <v>1030083962656</v>
      </c>
      <c r="D67" s="93" t="str">
        <f>IF($A67="","",VLOOKUP($A67,'Annex 2 EHV charges'!$D:$O,4,0))</f>
        <v>GLASM2</v>
      </c>
      <c r="E67" s="176" t="str">
        <f>IFERROR(IF(VLOOKUP($A67,'Annex 2 EHV charges'!$D:$O,9,FALSE)=0,"",VLOOKUP($A67,'Annex 2 EHV charges'!$D:$O,9,FALSE)),"")</f>
        <v/>
      </c>
      <c r="F67" s="178">
        <f>IFERROR(IF(VLOOKUP($A67,'Annex 2 EHV charges'!$D:$O,10,FALSE)=0,"",VLOOKUP($A67,'Annex 2 EHV charges'!$D:$O,10,FALSE)),"")</f>
        <v>2192.6799999999998</v>
      </c>
      <c r="G67" s="177">
        <f>IFERROR(IF(VLOOKUP($A67,'Annex 2 EHV charges'!$D:$O,11,FALSE)=0,"",VLOOKUP($A67,'Annex 2 EHV charges'!$D:$O,11,FALSE)),"")</f>
        <v>0.05</v>
      </c>
      <c r="H67" s="177">
        <f>IFERROR(IF(VLOOKUP($A67,'Annex 2 EHV charges'!$D:$O,12,FALSE)=0,"",VLOOKUP($A67,'Annex 2 EHV charges'!$D:$O,12,FALSE)),"")</f>
        <v>0.05</v>
      </c>
    </row>
    <row r="68" spans="1:8" ht="12.75" customHeight="1" x14ac:dyDescent="0.2">
      <c r="A68" s="94" t="str">
        <f t="array" ref="A68">IFERROR(INDEX('Annex 2 EHV charges'!$D$10:$D$301, MATCH(0, IF(ISBLANK('Annex 2 EHV charges'!$D$10:$D$301),1, COUNTIF(A$4:$A67, 'Annex 2 EHV charges'!$D$10:$D$301)), 0)),"")</f>
        <v>GOSFLD</v>
      </c>
      <c r="B68" s="93">
        <f>IF($A68="","",VLOOKUP($A68,'Annex 2 EHV charges'!$D:$O,2,0))</f>
        <v>768</v>
      </c>
      <c r="C68" s="94">
        <f>IF($A68="","",VLOOKUP($A68,'Annex 2 EHV charges'!$D:$O,3,0))</f>
        <v>1050000714207</v>
      </c>
      <c r="D68" s="93" t="str">
        <f>IF($A68="","",VLOOKUP($A68,'Annex 2 EHV charges'!$D:$O,4,0))</f>
        <v>GOSFLD</v>
      </c>
      <c r="E68" s="176" t="str">
        <f>IFERROR(IF(VLOOKUP($A68,'Annex 2 EHV charges'!$D:$O,9,FALSE)=0,"",VLOOKUP($A68,'Annex 2 EHV charges'!$D:$O,9,FALSE)),"")</f>
        <v/>
      </c>
      <c r="F68" s="178">
        <f>IFERROR(IF(VLOOKUP($A68,'Annex 2 EHV charges'!$D:$O,10,FALSE)=0,"",VLOOKUP($A68,'Annex 2 EHV charges'!$D:$O,10,FALSE)),"")</f>
        <v>2071.52</v>
      </c>
      <c r="G68" s="177">
        <f>IFERROR(IF(VLOOKUP($A68,'Annex 2 EHV charges'!$D:$O,11,FALSE)=0,"",VLOOKUP($A68,'Annex 2 EHV charges'!$D:$O,11,FALSE)),"")</f>
        <v>0.05</v>
      </c>
      <c r="H68" s="177">
        <f>IFERROR(IF(VLOOKUP($A68,'Annex 2 EHV charges'!$D:$O,12,FALSE)=0,"",VLOOKUP($A68,'Annex 2 EHV charges'!$D:$O,12,FALSE)),"")</f>
        <v>0.05</v>
      </c>
    </row>
    <row r="69" spans="1:8" ht="12.75" customHeight="1" x14ac:dyDescent="0.2">
      <c r="A69" s="94" t="str">
        <f t="array" ref="A69">IFERROR(INDEX('Annex 2 EHV charges'!$D$10:$D$301, MATCH(0, IF(ISBLANK('Annex 2 EHV charges'!$D$10:$D$301),1, COUNTIF(A$4:$A68, 'Annex 2 EHV charges'!$D$10:$D$301)), 0)),"")</f>
        <v>GREYSH</v>
      </c>
      <c r="B69" s="93">
        <f>IF($A69="","",VLOOKUP($A69,'Annex 2 EHV charges'!$D:$O,2,0))</f>
        <v>443</v>
      </c>
      <c r="C69" s="94">
        <f>IF($A69="","",VLOOKUP($A69,'Annex 2 EHV charges'!$D:$O,3,0))</f>
        <v>1050001391475</v>
      </c>
      <c r="D69" s="93" t="str">
        <f>IF($A69="","",VLOOKUP($A69,'Annex 2 EHV charges'!$D:$O,4,0))</f>
        <v>GREYSH</v>
      </c>
      <c r="E69" s="176">
        <f>IFERROR(IF(VLOOKUP($A69,'Annex 2 EHV charges'!$D:$O,9,FALSE)=0,"",VLOOKUP($A69,'Annex 2 EHV charges'!$D:$O,9,FALSE)),"")</f>
        <v>-7.9989999999999997</v>
      </c>
      <c r="F69" s="178">
        <f>IFERROR(IF(VLOOKUP($A69,'Annex 2 EHV charges'!$D:$O,10,FALSE)=0,"",VLOOKUP($A69,'Annex 2 EHV charges'!$D:$O,10,FALSE)),"")</f>
        <v>1979.27</v>
      </c>
      <c r="G69" s="177">
        <f>IFERROR(IF(VLOOKUP($A69,'Annex 2 EHV charges'!$D:$O,11,FALSE)=0,"",VLOOKUP($A69,'Annex 2 EHV charges'!$D:$O,11,FALSE)),"")</f>
        <v>0.05</v>
      </c>
      <c r="H69" s="177">
        <f>IFERROR(IF(VLOOKUP($A69,'Annex 2 EHV charges'!$D:$O,12,FALSE)=0,"",VLOOKUP($A69,'Annex 2 EHV charges'!$D:$O,12,FALSE)),"")</f>
        <v>0.05</v>
      </c>
    </row>
    <row r="70" spans="1:8" ht="12.75" customHeight="1" x14ac:dyDescent="0.2">
      <c r="A70" s="94" t="str">
        <f t="array" ref="A70">IFERROR(INDEX('Annex 2 EHV charges'!$D$10:$D$301, MATCH(0, IF(ISBLANK('Annex 2 EHV charges'!$D$10:$D$301),1, COUNTIF(A$4:$A69, 'Annex 2 EHV charges'!$D$10:$D$301)), 0)),"")</f>
        <v>GRNEND</v>
      </c>
      <c r="B70" s="93">
        <f>IF($A70="","",VLOOKUP($A70,'Annex 2 EHV charges'!$D:$O,2,0))</f>
        <v>769</v>
      </c>
      <c r="C70" s="94">
        <f>IF($A70="","",VLOOKUP($A70,'Annex 2 EHV charges'!$D:$O,3,0))</f>
        <v>1050000774224</v>
      </c>
      <c r="D70" s="93" t="str">
        <f>IF($A70="","",VLOOKUP($A70,'Annex 2 EHV charges'!$D:$O,4,0))</f>
        <v>GRNEND</v>
      </c>
      <c r="E70" s="176" t="str">
        <f>IFERROR(IF(VLOOKUP($A70,'Annex 2 EHV charges'!$D:$O,9,FALSE)=0,"",VLOOKUP($A70,'Annex 2 EHV charges'!$D:$O,9,FALSE)),"")</f>
        <v/>
      </c>
      <c r="F70" s="178">
        <f>IFERROR(IF(VLOOKUP($A70,'Annex 2 EHV charges'!$D:$O,10,FALSE)=0,"",VLOOKUP($A70,'Annex 2 EHV charges'!$D:$O,10,FALSE)),"")</f>
        <v>4283.22</v>
      </c>
      <c r="G70" s="177">
        <f>IFERROR(IF(VLOOKUP($A70,'Annex 2 EHV charges'!$D:$O,11,FALSE)=0,"",VLOOKUP($A70,'Annex 2 EHV charges'!$D:$O,11,FALSE)),"")</f>
        <v>0.05</v>
      </c>
      <c r="H70" s="177">
        <f>IFERROR(IF(VLOOKUP($A70,'Annex 2 EHV charges'!$D:$O,12,FALSE)=0,"",VLOOKUP($A70,'Annex 2 EHV charges'!$D:$O,12,FALSE)),"")</f>
        <v>0.05</v>
      </c>
    </row>
    <row r="71" spans="1:8" ht="12.75" customHeight="1" x14ac:dyDescent="0.2">
      <c r="A71" s="94" t="str">
        <f t="array" ref="A71">IFERROR(INDEX('Annex 2 EHV charges'!$D$10:$D$301, MATCH(0, IF(ISBLANK('Annex 2 EHV charges'!$D$10:$D$301),1, COUNTIF(A$4:$A70, 'Annex 2 EHV charges'!$D$10:$D$301)), 0)),"")</f>
        <v>GRNFRM</v>
      </c>
      <c r="B71" s="93">
        <f>IF($A71="","",VLOOKUP($A71,'Annex 2 EHV charges'!$D:$O,2,0))</f>
        <v>661</v>
      </c>
      <c r="C71" s="94">
        <f>IF($A71="","",VLOOKUP($A71,'Annex 2 EHV charges'!$D:$O,3,0))</f>
        <v>1050001003257</v>
      </c>
      <c r="D71" s="93" t="str">
        <f>IF($A71="","",VLOOKUP($A71,'Annex 2 EHV charges'!$D:$O,4,0))</f>
        <v>GRNFRM</v>
      </c>
      <c r="E71" s="176" t="str">
        <f>IFERROR(IF(VLOOKUP($A71,'Annex 2 EHV charges'!$D:$O,9,FALSE)=0,"",VLOOKUP($A71,'Annex 2 EHV charges'!$D:$O,9,FALSE)),"")</f>
        <v/>
      </c>
      <c r="F71" s="178">
        <f>IFERROR(IF(VLOOKUP($A71,'Annex 2 EHV charges'!$D:$O,10,FALSE)=0,"",VLOOKUP($A71,'Annex 2 EHV charges'!$D:$O,10,FALSE)),"")</f>
        <v>1393.98</v>
      </c>
      <c r="G71" s="177">
        <f>IFERROR(IF(VLOOKUP($A71,'Annex 2 EHV charges'!$D:$O,11,FALSE)=0,"",VLOOKUP($A71,'Annex 2 EHV charges'!$D:$O,11,FALSE)),"")</f>
        <v>0.05</v>
      </c>
      <c r="H71" s="177">
        <f>IFERROR(IF(VLOOKUP($A71,'Annex 2 EHV charges'!$D:$O,12,FALSE)=0,"",VLOOKUP($A71,'Annex 2 EHV charges'!$D:$O,12,FALSE)),"")</f>
        <v>0.05</v>
      </c>
    </row>
    <row r="72" spans="1:8" ht="12.75" customHeight="1" x14ac:dyDescent="0.2">
      <c r="A72" s="94" t="str">
        <f t="array" ref="A72">IFERROR(INDEX('Annex 2 EHV charges'!$D$10:$D$301, MATCH(0, IF(ISBLANK('Annex 2 EHV charges'!$D$10:$D$301),1, COUNTIF(A$4:$A71, 'Annex 2 EHV charges'!$D$10:$D$301)), 0)),"")</f>
        <v>GRNILM</v>
      </c>
      <c r="B72" s="93">
        <f>IF($A72="","",VLOOKUP($A72,'Annex 2 EHV charges'!$D:$O,2,0))</f>
        <v>685</v>
      </c>
      <c r="C72" s="94">
        <f>IF($A72="","",VLOOKUP($A72,'Annex 2 EHV charges'!$D:$O,3,0))</f>
        <v>1050001299895</v>
      </c>
      <c r="D72" s="93" t="str">
        <f>IF($A72="","",VLOOKUP($A72,'Annex 2 EHV charges'!$D:$O,4,0))</f>
        <v>GRNILM</v>
      </c>
      <c r="E72" s="176" t="str">
        <f>IFERROR(IF(VLOOKUP($A72,'Annex 2 EHV charges'!$D:$O,9,FALSE)=0,"",VLOOKUP($A72,'Annex 2 EHV charges'!$D:$O,9,FALSE)),"")</f>
        <v/>
      </c>
      <c r="F72" s="178">
        <f>IFERROR(IF(VLOOKUP($A72,'Annex 2 EHV charges'!$D:$O,10,FALSE)=0,"",VLOOKUP($A72,'Annex 2 EHV charges'!$D:$O,10,FALSE)),"")</f>
        <v>2313.4899999999998</v>
      </c>
      <c r="G72" s="177">
        <f>IFERROR(IF(VLOOKUP($A72,'Annex 2 EHV charges'!$D:$O,11,FALSE)=0,"",VLOOKUP($A72,'Annex 2 EHV charges'!$D:$O,11,FALSE)),"")</f>
        <v>0.05</v>
      </c>
      <c r="H72" s="177">
        <f>IFERROR(IF(VLOOKUP($A72,'Annex 2 EHV charges'!$D:$O,12,FALSE)=0,"",VLOOKUP($A72,'Annex 2 EHV charges'!$D:$O,12,FALSE)),"")</f>
        <v>0.05</v>
      </c>
    </row>
    <row r="73" spans="1:8" ht="12.75" customHeight="1" x14ac:dyDescent="0.2">
      <c r="A73" s="94" t="str">
        <f t="array" ref="A73">IFERROR(INDEX('Annex 2 EHV charges'!$D$10:$D$301, MATCH(0, IF(ISBLANK('Annex 2 EHV charges'!$D$10:$D$301),1, COUNTIF(A$4:$A72, 'Annex 2 EHV charges'!$D$10:$D$301)), 0)),"")</f>
        <v>GUNFL3</v>
      </c>
      <c r="B73" s="93">
        <f>IF($A73="","",VLOOKUP($A73,'Annex 2 EHV charges'!$D:$O,2,0))</f>
        <v>0</v>
      </c>
      <c r="C73" s="94" t="str">
        <f>IF($A73="","",VLOOKUP($A73,'Annex 2 EHV charges'!$D:$O,3,0))</f>
        <v xml:space="preserve"> MSID: 7277</v>
      </c>
      <c r="D73" s="93" t="str">
        <f>IF($A73="","",VLOOKUP($A73,'Annex 2 EHV charges'!$D:$O,4,0))</f>
        <v>GUNFL3</v>
      </c>
      <c r="E73" s="176" t="str">
        <f>IFERROR(IF(VLOOKUP($A73,'Annex 2 EHV charges'!$D:$O,9,FALSE)=0,"",VLOOKUP($A73,'Annex 2 EHV charges'!$D:$O,9,FALSE)),"")</f>
        <v/>
      </c>
      <c r="F73" s="178">
        <f>IFERROR(IF(VLOOKUP($A73,'Annex 2 EHV charges'!$D:$O,10,FALSE)=0,"",VLOOKUP($A73,'Annex 2 EHV charges'!$D:$O,10,FALSE)),"")</f>
        <v>202.49</v>
      </c>
      <c r="G73" s="177">
        <f>IFERROR(IF(VLOOKUP($A73,'Annex 2 EHV charges'!$D:$O,11,FALSE)=0,"",VLOOKUP($A73,'Annex 2 EHV charges'!$D:$O,11,FALSE)),"")</f>
        <v>0.05</v>
      </c>
      <c r="H73" s="177">
        <f>IFERROR(IF(VLOOKUP($A73,'Annex 2 EHV charges'!$D:$O,12,FALSE)=0,"",VLOOKUP($A73,'Annex 2 EHV charges'!$D:$O,12,FALSE)),"")</f>
        <v>0.05</v>
      </c>
    </row>
    <row r="74" spans="1:8" ht="12.75" customHeight="1" x14ac:dyDescent="0.2">
      <c r="A74" s="94" t="str">
        <f t="array" ref="A74">IFERROR(INDEX('Annex 2 EHV charges'!$D$10:$D$301, MATCH(0, IF(ISBLANK('Annex 2 EHV charges'!$D$10:$D$301),1, COUNTIF(A$4:$A73, 'Annex 2 EHV charges'!$D$10:$D$301)), 0)),"")</f>
        <v>HALLFM</v>
      </c>
      <c r="B74" s="93">
        <f>IF($A74="","",VLOOKUP($A74,'Annex 2 EHV charges'!$D:$O,2,0))</f>
        <v>762</v>
      </c>
      <c r="C74" s="94">
        <f>IF($A74="","",VLOOKUP($A74,'Annex 2 EHV charges'!$D:$O,3,0))</f>
        <v>1050000834228</v>
      </c>
      <c r="D74" s="93" t="str">
        <f>IF($A74="","",VLOOKUP($A74,'Annex 2 EHV charges'!$D:$O,4,0))</f>
        <v>HALLFM</v>
      </c>
      <c r="E74" s="176" t="str">
        <f>IFERROR(IF(VLOOKUP($A74,'Annex 2 EHV charges'!$D:$O,9,FALSE)=0,"",VLOOKUP($A74,'Annex 2 EHV charges'!$D:$O,9,FALSE)),"")</f>
        <v/>
      </c>
      <c r="F74" s="178">
        <f>IFERROR(IF(VLOOKUP($A74,'Annex 2 EHV charges'!$D:$O,10,FALSE)=0,"",VLOOKUP($A74,'Annex 2 EHV charges'!$D:$O,10,FALSE)),"")</f>
        <v>1547.59</v>
      </c>
      <c r="G74" s="177">
        <f>IFERROR(IF(VLOOKUP($A74,'Annex 2 EHV charges'!$D:$O,11,FALSE)=0,"",VLOOKUP($A74,'Annex 2 EHV charges'!$D:$O,11,FALSE)),"")</f>
        <v>0.05</v>
      </c>
      <c r="H74" s="177">
        <f>IFERROR(IF(VLOOKUP($A74,'Annex 2 EHV charges'!$D:$O,12,FALSE)=0,"",VLOOKUP($A74,'Annex 2 EHV charges'!$D:$O,12,FALSE)),"")</f>
        <v>0.05</v>
      </c>
    </row>
    <row r="75" spans="1:8" ht="12.75" customHeight="1" x14ac:dyDescent="0.2">
      <c r="A75" s="94" t="str">
        <f t="array" ref="A75">IFERROR(INDEX('Annex 2 EHV charges'!$D$10:$D$301, MATCH(0, IF(ISBLANK('Annex 2 EHV charges'!$D$10:$D$301),1, COUNTIF(A$4:$A74, 'Annex 2 EHV charges'!$D$10:$D$301)), 0)),"")</f>
        <v>HDATTP</v>
      </c>
      <c r="B75" s="93">
        <f>IF($A75="","",VLOOKUP($A75,'Annex 2 EHV charges'!$D:$O,2,0))</f>
        <v>444</v>
      </c>
      <c r="C75" s="94">
        <f>IF($A75="","",VLOOKUP($A75,'Annex 2 EHV charges'!$D:$O,3,0))</f>
        <v>1050001197864</v>
      </c>
      <c r="D75" s="93" t="str">
        <f>IF($A75="","",VLOOKUP($A75,'Annex 2 EHV charges'!$D:$O,4,0))</f>
        <v>HDATTP</v>
      </c>
      <c r="E75" s="176">
        <f>IFERROR(IF(VLOOKUP($A75,'Annex 2 EHV charges'!$D:$O,9,FALSE)=0,"",VLOOKUP($A75,'Annex 2 EHV charges'!$D:$O,9,FALSE)),"")</f>
        <v>-1.2350000000000001</v>
      </c>
      <c r="F75" s="178">
        <f>IFERROR(IF(VLOOKUP($A75,'Annex 2 EHV charges'!$D:$O,10,FALSE)=0,"",VLOOKUP($A75,'Annex 2 EHV charges'!$D:$O,10,FALSE)),"")</f>
        <v>967.83</v>
      </c>
      <c r="G75" s="177">
        <f>IFERROR(IF(VLOOKUP($A75,'Annex 2 EHV charges'!$D:$O,11,FALSE)=0,"",VLOOKUP($A75,'Annex 2 EHV charges'!$D:$O,11,FALSE)),"")</f>
        <v>0.05</v>
      </c>
      <c r="H75" s="177">
        <f>IFERROR(IF(VLOOKUP($A75,'Annex 2 EHV charges'!$D:$O,12,FALSE)=0,"",VLOOKUP($A75,'Annex 2 EHV charges'!$D:$O,12,FALSE)),"")</f>
        <v>0.05</v>
      </c>
    </row>
    <row r="76" spans="1:8" ht="12.75" customHeight="1" x14ac:dyDescent="0.2">
      <c r="A76" s="94" t="str">
        <f t="array" ref="A76">IFERROR(INDEX('Annex 2 EHV charges'!$D$10:$D$301, MATCH(0, IF(ISBLANK('Annex 2 EHV charges'!$D$10:$D$301),1, COUNTIF(A$4:$A75, 'Annex 2 EHV charges'!$D$10:$D$301)), 0)),"")</f>
        <v>HDGMSF</v>
      </c>
      <c r="B76" s="93">
        <f>IF($A76="","",VLOOKUP($A76,'Annex 2 EHV charges'!$D:$O,2,0))</f>
        <v>758</v>
      </c>
      <c r="C76" s="94">
        <f>IF($A76="","",VLOOKUP($A76,'Annex 2 EHV charges'!$D:$O,3,0))</f>
        <v>1050000521735</v>
      </c>
      <c r="D76" s="93" t="str">
        <f>IF($A76="","",VLOOKUP($A76,'Annex 2 EHV charges'!$D:$O,4,0))</f>
        <v>HDGMSF</v>
      </c>
      <c r="E76" s="176" t="str">
        <f>IFERROR(IF(VLOOKUP($A76,'Annex 2 EHV charges'!$D:$O,9,FALSE)=0,"",VLOOKUP($A76,'Annex 2 EHV charges'!$D:$O,9,FALSE)),"")</f>
        <v/>
      </c>
      <c r="F76" s="178">
        <f>IFERROR(IF(VLOOKUP($A76,'Annex 2 EHV charges'!$D:$O,10,FALSE)=0,"",VLOOKUP($A76,'Annex 2 EHV charges'!$D:$O,10,FALSE)),"")</f>
        <v>628.14</v>
      </c>
      <c r="G76" s="177">
        <f>IFERROR(IF(VLOOKUP($A76,'Annex 2 EHV charges'!$D:$O,11,FALSE)=0,"",VLOOKUP($A76,'Annex 2 EHV charges'!$D:$O,11,FALSE)),"")</f>
        <v>0.05</v>
      </c>
      <c r="H76" s="177">
        <f>IFERROR(IF(VLOOKUP($A76,'Annex 2 EHV charges'!$D:$O,12,FALSE)=0,"",VLOOKUP($A76,'Annex 2 EHV charges'!$D:$O,12,FALSE)),"")</f>
        <v>0.05</v>
      </c>
    </row>
    <row r="77" spans="1:8" ht="12.75" customHeight="1" x14ac:dyDescent="0.2">
      <c r="A77" s="94" t="str">
        <f t="array" ref="A77">IFERROR(INDEX('Annex 2 EHV charges'!$D$10:$D$301, MATCH(0, IF(ISBLANK('Annex 2 EHV charges'!$D$10:$D$301),1, COUNTIF(A$4:$A76, 'Annex 2 EHV charges'!$D$10:$D$301)), 0)),"")</f>
        <v>HGHFLD</v>
      </c>
      <c r="B77" s="93">
        <f>IF($A77="","",VLOOKUP($A77,'Annex 2 EHV charges'!$D:$O,2,0))</f>
        <v>759</v>
      </c>
      <c r="C77" s="94">
        <f>IF($A77="","",VLOOKUP($A77,'Annex 2 EHV charges'!$D:$O,3,0))</f>
        <v>1050000563169</v>
      </c>
      <c r="D77" s="93" t="str">
        <f>IF($A77="","",VLOOKUP($A77,'Annex 2 EHV charges'!$D:$O,4,0))</f>
        <v>HGHFLD</v>
      </c>
      <c r="E77" s="176" t="str">
        <f>IFERROR(IF(VLOOKUP($A77,'Annex 2 EHV charges'!$D:$O,9,FALSE)=0,"",VLOOKUP($A77,'Annex 2 EHV charges'!$D:$O,9,FALSE)),"")</f>
        <v/>
      </c>
      <c r="F77" s="178">
        <f>IFERROR(IF(VLOOKUP($A77,'Annex 2 EHV charges'!$D:$O,10,FALSE)=0,"",VLOOKUP($A77,'Annex 2 EHV charges'!$D:$O,10,FALSE)),"")</f>
        <v>2022.2</v>
      </c>
      <c r="G77" s="177">
        <f>IFERROR(IF(VLOOKUP($A77,'Annex 2 EHV charges'!$D:$O,11,FALSE)=0,"",VLOOKUP($A77,'Annex 2 EHV charges'!$D:$O,11,FALSE)),"")</f>
        <v>0.05</v>
      </c>
      <c r="H77" s="177">
        <f>IFERROR(IF(VLOOKUP($A77,'Annex 2 EHV charges'!$D:$O,12,FALSE)=0,"",VLOOKUP($A77,'Annex 2 EHV charges'!$D:$O,12,FALSE)),"")</f>
        <v>0.05</v>
      </c>
    </row>
    <row r="78" spans="1:8" ht="12.75" customHeight="1" x14ac:dyDescent="0.2">
      <c r="A78" s="94" t="str">
        <f t="array" ref="A78">IFERROR(INDEX('Annex 2 EHV charges'!$D$10:$D$301, MATCH(0, IF(ISBLANK('Annex 2 EHV charges'!$D$10:$D$301),1, COUNTIF(A$4:$A77, 'Annex 2 EHV charges'!$D$10:$D$301)), 0)),"")</f>
        <v>HHFARM</v>
      </c>
      <c r="B78" s="93">
        <f>IF($A78="","",VLOOKUP($A78,'Annex 2 EHV charges'!$D:$O,2,0))</f>
        <v>687</v>
      </c>
      <c r="C78" s="94">
        <f>IF($A78="","",VLOOKUP($A78,'Annex 2 EHV charges'!$D:$O,3,0))</f>
        <v>1050001231460</v>
      </c>
      <c r="D78" s="93" t="str">
        <f>IF($A78="","",VLOOKUP($A78,'Annex 2 EHV charges'!$D:$O,4,0))</f>
        <v>HHFARM</v>
      </c>
      <c r="E78" s="176" t="str">
        <f>IFERROR(IF(VLOOKUP($A78,'Annex 2 EHV charges'!$D:$O,9,FALSE)=0,"",VLOOKUP($A78,'Annex 2 EHV charges'!$D:$O,9,FALSE)),"")</f>
        <v/>
      </c>
      <c r="F78" s="178">
        <f>IFERROR(IF(VLOOKUP($A78,'Annex 2 EHV charges'!$D:$O,10,FALSE)=0,"",VLOOKUP($A78,'Annex 2 EHV charges'!$D:$O,10,FALSE)),"")</f>
        <v>569.08000000000004</v>
      </c>
      <c r="G78" s="177">
        <f>IFERROR(IF(VLOOKUP($A78,'Annex 2 EHV charges'!$D:$O,11,FALSE)=0,"",VLOOKUP($A78,'Annex 2 EHV charges'!$D:$O,11,FALSE)),"")</f>
        <v>0.05</v>
      </c>
      <c r="H78" s="177">
        <f>IFERROR(IF(VLOOKUP($A78,'Annex 2 EHV charges'!$D:$O,12,FALSE)=0,"",VLOOKUP($A78,'Annex 2 EHV charges'!$D:$O,12,FALSE)),"")</f>
        <v>0.05</v>
      </c>
    </row>
    <row r="79" spans="1:8" ht="12.75" customHeight="1" x14ac:dyDescent="0.2">
      <c r="A79" s="94" t="str">
        <f t="array" ref="A79">IFERROR(INDEX('Annex 2 EHV charges'!$D$10:$D$301, MATCH(0, IF(ISBLANK('Annex 2 EHV charges'!$D$10:$D$301),1, COUNTIF(A$4:$A78, 'Annex 2 EHV charges'!$D$10:$D$301)), 0)),"")</f>
        <v>HOBACK</v>
      </c>
      <c r="B79" s="93">
        <f>IF($A79="","",VLOOKUP($A79,'Annex 2 EHV charges'!$D:$O,2,0))</f>
        <v>770</v>
      </c>
      <c r="C79" s="94">
        <f>IF($A79="","",VLOOKUP($A79,'Annex 2 EHV charges'!$D:$O,3,0))</f>
        <v>1050000698405</v>
      </c>
      <c r="D79" s="93" t="str">
        <f>IF($A79="","",VLOOKUP($A79,'Annex 2 EHV charges'!$D:$O,4,0))</f>
        <v>HOBACK</v>
      </c>
      <c r="E79" s="176" t="str">
        <f>IFERROR(IF(VLOOKUP($A79,'Annex 2 EHV charges'!$D:$O,9,FALSE)=0,"",VLOOKUP($A79,'Annex 2 EHV charges'!$D:$O,9,FALSE)),"")</f>
        <v/>
      </c>
      <c r="F79" s="178">
        <f>IFERROR(IF(VLOOKUP($A79,'Annex 2 EHV charges'!$D:$O,10,FALSE)=0,"",VLOOKUP($A79,'Annex 2 EHV charges'!$D:$O,10,FALSE)),"")</f>
        <v>859.75</v>
      </c>
      <c r="G79" s="177">
        <f>IFERROR(IF(VLOOKUP($A79,'Annex 2 EHV charges'!$D:$O,11,FALSE)=0,"",VLOOKUP($A79,'Annex 2 EHV charges'!$D:$O,11,FALSE)),"")</f>
        <v>0.05</v>
      </c>
      <c r="H79" s="177">
        <f>IFERROR(IF(VLOOKUP($A79,'Annex 2 EHV charges'!$D:$O,12,FALSE)=0,"",VLOOKUP($A79,'Annex 2 EHV charges'!$D:$O,12,FALSE)),"")</f>
        <v>0.05</v>
      </c>
    </row>
    <row r="80" spans="1:8" ht="12.75" customHeight="1" x14ac:dyDescent="0.2">
      <c r="A80" s="94" t="str">
        <f t="array" ref="A80">IFERROR(INDEX('Annex 2 EHV charges'!$D$10:$D$301, MATCH(0, IF(ISBLANK('Annex 2 EHV charges'!$D$10:$D$301),1, COUNTIF(A$4:$A79, 'Annex 2 EHV charges'!$D$10:$D$301)), 0)),"")</f>
        <v>HOLTON</v>
      </c>
      <c r="B80" s="93">
        <f>IF($A80="","",VLOOKUP($A80,'Annex 2 EHV charges'!$D:$O,2,0))</f>
        <v>662</v>
      </c>
      <c r="C80" s="94">
        <f>IF($A80="","",VLOOKUP($A80,'Annex 2 EHV charges'!$D:$O,3,0))</f>
        <v>1050000769127</v>
      </c>
      <c r="D80" s="93" t="str">
        <f>IF($A80="","",VLOOKUP($A80,'Annex 2 EHV charges'!$D:$O,4,0))</f>
        <v>HOLTON</v>
      </c>
      <c r="E80" s="176" t="str">
        <f>IFERROR(IF(VLOOKUP($A80,'Annex 2 EHV charges'!$D:$O,9,FALSE)=0,"",VLOOKUP($A80,'Annex 2 EHV charges'!$D:$O,9,FALSE)),"")</f>
        <v/>
      </c>
      <c r="F80" s="178">
        <f>IFERROR(IF(VLOOKUP($A80,'Annex 2 EHV charges'!$D:$O,10,FALSE)=0,"",VLOOKUP($A80,'Annex 2 EHV charges'!$D:$O,10,FALSE)),"")</f>
        <v>455.25</v>
      </c>
      <c r="G80" s="177">
        <f>IFERROR(IF(VLOOKUP($A80,'Annex 2 EHV charges'!$D:$O,11,FALSE)=0,"",VLOOKUP($A80,'Annex 2 EHV charges'!$D:$O,11,FALSE)),"")</f>
        <v>0.05</v>
      </c>
      <c r="H80" s="177">
        <f>IFERROR(IF(VLOOKUP($A80,'Annex 2 EHV charges'!$D:$O,12,FALSE)=0,"",VLOOKUP($A80,'Annex 2 EHV charges'!$D:$O,12,FALSE)),"")</f>
        <v>0.05</v>
      </c>
    </row>
    <row r="81" spans="1:8" ht="12.75" customHeight="1" x14ac:dyDescent="0.2">
      <c r="A81" s="94" t="str">
        <f t="array" ref="A81">IFERROR(INDEX('Annex 2 EHV charges'!$D$10:$D$301, MATCH(0, IF(ISBLANK('Annex 2 EHV charges'!$D$10:$D$301),1, COUNTIF(A$4:$A80, 'Annex 2 EHV charges'!$D$10:$D$301)), 0)),"")</f>
        <v>HONYSM</v>
      </c>
      <c r="B81" s="93">
        <f>IF($A81="","",VLOOKUP($A81,'Annex 2 EHV charges'!$D:$O,2,0))</f>
        <v>663</v>
      </c>
      <c r="C81" s="94">
        <f>IF($A81="","",VLOOKUP($A81,'Annex 2 EHV charges'!$D:$O,3,0))</f>
        <v>1050001036689</v>
      </c>
      <c r="D81" s="93" t="str">
        <f>IF($A81="","",VLOOKUP($A81,'Annex 2 EHV charges'!$D:$O,4,0))</f>
        <v>HONYSM</v>
      </c>
      <c r="E81" s="176" t="str">
        <f>IFERROR(IF(VLOOKUP($A81,'Annex 2 EHV charges'!$D:$O,9,FALSE)=0,"",VLOOKUP($A81,'Annex 2 EHV charges'!$D:$O,9,FALSE)),"")</f>
        <v/>
      </c>
      <c r="F81" s="178">
        <f>IFERROR(IF(VLOOKUP($A81,'Annex 2 EHV charges'!$D:$O,10,FALSE)=0,"",VLOOKUP($A81,'Annex 2 EHV charges'!$D:$O,10,FALSE)),"")</f>
        <v>567.22</v>
      </c>
      <c r="G81" s="177">
        <f>IFERROR(IF(VLOOKUP($A81,'Annex 2 EHV charges'!$D:$O,11,FALSE)=0,"",VLOOKUP($A81,'Annex 2 EHV charges'!$D:$O,11,FALSE)),"")</f>
        <v>0.05</v>
      </c>
      <c r="H81" s="177">
        <f>IFERROR(IF(VLOOKUP($A81,'Annex 2 EHV charges'!$D:$O,12,FALSE)=0,"",VLOOKUP($A81,'Annex 2 EHV charges'!$D:$O,12,FALSE)),"")</f>
        <v>0.05</v>
      </c>
    </row>
    <row r="82" spans="1:8" ht="12.75" customHeight="1" x14ac:dyDescent="0.2">
      <c r="A82" s="94" t="str">
        <f t="array" ref="A82">IFERROR(INDEX('Annex 2 EHV charges'!$D$10:$D$301, MATCH(0, IF(ISBLANK('Annex 2 EHV charges'!$D$10:$D$301),1, COUNTIF(A$4:$A81, 'Annex 2 EHV charges'!$D$10:$D$301)), 0)),"")</f>
        <v>HRMT_B</v>
      </c>
      <c r="B82" s="93">
        <f>IF($A82="","",VLOOKUP($A82,'Annex 2 EHV charges'!$D:$O,2,0))</f>
        <v>445</v>
      </c>
      <c r="C82" s="94">
        <f>IF($A82="","",VLOOKUP($A82,'Annex 2 EHV charges'!$D:$O,3,0))</f>
        <v>1050001324405</v>
      </c>
      <c r="D82" s="93" t="str">
        <f>IF($A82="","",VLOOKUP($A82,'Annex 2 EHV charges'!$D:$O,4,0))</f>
        <v>HRMT_B</v>
      </c>
      <c r="E82" s="176" t="str">
        <f>IFERROR(IF(VLOOKUP($A82,'Annex 2 EHV charges'!$D:$O,9,FALSE)=0,"",VLOOKUP($A82,'Annex 2 EHV charges'!$D:$O,9,FALSE)),"")</f>
        <v/>
      </c>
      <c r="F82" s="178">
        <f>IFERROR(IF(VLOOKUP($A82,'Annex 2 EHV charges'!$D:$O,10,FALSE)=0,"",VLOOKUP($A82,'Annex 2 EHV charges'!$D:$O,10,FALSE)),"")</f>
        <v>148.55000000000001</v>
      </c>
      <c r="G82" s="177">
        <f>IFERROR(IF(VLOOKUP($A82,'Annex 2 EHV charges'!$D:$O,11,FALSE)=0,"",VLOOKUP($A82,'Annex 2 EHV charges'!$D:$O,11,FALSE)),"")</f>
        <v>0.05</v>
      </c>
      <c r="H82" s="177">
        <f>IFERROR(IF(VLOOKUP($A82,'Annex 2 EHV charges'!$D:$O,12,FALSE)=0,"",VLOOKUP($A82,'Annex 2 EHV charges'!$D:$O,12,FALSE)),"")</f>
        <v>0.05</v>
      </c>
    </row>
    <row r="83" spans="1:8" ht="12.75" customHeight="1" x14ac:dyDescent="0.2">
      <c r="A83" s="94" t="str">
        <f t="array" ref="A83">IFERROR(INDEX('Annex 2 EHV charges'!$D$10:$D$301, MATCH(0, IF(ISBLANK('Annex 2 EHV charges'!$D$10:$D$301),1, COUNTIF(A$4:$A82, 'Annex 2 EHV charges'!$D$10:$D$301)), 0)),"")</f>
        <v>HRMT_P</v>
      </c>
      <c r="B83" s="93">
        <f>IF($A83="","",VLOOKUP($A83,'Annex 2 EHV charges'!$D:$O,2,0))</f>
        <v>686</v>
      </c>
      <c r="C83" s="94">
        <f>IF($A83="","",VLOOKUP($A83,'Annex 2 EHV charges'!$D:$O,3,0))</f>
        <v>1050001324423</v>
      </c>
      <c r="D83" s="93" t="str">
        <f>IF($A83="","",VLOOKUP($A83,'Annex 2 EHV charges'!$D:$O,4,0))</f>
        <v>HRMT_P</v>
      </c>
      <c r="E83" s="176" t="str">
        <f>IFERROR(IF(VLOOKUP($A83,'Annex 2 EHV charges'!$D:$O,9,FALSE)=0,"",VLOOKUP($A83,'Annex 2 EHV charges'!$D:$O,9,FALSE)),"")</f>
        <v/>
      </c>
      <c r="F83" s="178">
        <f>IFERROR(IF(VLOOKUP($A83,'Annex 2 EHV charges'!$D:$O,10,FALSE)=0,"",VLOOKUP($A83,'Annex 2 EHV charges'!$D:$O,10,FALSE)),"")</f>
        <v>291.27999999999997</v>
      </c>
      <c r="G83" s="177">
        <f>IFERROR(IF(VLOOKUP($A83,'Annex 2 EHV charges'!$D:$O,11,FALSE)=0,"",VLOOKUP($A83,'Annex 2 EHV charges'!$D:$O,11,FALSE)),"")</f>
        <v>0.05</v>
      </c>
      <c r="H83" s="177">
        <f>IFERROR(IF(VLOOKUP($A83,'Annex 2 EHV charges'!$D:$O,12,FALSE)=0,"",VLOOKUP($A83,'Annex 2 EHV charges'!$D:$O,12,FALSE)),"")</f>
        <v>0.05</v>
      </c>
    </row>
    <row r="84" spans="1:8" ht="12.75" customHeight="1" x14ac:dyDescent="0.2">
      <c r="A84" s="94" t="str">
        <f t="array" ref="A84">IFERROR(INDEX('Annex 2 EHV charges'!$D$10:$D$301, MATCH(0, IF(ISBLANK('Annex 2 EHV charges'!$D$10:$D$301),1, COUNTIF(A$4:$A83, 'Annex 2 EHV charges'!$D$10:$D$301)), 0)),"")</f>
        <v>HRSFEN</v>
      </c>
      <c r="B84" s="93">
        <f>IF($A84="","",VLOOKUP($A84,'Annex 2 EHV charges'!$D:$O,2,0))</f>
        <v>689</v>
      </c>
      <c r="C84" s="94">
        <f>IF($A84="","",VLOOKUP($A84,'Annex 2 EHV charges'!$D:$O,3,0))</f>
        <v>1050001041651</v>
      </c>
      <c r="D84" s="93" t="str">
        <f>IF($A84="","",VLOOKUP($A84,'Annex 2 EHV charges'!$D:$O,4,0))</f>
        <v>HRSFEN</v>
      </c>
      <c r="E84" s="176">
        <f>IFERROR(IF(VLOOKUP($A84,'Annex 2 EHV charges'!$D:$O,9,FALSE)=0,"",VLOOKUP($A84,'Annex 2 EHV charges'!$D:$O,9,FALSE)),"")</f>
        <v>-8.3000000000000004E-2</v>
      </c>
      <c r="F84" s="178">
        <f>IFERROR(IF(VLOOKUP($A84,'Annex 2 EHV charges'!$D:$O,10,FALSE)=0,"",VLOOKUP($A84,'Annex 2 EHV charges'!$D:$O,10,FALSE)),"")</f>
        <v>3831.54</v>
      </c>
      <c r="G84" s="177">
        <f>IFERROR(IF(VLOOKUP($A84,'Annex 2 EHV charges'!$D:$O,11,FALSE)=0,"",VLOOKUP($A84,'Annex 2 EHV charges'!$D:$O,11,FALSE)),"")</f>
        <v>0.05</v>
      </c>
      <c r="H84" s="177">
        <f>IFERROR(IF(VLOOKUP($A84,'Annex 2 EHV charges'!$D:$O,12,FALSE)=0,"",VLOOKUP($A84,'Annex 2 EHV charges'!$D:$O,12,FALSE)),"")</f>
        <v>0.05</v>
      </c>
    </row>
    <row r="85" spans="1:8" ht="12.75" customHeight="1" x14ac:dyDescent="0.2">
      <c r="A85" s="94" t="str">
        <f t="array" ref="A85">IFERROR(INDEX('Annex 2 EHV charges'!$D$10:$D$301, MATCH(0, IF(ISBLANK('Annex 2 EHV charges'!$D$10:$D$301),1, COUNTIF(A$4:$A84, 'Annex 2 EHV charges'!$D$10:$D$301)), 0)),"")</f>
        <v>HYDESF</v>
      </c>
      <c r="B85" s="93">
        <f>IF($A85="","",VLOOKUP($A85,'Annex 2 EHV charges'!$D:$O,2,0))</f>
        <v>450</v>
      </c>
      <c r="C85" s="94">
        <f>IF($A85="","",VLOOKUP($A85,'Annex 2 EHV charges'!$D:$O,3,0))</f>
        <v>1050000759722</v>
      </c>
      <c r="D85" s="93" t="str">
        <f>IF($A85="","",VLOOKUP($A85,'Annex 2 EHV charges'!$D:$O,4,0))</f>
        <v>HYDESF</v>
      </c>
      <c r="E85" s="176" t="str">
        <f>IFERROR(IF(VLOOKUP($A85,'Annex 2 EHV charges'!$D:$O,9,FALSE)=0,"",VLOOKUP($A85,'Annex 2 EHV charges'!$D:$O,9,FALSE)),"")</f>
        <v/>
      </c>
      <c r="F85" s="178">
        <f>IFERROR(IF(VLOOKUP($A85,'Annex 2 EHV charges'!$D:$O,10,FALSE)=0,"",VLOOKUP($A85,'Annex 2 EHV charges'!$D:$O,10,FALSE)),"")</f>
        <v>1077.76</v>
      </c>
      <c r="G85" s="177">
        <f>IFERROR(IF(VLOOKUP($A85,'Annex 2 EHV charges'!$D:$O,11,FALSE)=0,"",VLOOKUP($A85,'Annex 2 EHV charges'!$D:$O,11,FALSE)),"")</f>
        <v>0.05</v>
      </c>
      <c r="H85" s="177">
        <f>IFERROR(IF(VLOOKUP($A85,'Annex 2 EHV charges'!$D:$O,12,FALSE)=0,"",VLOOKUP($A85,'Annex 2 EHV charges'!$D:$O,12,FALSE)),"")</f>
        <v>0.05</v>
      </c>
    </row>
    <row r="86" spans="1:8" ht="12.75" customHeight="1" x14ac:dyDescent="0.2">
      <c r="A86" s="94" t="str">
        <f t="array" ref="A86">IFERROR(INDEX('Annex 2 EHV charges'!$D$10:$D$301, MATCH(0, IF(ISBLANK('Annex 2 EHV charges'!$D$10:$D$301),1, COUNTIF(A$4:$A85, 'Annex 2 EHV charges'!$D$10:$D$301)), 0)),"")</f>
        <v>JKSLNE</v>
      </c>
      <c r="B86" s="93">
        <f>IF($A86="","",VLOOKUP($A86,'Annex 2 EHV charges'!$D:$O,2,0))</f>
        <v>451</v>
      </c>
      <c r="C86" s="94">
        <f>IF($A86="","",VLOOKUP($A86,'Annex 2 EHV charges'!$D:$O,3,0))</f>
        <v>1050000556046</v>
      </c>
      <c r="D86" s="93" t="str">
        <f>IF($A86="","",VLOOKUP($A86,'Annex 2 EHV charges'!$D:$O,4,0))</f>
        <v>JKSLNE</v>
      </c>
      <c r="E86" s="176" t="str">
        <f>IFERROR(IF(VLOOKUP($A86,'Annex 2 EHV charges'!$D:$O,9,FALSE)=0,"",VLOOKUP($A86,'Annex 2 EHV charges'!$D:$O,9,FALSE)),"")</f>
        <v/>
      </c>
      <c r="F86" s="178">
        <f>IFERROR(IF(VLOOKUP($A86,'Annex 2 EHV charges'!$D:$O,10,FALSE)=0,"",VLOOKUP($A86,'Annex 2 EHV charges'!$D:$O,10,FALSE)),"")</f>
        <v>3984.13</v>
      </c>
      <c r="G86" s="177">
        <f>IFERROR(IF(VLOOKUP($A86,'Annex 2 EHV charges'!$D:$O,11,FALSE)=0,"",VLOOKUP($A86,'Annex 2 EHV charges'!$D:$O,11,FALSE)),"")</f>
        <v>0.05</v>
      </c>
      <c r="H86" s="177">
        <f>IFERROR(IF(VLOOKUP($A86,'Annex 2 EHV charges'!$D:$O,12,FALSE)=0,"",VLOOKUP($A86,'Annex 2 EHV charges'!$D:$O,12,FALSE)),"")</f>
        <v>0.05</v>
      </c>
    </row>
    <row r="87" spans="1:8" ht="12.75" customHeight="1" x14ac:dyDescent="0.2">
      <c r="A87" s="94" t="str">
        <f t="array" ref="A87">IFERROR(INDEX('Annex 2 EHV charges'!$D$10:$D$301, MATCH(0, IF(ISBLANK('Annex 2 EHV charges'!$D$10:$D$301),1, COUNTIF(A$4:$A86, 'Annex 2 EHV charges'!$D$10:$D$301)), 0)),"")</f>
        <v>KNNING</v>
      </c>
      <c r="B87" s="93">
        <f>IF($A87="","",VLOOKUP($A87,'Annex 2 EHV charges'!$D:$O,2,0))</f>
        <v>452</v>
      </c>
      <c r="C87" s="94">
        <f>IF($A87="","",VLOOKUP($A87,'Annex 2 EHV charges'!$D:$O,3,0))</f>
        <v>1050000823467</v>
      </c>
      <c r="D87" s="93" t="str">
        <f>IF($A87="","",VLOOKUP($A87,'Annex 2 EHV charges'!$D:$O,4,0))</f>
        <v>KNNING</v>
      </c>
      <c r="E87" s="176" t="str">
        <f>IFERROR(IF(VLOOKUP($A87,'Annex 2 EHV charges'!$D:$O,9,FALSE)=0,"",VLOOKUP($A87,'Annex 2 EHV charges'!$D:$O,9,FALSE)),"")</f>
        <v/>
      </c>
      <c r="F87" s="178">
        <f>IFERROR(IF(VLOOKUP($A87,'Annex 2 EHV charges'!$D:$O,10,FALSE)=0,"",VLOOKUP($A87,'Annex 2 EHV charges'!$D:$O,10,FALSE)),"")</f>
        <v>537.57000000000005</v>
      </c>
      <c r="G87" s="177">
        <f>IFERROR(IF(VLOOKUP($A87,'Annex 2 EHV charges'!$D:$O,11,FALSE)=0,"",VLOOKUP($A87,'Annex 2 EHV charges'!$D:$O,11,FALSE)),"")</f>
        <v>0.05</v>
      </c>
      <c r="H87" s="177">
        <f>IFERROR(IF(VLOOKUP($A87,'Annex 2 EHV charges'!$D:$O,12,FALSE)=0,"",VLOOKUP($A87,'Annex 2 EHV charges'!$D:$O,12,FALSE)),"")</f>
        <v>0.05</v>
      </c>
    </row>
    <row r="88" spans="1:8" ht="12.75" customHeight="1" x14ac:dyDescent="0.2">
      <c r="A88" s="94" t="str">
        <f t="array" ref="A88">IFERROR(INDEX('Annex 2 EHV charges'!$D$10:$D$301, MATCH(0, IF(ISBLANK('Annex 2 EHV charges'!$D$10:$D$301),1, COUNTIF(A$4:$A87, 'Annex 2 EHV charges'!$D$10:$D$301)), 0)),"")</f>
        <v>LBZSNS</v>
      </c>
      <c r="B88" s="93">
        <f>IF($A88="","",VLOOKUP($A88,'Annex 2 EHV charges'!$D:$O,2,0))</f>
        <v>664</v>
      </c>
      <c r="C88" s="94">
        <f>IF($A88="","",VLOOKUP($A88,'Annex 2 EHV charges'!$D:$O,3,0))</f>
        <v>1050000687495</v>
      </c>
      <c r="D88" s="93" t="str">
        <f>IF($A88="","",VLOOKUP($A88,'Annex 2 EHV charges'!$D:$O,4,0))</f>
        <v>LBZSNS</v>
      </c>
      <c r="E88" s="176">
        <f>IFERROR(IF(VLOOKUP($A88,'Annex 2 EHV charges'!$D:$O,9,FALSE)=0,"",VLOOKUP($A88,'Annex 2 EHV charges'!$D:$O,9,FALSE)),"")</f>
        <v>-5.5289999999999999</v>
      </c>
      <c r="F88" s="178">
        <f>IFERROR(IF(VLOOKUP($A88,'Annex 2 EHV charges'!$D:$O,10,FALSE)=0,"",VLOOKUP($A88,'Annex 2 EHV charges'!$D:$O,10,FALSE)),"")</f>
        <v>134.88999999999999</v>
      </c>
      <c r="G88" s="177">
        <f>IFERROR(IF(VLOOKUP($A88,'Annex 2 EHV charges'!$D:$O,11,FALSE)=0,"",VLOOKUP($A88,'Annex 2 EHV charges'!$D:$O,11,FALSE)),"")</f>
        <v>0.05</v>
      </c>
      <c r="H88" s="177">
        <f>IFERROR(IF(VLOOKUP($A88,'Annex 2 EHV charges'!$D:$O,12,FALSE)=0,"",VLOOKUP($A88,'Annex 2 EHV charges'!$D:$O,12,FALSE)),"")</f>
        <v>0.05</v>
      </c>
    </row>
    <row r="89" spans="1:8" ht="12.75" customHeight="1" x14ac:dyDescent="0.2">
      <c r="A89" s="94" t="str">
        <f t="array" ref="A89">IFERROR(INDEX('Annex 2 EHV charges'!$D$10:$D$301, MATCH(0, IF(ISBLANK('Annex 2 EHV charges'!$D$10:$D$301),1, COUNTIF(A$4:$A88, 'Annex 2 EHV charges'!$D$10:$D$301)), 0)),"")</f>
        <v>LCKFRD</v>
      </c>
      <c r="B89" s="93">
        <f>IF($A89="","",VLOOKUP($A89,'Annex 2 EHV charges'!$D:$O,2,0))</f>
        <v>760</v>
      </c>
      <c r="C89" s="94">
        <f>IF($A89="","",VLOOKUP($A89,'Annex 2 EHV charges'!$D:$O,3,0))</f>
        <v>1050000578699</v>
      </c>
      <c r="D89" s="93" t="str">
        <f>IF($A89="","",VLOOKUP($A89,'Annex 2 EHV charges'!$D:$O,4,0))</f>
        <v>LCKFRD</v>
      </c>
      <c r="E89" s="176" t="str">
        <f>IFERROR(IF(VLOOKUP($A89,'Annex 2 EHV charges'!$D:$O,9,FALSE)=0,"",VLOOKUP($A89,'Annex 2 EHV charges'!$D:$O,9,FALSE)),"")</f>
        <v/>
      </c>
      <c r="F89" s="178">
        <f>IFERROR(IF(VLOOKUP($A89,'Annex 2 EHV charges'!$D:$O,10,FALSE)=0,"",VLOOKUP($A89,'Annex 2 EHV charges'!$D:$O,10,FALSE)),"")</f>
        <v>824.47</v>
      </c>
      <c r="G89" s="177">
        <f>IFERROR(IF(VLOOKUP($A89,'Annex 2 EHV charges'!$D:$O,11,FALSE)=0,"",VLOOKUP($A89,'Annex 2 EHV charges'!$D:$O,11,FALSE)),"")</f>
        <v>0.05</v>
      </c>
      <c r="H89" s="177">
        <f>IFERROR(IF(VLOOKUP($A89,'Annex 2 EHV charges'!$D:$O,12,FALSE)=0,"",VLOOKUP($A89,'Annex 2 EHV charges'!$D:$O,12,FALSE)),"")</f>
        <v>0.05</v>
      </c>
    </row>
    <row r="90" spans="1:8" ht="12.75" customHeight="1" x14ac:dyDescent="0.2">
      <c r="A90" s="94" t="str">
        <f t="array" ref="A90">IFERROR(INDEX('Annex 2 EHV charges'!$D$10:$D$301, MATCH(0, IF(ISBLANK('Annex 2 EHV charges'!$D$10:$D$301),1, COUNTIF(A$4:$A89, 'Annex 2 EHV charges'!$D$10:$D$301)), 0)),"")</f>
        <v>LDAHSF</v>
      </c>
      <c r="B90" s="93">
        <f>IF($A90="","",VLOOKUP($A90,'Annex 2 EHV charges'!$D:$O,2,0))</f>
        <v>468</v>
      </c>
      <c r="C90" s="94">
        <f>IF($A90="","",VLOOKUP($A90,'Annex 2 EHV charges'!$D:$O,3,0))</f>
        <v>1030083805795</v>
      </c>
      <c r="D90" s="93" t="str">
        <f>IF($A90="","",VLOOKUP($A90,'Annex 2 EHV charges'!$D:$O,4,0))</f>
        <v>LDAHSF</v>
      </c>
      <c r="E90" s="176" t="str">
        <f>IFERROR(IF(VLOOKUP($A90,'Annex 2 EHV charges'!$D:$O,9,FALSE)=0,"",VLOOKUP($A90,'Annex 2 EHV charges'!$D:$O,9,FALSE)),"")</f>
        <v/>
      </c>
      <c r="F90" s="178">
        <f>IFERROR(IF(VLOOKUP($A90,'Annex 2 EHV charges'!$D:$O,10,FALSE)=0,"",VLOOKUP($A90,'Annex 2 EHV charges'!$D:$O,10,FALSE)),"")</f>
        <v>557.07000000000005</v>
      </c>
      <c r="G90" s="177">
        <f>IFERROR(IF(VLOOKUP($A90,'Annex 2 EHV charges'!$D:$O,11,FALSE)=0,"",VLOOKUP($A90,'Annex 2 EHV charges'!$D:$O,11,FALSE)),"")</f>
        <v>0.05</v>
      </c>
      <c r="H90" s="177">
        <f>IFERROR(IF(VLOOKUP($A90,'Annex 2 EHV charges'!$D:$O,12,FALSE)=0,"",VLOOKUP($A90,'Annex 2 EHV charges'!$D:$O,12,FALSE)),"")</f>
        <v>0.05</v>
      </c>
    </row>
    <row r="91" spans="1:8" ht="12.75" customHeight="1" x14ac:dyDescent="0.2">
      <c r="A91" s="94" t="str">
        <f t="array" ref="A91">IFERROR(INDEX('Annex 2 EHV charges'!$D$10:$D$301, MATCH(0, IF(ISBLANK('Annex 2 EHV charges'!$D$10:$D$301),1, COUNTIF(A$4:$A90, 'Annex 2 EHV charges'!$D$10:$D$301)), 0)),"")</f>
        <v>LEICSQ</v>
      </c>
      <c r="B91" s="93">
        <f>IF($A91="","",VLOOKUP($A91,'Annex 2 EHV charges'!$D:$O,2,0))</f>
        <v>665</v>
      </c>
      <c r="C91" s="94">
        <f>IF($A91="","",VLOOKUP($A91,'Annex 2 EHV charges'!$D:$O,3,0))</f>
        <v>1050001008690</v>
      </c>
      <c r="D91" s="93" t="str">
        <f>IF($A91="","",VLOOKUP($A91,'Annex 2 EHV charges'!$D:$O,4,0))</f>
        <v>LEICSQ</v>
      </c>
      <c r="E91" s="176" t="str">
        <f>IFERROR(IF(VLOOKUP($A91,'Annex 2 EHV charges'!$D:$O,9,FALSE)=0,"",VLOOKUP($A91,'Annex 2 EHV charges'!$D:$O,9,FALSE)),"")</f>
        <v/>
      </c>
      <c r="F91" s="178">
        <f>IFERROR(IF(VLOOKUP($A91,'Annex 2 EHV charges'!$D:$O,10,FALSE)=0,"",VLOOKUP($A91,'Annex 2 EHV charges'!$D:$O,10,FALSE)),"")</f>
        <v>2640.28</v>
      </c>
      <c r="G91" s="177">
        <f>IFERROR(IF(VLOOKUP($A91,'Annex 2 EHV charges'!$D:$O,11,FALSE)=0,"",VLOOKUP($A91,'Annex 2 EHV charges'!$D:$O,11,FALSE)),"")</f>
        <v>0.05</v>
      </c>
      <c r="H91" s="177">
        <f>IFERROR(IF(VLOOKUP($A91,'Annex 2 EHV charges'!$D:$O,12,FALSE)=0,"",VLOOKUP($A91,'Annex 2 EHV charges'!$D:$O,12,FALSE)),"")</f>
        <v>0.05</v>
      </c>
    </row>
    <row r="92" spans="1:8" ht="12.75" customHeight="1" x14ac:dyDescent="0.2">
      <c r="A92" s="94" t="str">
        <f t="array" ref="A92">IFERROR(INDEX('Annex 2 EHV charges'!$D$10:$D$301, MATCH(0, IF(ISBLANK('Annex 2 EHV charges'!$D$10:$D$301),1, COUNTIF(A$4:$A91, 'Annex 2 EHV charges'!$D$10:$D$301)), 0)),"")</f>
        <v>LEXHSF</v>
      </c>
      <c r="B92" s="93">
        <f>IF($A92="","",VLOOKUP($A92,'Annex 2 EHV charges'!$D:$O,2,0))</f>
        <v>763</v>
      </c>
      <c r="C92" s="94">
        <f>IF($A92="","",VLOOKUP($A92,'Annex 2 EHV charges'!$D:$O,3,0))</f>
        <v>1030083805331</v>
      </c>
      <c r="D92" s="93" t="str">
        <f>IF($A92="","",VLOOKUP($A92,'Annex 2 EHV charges'!$D:$O,4,0))</f>
        <v>LEXHSF</v>
      </c>
      <c r="E92" s="176" t="str">
        <f>IFERROR(IF(VLOOKUP($A92,'Annex 2 EHV charges'!$D:$O,9,FALSE)=0,"",VLOOKUP($A92,'Annex 2 EHV charges'!$D:$O,9,FALSE)),"")</f>
        <v/>
      </c>
      <c r="F92" s="178">
        <f>IFERROR(IF(VLOOKUP($A92,'Annex 2 EHV charges'!$D:$O,10,FALSE)=0,"",VLOOKUP($A92,'Annex 2 EHV charges'!$D:$O,10,FALSE)),"")</f>
        <v>644.82000000000005</v>
      </c>
      <c r="G92" s="177">
        <f>IFERROR(IF(VLOOKUP($A92,'Annex 2 EHV charges'!$D:$O,11,FALSE)=0,"",VLOOKUP($A92,'Annex 2 EHV charges'!$D:$O,11,FALSE)),"")</f>
        <v>0.05</v>
      </c>
      <c r="H92" s="177">
        <f>IFERROR(IF(VLOOKUP($A92,'Annex 2 EHV charges'!$D:$O,12,FALSE)=0,"",VLOOKUP($A92,'Annex 2 EHV charges'!$D:$O,12,FALSE)),"")</f>
        <v>0.05</v>
      </c>
    </row>
    <row r="93" spans="1:8" ht="12.75" customHeight="1" x14ac:dyDescent="0.2">
      <c r="A93" s="94" t="str">
        <f t="array" ref="A93">IFERROR(INDEX('Annex 2 EHV charges'!$D$10:$D$301, MATCH(0, IF(ISBLANK('Annex 2 EHV charges'!$D$10:$D$301),1, COUNTIF(A$4:$A92, 'Annex 2 EHV charges'!$D$10:$D$301)), 0)),"")</f>
        <v>LNGFRD</v>
      </c>
      <c r="B93" s="93">
        <f>IF($A93="","",VLOOKUP($A93,'Annex 2 EHV charges'!$D:$O,2,0))</f>
        <v>453</v>
      </c>
      <c r="C93" s="94">
        <f>IF($A93="","",VLOOKUP($A93,'Annex 2 EHV charges'!$D:$O,3,0))</f>
        <v>1050000698247</v>
      </c>
      <c r="D93" s="93" t="str">
        <f>IF($A93="","",VLOOKUP($A93,'Annex 2 EHV charges'!$D:$O,4,0))</f>
        <v>LNGFRD</v>
      </c>
      <c r="E93" s="176" t="str">
        <f>IFERROR(IF(VLOOKUP($A93,'Annex 2 EHV charges'!$D:$O,9,FALSE)=0,"",VLOOKUP($A93,'Annex 2 EHV charges'!$D:$O,9,FALSE)),"")</f>
        <v/>
      </c>
      <c r="F93" s="178">
        <f>IFERROR(IF(VLOOKUP($A93,'Annex 2 EHV charges'!$D:$O,10,FALSE)=0,"",VLOOKUP($A93,'Annex 2 EHV charges'!$D:$O,10,FALSE)),"")</f>
        <v>2475.56</v>
      </c>
      <c r="G93" s="177">
        <f>IFERROR(IF(VLOOKUP($A93,'Annex 2 EHV charges'!$D:$O,11,FALSE)=0,"",VLOOKUP($A93,'Annex 2 EHV charges'!$D:$O,11,FALSE)),"")</f>
        <v>0.05</v>
      </c>
      <c r="H93" s="177">
        <f>IFERROR(IF(VLOOKUP($A93,'Annex 2 EHV charges'!$D:$O,12,FALSE)=0,"",VLOOKUP($A93,'Annex 2 EHV charges'!$D:$O,12,FALSE)),"")</f>
        <v>0.05</v>
      </c>
    </row>
    <row r="94" spans="1:8" ht="12.75" customHeight="1" x14ac:dyDescent="0.2">
      <c r="A94" s="94" t="str">
        <f t="array" ref="A94">IFERROR(INDEX('Annex 2 EHV charges'!$D$10:$D$301, MATCH(0, IF(ISBLANK('Annex 2 EHV charges'!$D$10:$D$301),1, COUNTIF(A$4:$A93, 'Annex 2 EHV charges'!$D$10:$D$301)), 0)),"")</f>
        <v>LNGHO2</v>
      </c>
      <c r="B94" s="93">
        <f>IF($A94="","",VLOOKUP($A94,'Annex 2 EHV charges'!$D:$O,2,0))</f>
        <v>455</v>
      </c>
      <c r="C94" s="94">
        <f>IF($A94="","",VLOOKUP($A94,'Annex 2 EHV charges'!$D:$O,3,0))</f>
        <v>1050000802945</v>
      </c>
      <c r="D94" s="93" t="str">
        <f>IF($A94="","",VLOOKUP($A94,'Annex 2 EHV charges'!$D:$O,4,0))</f>
        <v>LNGHO2</v>
      </c>
      <c r="E94" s="176" t="str">
        <f>IFERROR(IF(VLOOKUP($A94,'Annex 2 EHV charges'!$D:$O,9,FALSE)=0,"",VLOOKUP($A94,'Annex 2 EHV charges'!$D:$O,9,FALSE)),"")</f>
        <v/>
      </c>
      <c r="F94" s="178">
        <f>IFERROR(IF(VLOOKUP($A94,'Annex 2 EHV charges'!$D:$O,10,FALSE)=0,"",VLOOKUP($A94,'Annex 2 EHV charges'!$D:$O,10,FALSE)),"")</f>
        <v>1014.52</v>
      </c>
      <c r="G94" s="177">
        <f>IFERROR(IF(VLOOKUP($A94,'Annex 2 EHV charges'!$D:$O,11,FALSE)=0,"",VLOOKUP($A94,'Annex 2 EHV charges'!$D:$O,11,FALSE)),"")</f>
        <v>0.05</v>
      </c>
      <c r="H94" s="177">
        <f>IFERROR(IF(VLOOKUP($A94,'Annex 2 EHV charges'!$D:$O,12,FALSE)=0,"",VLOOKUP($A94,'Annex 2 EHV charges'!$D:$O,12,FALSE)),"")</f>
        <v>0.05</v>
      </c>
    </row>
    <row r="95" spans="1:8" ht="12.75" customHeight="1" x14ac:dyDescent="0.2">
      <c r="A95" s="94" t="str">
        <f t="array" ref="A95">IFERROR(INDEX('Annex 2 EHV charges'!$D$10:$D$301, MATCH(0, IF(ISBLANK('Annex 2 EHV charges'!$D$10:$D$301),1, COUNTIF(A$4:$A94, 'Annex 2 EHV charges'!$D$10:$D$301)), 0)),"")</f>
        <v>LNGHOE</v>
      </c>
      <c r="B95" s="93">
        <f>IF($A95="","",VLOOKUP($A95,'Annex 2 EHV charges'!$D:$O,2,0))</f>
        <v>454</v>
      </c>
      <c r="C95" s="94">
        <f>IF($A95="","",VLOOKUP($A95,'Annex 2 EHV charges'!$D:$O,3,0))</f>
        <v>1050000774118</v>
      </c>
      <c r="D95" s="93" t="str">
        <f>IF($A95="","",VLOOKUP($A95,'Annex 2 EHV charges'!$D:$O,4,0))</f>
        <v>LNGHOE</v>
      </c>
      <c r="E95" s="176" t="str">
        <f>IFERROR(IF(VLOOKUP($A95,'Annex 2 EHV charges'!$D:$O,9,FALSE)=0,"",VLOOKUP($A95,'Annex 2 EHV charges'!$D:$O,9,FALSE)),"")</f>
        <v/>
      </c>
      <c r="F95" s="178">
        <f>IFERROR(IF(VLOOKUP($A95,'Annex 2 EHV charges'!$D:$O,10,FALSE)=0,"",VLOOKUP($A95,'Annex 2 EHV charges'!$D:$O,10,FALSE)),"")</f>
        <v>1003.37</v>
      </c>
      <c r="G95" s="177">
        <f>IFERROR(IF(VLOOKUP($A95,'Annex 2 EHV charges'!$D:$O,11,FALSE)=0,"",VLOOKUP($A95,'Annex 2 EHV charges'!$D:$O,11,FALSE)),"")</f>
        <v>0.05</v>
      </c>
      <c r="H95" s="177">
        <f>IFERROR(IF(VLOOKUP($A95,'Annex 2 EHV charges'!$D:$O,12,FALSE)=0,"",VLOOKUP($A95,'Annex 2 EHV charges'!$D:$O,12,FALSE)),"")</f>
        <v>0.05</v>
      </c>
    </row>
    <row r="96" spans="1:8" ht="12.75" customHeight="1" x14ac:dyDescent="0.2">
      <c r="A96" s="94" t="str">
        <f t="array" ref="A96">IFERROR(INDEX('Annex 2 EHV charges'!$D$10:$D$301, MATCH(0, IF(ISBLANK('Annex 2 EHV charges'!$D$10:$D$301),1, COUNTIF(A$4:$A95, 'Annex 2 EHV charges'!$D$10:$D$301)), 0)),"")</f>
        <v>LWRNCE</v>
      </c>
      <c r="B96" s="93">
        <f>IF($A96="","",VLOOKUP($A96,'Annex 2 EHV charges'!$D:$O,2,0))</f>
        <v>667</v>
      </c>
      <c r="C96" s="94">
        <f>IF($A96="","",VLOOKUP($A96,'Annex 2 EHV charges'!$D:$O,3,0))</f>
        <v>1050001008636</v>
      </c>
      <c r="D96" s="93" t="str">
        <f>IF($A96="","",VLOOKUP($A96,'Annex 2 EHV charges'!$D:$O,4,0))</f>
        <v>LWRNCE</v>
      </c>
      <c r="E96" s="176" t="str">
        <f>IFERROR(IF(VLOOKUP($A96,'Annex 2 EHV charges'!$D:$O,9,FALSE)=0,"",VLOOKUP($A96,'Annex 2 EHV charges'!$D:$O,9,FALSE)),"")</f>
        <v/>
      </c>
      <c r="F96" s="178">
        <f>IFERROR(IF(VLOOKUP($A96,'Annex 2 EHV charges'!$D:$O,10,FALSE)=0,"",VLOOKUP($A96,'Annex 2 EHV charges'!$D:$O,10,FALSE)),"")</f>
        <v>1801.95</v>
      </c>
      <c r="G96" s="177">
        <f>IFERROR(IF(VLOOKUP($A96,'Annex 2 EHV charges'!$D:$O,11,FALSE)=0,"",VLOOKUP($A96,'Annex 2 EHV charges'!$D:$O,11,FALSE)),"")</f>
        <v>0.05</v>
      </c>
      <c r="H96" s="177">
        <f>IFERROR(IF(VLOOKUP($A96,'Annex 2 EHV charges'!$D:$O,12,FALSE)=0,"",VLOOKUP($A96,'Annex 2 EHV charges'!$D:$O,12,FALSE)),"")</f>
        <v>0.05</v>
      </c>
    </row>
    <row r="97" spans="1:8" ht="12.75" customHeight="1" x14ac:dyDescent="0.2">
      <c r="A97" s="94" t="str">
        <f t="array" ref="A97">IFERROR(INDEX('Annex 2 EHV charges'!$D$10:$D$301, MATCH(0, IF(ISBLANK('Annex 2 EHV charges'!$D$10:$D$301),1, COUNTIF(A$4:$A96, 'Annex 2 EHV charges'!$D$10:$D$301)), 0)),"")</f>
        <v>LYONSH</v>
      </c>
      <c r="B97" s="93">
        <f>IF($A97="","",VLOOKUP($A97,'Annex 2 EHV charges'!$D:$O,2,0))</f>
        <v>688</v>
      </c>
      <c r="C97" s="94">
        <f>IF($A97="","",VLOOKUP($A97,'Annex 2 EHV charges'!$D:$O,3,0))</f>
        <v>1050001205354</v>
      </c>
      <c r="D97" s="93" t="str">
        <f>IF($A97="","",VLOOKUP($A97,'Annex 2 EHV charges'!$D:$O,4,0))</f>
        <v>LYONSH</v>
      </c>
      <c r="E97" s="176" t="str">
        <f>IFERROR(IF(VLOOKUP($A97,'Annex 2 EHV charges'!$D:$O,9,FALSE)=0,"",VLOOKUP($A97,'Annex 2 EHV charges'!$D:$O,9,FALSE)),"")</f>
        <v/>
      </c>
      <c r="F97" s="178">
        <f>IFERROR(IF(VLOOKUP($A97,'Annex 2 EHV charges'!$D:$O,10,FALSE)=0,"",VLOOKUP($A97,'Annex 2 EHV charges'!$D:$O,10,FALSE)),"")</f>
        <v>588.9</v>
      </c>
      <c r="G97" s="177">
        <f>IFERROR(IF(VLOOKUP($A97,'Annex 2 EHV charges'!$D:$O,11,FALSE)=0,"",VLOOKUP($A97,'Annex 2 EHV charges'!$D:$O,11,FALSE)),"")</f>
        <v>0.05</v>
      </c>
      <c r="H97" s="177">
        <f>IFERROR(IF(VLOOKUP($A97,'Annex 2 EHV charges'!$D:$O,12,FALSE)=0,"",VLOOKUP($A97,'Annex 2 EHV charges'!$D:$O,12,FALSE)),"")</f>
        <v>0.05</v>
      </c>
    </row>
    <row r="98" spans="1:8" ht="12.75" customHeight="1" x14ac:dyDescent="0.2">
      <c r="A98" s="94" t="str">
        <f t="array" ref="A98">IFERROR(INDEX('Annex 2 EHV charges'!$D$10:$D$301, MATCH(0, IF(ISBLANK('Annex 2 EHV charges'!$D$10:$D$301),1, COUNTIF(A$4:$A97, 'Annex 2 EHV charges'!$D$10:$D$301)), 0)),"")</f>
        <v>MANFRM</v>
      </c>
      <c r="B98" s="93">
        <f>IF($A98="","",VLOOKUP($A98,'Annex 2 EHV charges'!$D:$O,2,0))</f>
        <v>668</v>
      </c>
      <c r="C98" s="94">
        <f>IF($A98="","",VLOOKUP($A98,'Annex 2 EHV charges'!$D:$O,3,0))</f>
        <v>1050000961370</v>
      </c>
      <c r="D98" s="93" t="str">
        <f>IF($A98="","",VLOOKUP($A98,'Annex 2 EHV charges'!$D:$O,4,0))</f>
        <v>MANFRM</v>
      </c>
      <c r="E98" s="176" t="str">
        <f>IFERROR(IF(VLOOKUP($A98,'Annex 2 EHV charges'!$D:$O,9,FALSE)=0,"",VLOOKUP($A98,'Annex 2 EHV charges'!$D:$O,9,FALSE)),"")</f>
        <v/>
      </c>
      <c r="F98" s="178">
        <f>IFERROR(IF(VLOOKUP($A98,'Annex 2 EHV charges'!$D:$O,10,FALSE)=0,"",VLOOKUP($A98,'Annex 2 EHV charges'!$D:$O,10,FALSE)),"")</f>
        <v>3421.19</v>
      </c>
      <c r="G98" s="177">
        <f>IFERROR(IF(VLOOKUP($A98,'Annex 2 EHV charges'!$D:$O,11,FALSE)=0,"",VLOOKUP($A98,'Annex 2 EHV charges'!$D:$O,11,FALSE)),"")</f>
        <v>0.05</v>
      </c>
      <c r="H98" s="177">
        <f>IFERROR(IF(VLOOKUP($A98,'Annex 2 EHV charges'!$D:$O,12,FALSE)=0,"",VLOOKUP($A98,'Annex 2 EHV charges'!$D:$O,12,FALSE)),"")</f>
        <v>0.05</v>
      </c>
    </row>
    <row r="99" spans="1:8" ht="12.75" customHeight="1" x14ac:dyDescent="0.2">
      <c r="A99" s="94" t="str">
        <f t="array" ref="A99">IFERROR(INDEX('Annex 2 EHV charges'!$D$10:$D$301, MATCH(0, IF(ISBLANK('Annex 2 EHV charges'!$D$10:$D$301),1, COUNTIF(A$4:$A98, 'Annex 2 EHV charges'!$D$10:$D$301)), 0)),"")</f>
        <v>MANORF</v>
      </c>
      <c r="B99" s="93">
        <f>IF($A99="","",VLOOKUP($A99,'Annex 2 EHV charges'!$D:$O,2,0))</f>
        <v>456</v>
      </c>
      <c r="C99" s="94">
        <f>IF($A99="","",VLOOKUP($A99,'Annex 2 EHV charges'!$D:$O,3,0))</f>
        <v>1050000843659</v>
      </c>
      <c r="D99" s="93" t="str">
        <f>IF($A99="","",VLOOKUP($A99,'Annex 2 EHV charges'!$D:$O,4,0))</f>
        <v>MANORF</v>
      </c>
      <c r="E99" s="176" t="str">
        <f>IFERROR(IF(VLOOKUP($A99,'Annex 2 EHV charges'!$D:$O,9,FALSE)=0,"",VLOOKUP($A99,'Annex 2 EHV charges'!$D:$O,9,FALSE)),"")</f>
        <v/>
      </c>
      <c r="F99" s="178">
        <f>IFERROR(IF(VLOOKUP($A99,'Annex 2 EHV charges'!$D:$O,10,FALSE)=0,"",VLOOKUP($A99,'Annex 2 EHV charges'!$D:$O,10,FALSE)),"")</f>
        <v>727.09</v>
      </c>
      <c r="G99" s="177">
        <f>IFERROR(IF(VLOOKUP($A99,'Annex 2 EHV charges'!$D:$O,11,FALSE)=0,"",VLOOKUP($A99,'Annex 2 EHV charges'!$D:$O,11,FALSE)),"")</f>
        <v>0.05</v>
      </c>
      <c r="H99" s="177">
        <f>IFERROR(IF(VLOOKUP($A99,'Annex 2 EHV charges'!$D:$O,12,FALSE)=0,"",VLOOKUP($A99,'Annex 2 EHV charges'!$D:$O,12,FALSE)),"")</f>
        <v>0.05</v>
      </c>
    </row>
    <row r="100" spans="1:8" ht="12.75" customHeight="1" x14ac:dyDescent="0.2">
      <c r="A100" s="94" t="str">
        <f t="array" ref="A100">IFERROR(INDEX('Annex 2 EHV charges'!$D$10:$D$301, MATCH(0, IF(ISBLANK('Annex 2 EHV charges'!$D$10:$D$301),1, COUNTIF(A$4:$A99, 'Annex 2 EHV charges'!$D$10:$D$301)), 0)),"")</f>
        <v>MDLWCK</v>
      </c>
      <c r="B100" s="93">
        <f>IF($A100="","",VLOOKUP($A100,'Annex 2 EHV charges'!$D:$O,2,0))</f>
        <v>711</v>
      </c>
      <c r="C100" s="94">
        <f>IF($A100="","",VLOOKUP($A100,'Annex 2 EHV charges'!$D:$O,3,0))</f>
        <v>1050000543241</v>
      </c>
      <c r="D100" s="93" t="str">
        <f>IF($A100="","",VLOOKUP($A100,'Annex 2 EHV charges'!$D:$O,4,0))</f>
        <v>MDLWCK</v>
      </c>
      <c r="E100" s="176" t="str">
        <f>IFERROR(IF(VLOOKUP($A100,'Annex 2 EHV charges'!$D:$O,9,FALSE)=0,"",VLOOKUP($A100,'Annex 2 EHV charges'!$D:$O,9,FALSE)),"")</f>
        <v/>
      </c>
      <c r="F100" s="178">
        <f>IFERROR(IF(VLOOKUP($A100,'Annex 2 EHV charges'!$D:$O,10,FALSE)=0,"",VLOOKUP($A100,'Annex 2 EHV charges'!$D:$O,10,FALSE)),"")</f>
        <v>5431.81</v>
      </c>
      <c r="G100" s="177">
        <f>IFERROR(IF(VLOOKUP($A100,'Annex 2 EHV charges'!$D:$O,11,FALSE)=0,"",VLOOKUP($A100,'Annex 2 EHV charges'!$D:$O,11,FALSE)),"")</f>
        <v>0.05</v>
      </c>
      <c r="H100" s="177">
        <f>IFERROR(IF(VLOOKUP($A100,'Annex 2 EHV charges'!$D:$O,12,FALSE)=0,"",VLOOKUP($A100,'Annex 2 EHV charges'!$D:$O,12,FALSE)),"")</f>
        <v>0.05</v>
      </c>
    </row>
    <row r="101" spans="1:8" ht="12.75" customHeight="1" x14ac:dyDescent="0.2">
      <c r="A101" s="94" t="str">
        <f t="array" ref="A101">IFERROR(INDEX('Annex 2 EHV charges'!$D$10:$D$301, MATCH(0, IF(ISBLANK('Annex 2 EHV charges'!$D$10:$D$301),1, COUNTIF(A$4:$A100, 'Annex 2 EHV charges'!$D$10:$D$301)), 0)),"")</f>
        <v>MDWFRM</v>
      </c>
      <c r="B101" s="93">
        <f>IF($A101="","",VLOOKUP($A101,'Annex 2 EHV charges'!$D:$O,2,0))</f>
        <v>765</v>
      </c>
      <c r="C101" s="94">
        <f>IF($A101="","",VLOOKUP($A101,'Annex 2 EHV charges'!$D:$O,3,0))</f>
        <v>1050000579266</v>
      </c>
      <c r="D101" s="93" t="str">
        <f>IF($A101="","",VLOOKUP($A101,'Annex 2 EHV charges'!$D:$O,4,0))</f>
        <v>MDWFRM</v>
      </c>
      <c r="E101" s="176" t="str">
        <f>IFERROR(IF(VLOOKUP($A101,'Annex 2 EHV charges'!$D:$O,9,FALSE)=0,"",VLOOKUP($A101,'Annex 2 EHV charges'!$D:$O,9,FALSE)),"")</f>
        <v/>
      </c>
      <c r="F101" s="178">
        <f>IFERROR(IF(VLOOKUP($A101,'Annex 2 EHV charges'!$D:$O,10,FALSE)=0,"",VLOOKUP($A101,'Annex 2 EHV charges'!$D:$O,10,FALSE)),"")</f>
        <v>358.72</v>
      </c>
      <c r="G101" s="177">
        <f>IFERROR(IF(VLOOKUP($A101,'Annex 2 EHV charges'!$D:$O,11,FALSE)=0,"",VLOOKUP($A101,'Annex 2 EHV charges'!$D:$O,11,FALSE)),"")</f>
        <v>0.05</v>
      </c>
      <c r="H101" s="177">
        <f>IFERROR(IF(VLOOKUP($A101,'Annex 2 EHV charges'!$D:$O,12,FALSE)=0,"",VLOOKUP($A101,'Annex 2 EHV charges'!$D:$O,12,FALSE)),"")</f>
        <v>0.05</v>
      </c>
    </row>
    <row r="102" spans="1:8" ht="12.75" customHeight="1" x14ac:dyDescent="0.2">
      <c r="A102" s="94" t="str">
        <f t="array" ref="A102">IFERROR(INDEX('Annex 2 EHV charges'!$D$10:$D$301, MATCH(0, IF(ISBLANK('Annex 2 EHV charges'!$D$10:$D$301),1, COUNTIF(A$4:$A101, 'Annex 2 EHV charges'!$D$10:$D$301)), 0)),"")</f>
        <v>MELBRN</v>
      </c>
      <c r="B102" s="93">
        <f>IF($A102="","",VLOOKUP($A102,'Annex 2 EHV charges'!$D:$O,2,0))</f>
        <v>469</v>
      </c>
      <c r="C102" s="94">
        <f>IF($A102="","",VLOOKUP($A102,'Annex 2 EHV charges'!$D:$O,3,0))</f>
        <v>1050000810937</v>
      </c>
      <c r="D102" s="93" t="str">
        <f>IF($A102="","",VLOOKUP($A102,'Annex 2 EHV charges'!$D:$O,4,0))</f>
        <v>MELBRN</v>
      </c>
      <c r="E102" s="176" t="str">
        <f>IFERROR(IF(VLOOKUP($A102,'Annex 2 EHV charges'!$D:$O,9,FALSE)=0,"",VLOOKUP($A102,'Annex 2 EHV charges'!$D:$O,9,FALSE)),"")</f>
        <v/>
      </c>
      <c r="F102" s="178">
        <f>IFERROR(IF(VLOOKUP($A102,'Annex 2 EHV charges'!$D:$O,10,FALSE)=0,"",VLOOKUP($A102,'Annex 2 EHV charges'!$D:$O,10,FALSE)),"")</f>
        <v>789.34</v>
      </c>
      <c r="G102" s="177">
        <f>IFERROR(IF(VLOOKUP($A102,'Annex 2 EHV charges'!$D:$O,11,FALSE)=0,"",VLOOKUP($A102,'Annex 2 EHV charges'!$D:$O,11,FALSE)),"")</f>
        <v>0.05</v>
      </c>
      <c r="H102" s="177">
        <f>IFERROR(IF(VLOOKUP($A102,'Annex 2 EHV charges'!$D:$O,12,FALSE)=0,"",VLOOKUP($A102,'Annex 2 EHV charges'!$D:$O,12,FALSE)),"")</f>
        <v>0.05</v>
      </c>
    </row>
    <row r="103" spans="1:8" ht="12.75" customHeight="1" x14ac:dyDescent="0.2">
      <c r="A103" s="94" t="str">
        <f t="array" ref="A103">IFERROR(INDEX('Annex 2 EHV charges'!$D$10:$D$301, MATCH(0, IF(ISBLANK('Annex 2 EHV charges'!$D$10:$D$301),1, COUNTIF(A$4:$A102, 'Annex 2 EHV charges'!$D$10:$D$301)), 0)),"")</f>
        <v>MILLDR</v>
      </c>
      <c r="B103" s="93">
        <f>IF($A103="","",VLOOKUP($A103,'Annex 2 EHV charges'!$D:$O,2,0))</f>
        <v>690</v>
      </c>
      <c r="C103" s="94">
        <f>IF($A103="","",VLOOKUP($A103,'Annex 2 EHV charges'!$D:$O,3,0))</f>
        <v>1050001197846</v>
      </c>
      <c r="D103" s="93" t="str">
        <f>IF($A103="","",VLOOKUP($A103,'Annex 2 EHV charges'!$D:$O,4,0))</f>
        <v>MILLDR</v>
      </c>
      <c r="E103" s="176" t="str">
        <f>IFERROR(IF(VLOOKUP($A103,'Annex 2 EHV charges'!$D:$O,9,FALSE)=0,"",VLOOKUP($A103,'Annex 2 EHV charges'!$D:$O,9,FALSE)),"")</f>
        <v/>
      </c>
      <c r="F103" s="178">
        <f>IFERROR(IF(VLOOKUP($A103,'Annex 2 EHV charges'!$D:$O,10,FALSE)=0,"",VLOOKUP($A103,'Annex 2 EHV charges'!$D:$O,10,FALSE)),"")</f>
        <v>761.54</v>
      </c>
      <c r="G103" s="177">
        <f>IFERROR(IF(VLOOKUP($A103,'Annex 2 EHV charges'!$D:$O,11,FALSE)=0,"",VLOOKUP($A103,'Annex 2 EHV charges'!$D:$O,11,FALSE)),"")</f>
        <v>0.05</v>
      </c>
      <c r="H103" s="177">
        <f>IFERROR(IF(VLOOKUP($A103,'Annex 2 EHV charges'!$D:$O,12,FALSE)=0,"",VLOOKUP($A103,'Annex 2 EHV charges'!$D:$O,12,FALSE)),"")</f>
        <v>0.05</v>
      </c>
    </row>
    <row r="104" spans="1:8" ht="12.75" customHeight="1" x14ac:dyDescent="0.2">
      <c r="A104" s="94" t="str">
        <f t="array" ref="A104">IFERROR(INDEX('Annex 2 EHV charges'!$D$10:$D$301, MATCH(0, IF(ISBLANK('Annex 2 EHV charges'!$D$10:$D$301),1, COUNTIF(A$4:$A103, 'Annex 2 EHV charges'!$D$10:$D$301)), 0)),"")</f>
        <v>MILLFM</v>
      </c>
      <c r="B104" s="93">
        <f>IF($A104="","",VLOOKUP($A104,'Annex 2 EHV charges'!$D:$O,2,0))</f>
        <v>691</v>
      </c>
      <c r="C104" s="94">
        <f>IF($A104="","",VLOOKUP($A104,'Annex 2 EHV charges'!$D:$O,3,0))</f>
        <v>1050001261429</v>
      </c>
      <c r="D104" s="93" t="str">
        <f>IF($A104="","",VLOOKUP($A104,'Annex 2 EHV charges'!$D:$O,4,0))</f>
        <v>MILLFM</v>
      </c>
      <c r="E104" s="176" t="str">
        <f>IFERROR(IF(VLOOKUP($A104,'Annex 2 EHV charges'!$D:$O,9,FALSE)=0,"",VLOOKUP($A104,'Annex 2 EHV charges'!$D:$O,9,FALSE)),"")</f>
        <v/>
      </c>
      <c r="F104" s="178">
        <f>IFERROR(IF(VLOOKUP($A104,'Annex 2 EHV charges'!$D:$O,10,FALSE)=0,"",VLOOKUP($A104,'Annex 2 EHV charges'!$D:$O,10,FALSE)),"")</f>
        <v>1064.43</v>
      </c>
      <c r="G104" s="177">
        <f>IFERROR(IF(VLOOKUP($A104,'Annex 2 EHV charges'!$D:$O,11,FALSE)=0,"",VLOOKUP($A104,'Annex 2 EHV charges'!$D:$O,11,FALSE)),"")</f>
        <v>0.05</v>
      </c>
      <c r="H104" s="177">
        <f>IFERROR(IF(VLOOKUP($A104,'Annex 2 EHV charges'!$D:$O,12,FALSE)=0,"",VLOOKUP($A104,'Annex 2 EHV charges'!$D:$O,12,FALSE)),"")</f>
        <v>0.05</v>
      </c>
    </row>
    <row r="105" spans="1:8" ht="12.75" customHeight="1" x14ac:dyDescent="0.2">
      <c r="A105" s="94" t="str">
        <f t="array" ref="A105">IFERROR(INDEX('Annex 2 EHV charges'!$D$10:$D$301, MATCH(0, IF(ISBLANK('Annex 2 EHV charges'!$D$10:$D$301),1, COUNTIF(A$4:$A104, 'Annex 2 EHV charges'!$D$10:$D$301)), 0)),"")</f>
        <v>MINGAY</v>
      </c>
      <c r="B105" s="93">
        <f>IF($A105="","",VLOOKUP($A105,'Annex 2 EHV charges'!$D:$O,2,0))</f>
        <v>730</v>
      </c>
      <c r="C105" s="94">
        <f>IF($A105="","",VLOOKUP($A105,'Annex 2 EHV charges'!$D:$O,3,0))</f>
        <v>1050000574676</v>
      </c>
      <c r="D105" s="93" t="str">
        <f>IF($A105="","",VLOOKUP($A105,'Annex 2 EHV charges'!$D:$O,4,0))</f>
        <v>MINGAY</v>
      </c>
      <c r="E105" s="176" t="str">
        <f>IFERROR(IF(VLOOKUP($A105,'Annex 2 EHV charges'!$D:$O,9,FALSE)=0,"",VLOOKUP($A105,'Annex 2 EHV charges'!$D:$O,9,FALSE)),"")</f>
        <v/>
      </c>
      <c r="F105" s="178">
        <f>IFERROR(IF(VLOOKUP($A105,'Annex 2 EHV charges'!$D:$O,10,FALSE)=0,"",VLOOKUP($A105,'Annex 2 EHV charges'!$D:$O,10,FALSE)),"")</f>
        <v>535.87</v>
      </c>
      <c r="G105" s="177">
        <f>IFERROR(IF(VLOOKUP($A105,'Annex 2 EHV charges'!$D:$O,11,FALSE)=0,"",VLOOKUP($A105,'Annex 2 EHV charges'!$D:$O,11,FALSE)),"")</f>
        <v>0.05</v>
      </c>
      <c r="H105" s="177">
        <f>IFERROR(IF(VLOOKUP($A105,'Annex 2 EHV charges'!$D:$O,12,FALSE)=0,"",VLOOKUP($A105,'Annex 2 EHV charges'!$D:$O,12,FALSE)),"")</f>
        <v>0.05</v>
      </c>
    </row>
    <row r="106" spans="1:8" ht="12.75" customHeight="1" x14ac:dyDescent="0.2">
      <c r="A106" s="94" t="str">
        <f t="array" ref="A106">IFERROR(INDEX('Annex 2 EHV charges'!$D$10:$D$301, MATCH(0, IF(ISBLANK('Annex 2 EHV charges'!$D$10:$D$301),1, COUNTIF(A$4:$A105, 'Annex 2 EHV charges'!$D$10:$D$301)), 0)),"")</f>
        <v>MLLFLD</v>
      </c>
      <c r="B106" s="93">
        <f>IF($A106="","",VLOOKUP($A106,'Annex 2 EHV charges'!$D:$O,2,0))</f>
        <v>669</v>
      </c>
      <c r="C106" s="94">
        <f>IF($A106="","",VLOOKUP($A106,'Annex 2 EHV charges'!$D:$O,3,0))</f>
        <v>1050001060060</v>
      </c>
      <c r="D106" s="93" t="str">
        <f>IF($A106="","",VLOOKUP($A106,'Annex 2 EHV charges'!$D:$O,4,0))</f>
        <v>MLLFLD</v>
      </c>
      <c r="E106" s="176" t="str">
        <f>IFERROR(IF(VLOOKUP($A106,'Annex 2 EHV charges'!$D:$O,9,FALSE)=0,"",VLOOKUP($A106,'Annex 2 EHV charges'!$D:$O,9,FALSE)),"")</f>
        <v/>
      </c>
      <c r="F106" s="178">
        <f>IFERROR(IF(VLOOKUP($A106,'Annex 2 EHV charges'!$D:$O,10,FALSE)=0,"",VLOOKUP($A106,'Annex 2 EHV charges'!$D:$O,10,FALSE)),"")</f>
        <v>620.62</v>
      </c>
      <c r="G106" s="177">
        <f>IFERROR(IF(VLOOKUP($A106,'Annex 2 EHV charges'!$D:$O,11,FALSE)=0,"",VLOOKUP($A106,'Annex 2 EHV charges'!$D:$O,11,FALSE)),"")</f>
        <v>0.05</v>
      </c>
      <c r="H106" s="177">
        <f>IFERROR(IF(VLOOKUP($A106,'Annex 2 EHV charges'!$D:$O,12,FALSE)=0,"",VLOOKUP($A106,'Annex 2 EHV charges'!$D:$O,12,FALSE)),"")</f>
        <v>0.05</v>
      </c>
    </row>
    <row r="107" spans="1:8" ht="12.75" customHeight="1" x14ac:dyDescent="0.2">
      <c r="A107" s="94" t="str">
        <f t="array" ref="A107">IFERROR(INDEX('Annex 2 EHV charges'!$D$10:$D$301, MATCH(0, IF(ISBLANK('Annex 2 EHV charges'!$D$10:$D$301),1, COUNTIF(A$4:$A106, 'Annex 2 EHV charges'!$D$10:$D$301)), 0)),"")</f>
        <v>MOWLEM</v>
      </c>
      <c r="B107" s="93">
        <f>IF($A107="","",VLOOKUP($A107,'Annex 2 EHV charges'!$D:$O,2,0))</f>
        <v>692</v>
      </c>
      <c r="C107" s="94">
        <f>IF($A107="","",VLOOKUP($A107,'Annex 2 EHV charges'!$D:$O,3,0))</f>
        <v>1050001054242</v>
      </c>
      <c r="D107" s="93" t="str">
        <f>IF($A107="","",VLOOKUP($A107,'Annex 2 EHV charges'!$D:$O,4,0))</f>
        <v>MOWLEM</v>
      </c>
      <c r="E107" s="176" t="str">
        <f>IFERROR(IF(VLOOKUP($A107,'Annex 2 EHV charges'!$D:$O,9,FALSE)=0,"",VLOOKUP($A107,'Annex 2 EHV charges'!$D:$O,9,FALSE)),"")</f>
        <v/>
      </c>
      <c r="F107" s="178">
        <f>IFERROR(IF(VLOOKUP($A107,'Annex 2 EHV charges'!$D:$O,10,FALSE)=0,"",VLOOKUP($A107,'Annex 2 EHV charges'!$D:$O,10,FALSE)),"")</f>
        <v>933.19</v>
      </c>
      <c r="G107" s="177">
        <f>IFERROR(IF(VLOOKUP($A107,'Annex 2 EHV charges'!$D:$O,11,FALSE)=0,"",VLOOKUP($A107,'Annex 2 EHV charges'!$D:$O,11,FALSE)),"")</f>
        <v>0.05</v>
      </c>
      <c r="H107" s="177">
        <f>IFERROR(IF(VLOOKUP($A107,'Annex 2 EHV charges'!$D:$O,12,FALSE)=0,"",VLOOKUP($A107,'Annex 2 EHV charges'!$D:$O,12,FALSE)),"")</f>
        <v>0.05</v>
      </c>
    </row>
    <row r="108" spans="1:8" ht="12.75" customHeight="1" x14ac:dyDescent="0.2">
      <c r="A108" s="94" t="str">
        <f t="array" ref="A108">IFERROR(INDEX('Annex 2 EHV charges'!$D$10:$D$301, MATCH(0, IF(ISBLANK('Annex 2 EHV charges'!$D$10:$D$301),1, COUNTIF(A$4:$A107, 'Annex 2 EHV charges'!$D$10:$D$301)), 0)),"")</f>
        <v>NEVEDN</v>
      </c>
      <c r="B108" s="93">
        <f>IF($A108="","",VLOOKUP($A108,'Annex 2 EHV charges'!$D:$O,2,0))</f>
        <v>446</v>
      </c>
      <c r="C108" s="94" t="str">
        <f>IF($A108="","",VLOOKUP($A108,'Annex 2 EHV charges'!$D:$O,3,0))</f>
        <v>1050001507458</v>
      </c>
      <c r="D108" s="93" t="str">
        <f>IF($A108="","",VLOOKUP($A108,'Annex 2 EHV charges'!$D:$O,4,0))</f>
        <v>NEVEDN</v>
      </c>
      <c r="E108" s="176">
        <f>IFERROR(IF(VLOOKUP($A108,'Annex 2 EHV charges'!$D:$O,9,FALSE)=0,"",VLOOKUP($A108,'Annex 2 EHV charges'!$D:$O,9,FALSE)),"")</f>
        <v>-0.47</v>
      </c>
      <c r="F108" s="178">
        <f>IFERROR(IF(VLOOKUP($A108,'Annex 2 EHV charges'!$D:$O,10,FALSE)=0,"",VLOOKUP($A108,'Annex 2 EHV charges'!$D:$O,10,FALSE)),"")</f>
        <v>439.07</v>
      </c>
      <c r="G108" s="177">
        <f>IFERROR(IF(VLOOKUP($A108,'Annex 2 EHV charges'!$D:$O,11,FALSE)=0,"",VLOOKUP($A108,'Annex 2 EHV charges'!$D:$O,11,FALSE)),"")</f>
        <v>0.05</v>
      </c>
      <c r="H108" s="177">
        <f>IFERROR(IF(VLOOKUP($A108,'Annex 2 EHV charges'!$D:$O,12,FALSE)=0,"",VLOOKUP($A108,'Annex 2 EHV charges'!$D:$O,12,FALSE)),"")</f>
        <v>0.05</v>
      </c>
    </row>
    <row r="109" spans="1:8" ht="12.75" customHeight="1" x14ac:dyDescent="0.2">
      <c r="A109" s="94" t="str">
        <f t="array" ref="A109">IFERROR(INDEX('Annex 2 EHV charges'!$D$10:$D$301, MATCH(0, IF(ISBLANK('Annex 2 EHV charges'!$D$10:$D$301),1, COUNTIF(A$4:$A108, 'Annex 2 EHV charges'!$D$10:$D$301)), 0)),"")</f>
        <v>NEWTON</v>
      </c>
      <c r="B109" s="93">
        <f>IF($A109="","",VLOOKUP($A109,'Annex 2 EHV charges'!$D:$O,2,0))</f>
        <v>670</v>
      </c>
      <c r="C109" s="94">
        <f>IF($A109="","",VLOOKUP($A109,'Annex 2 EHV charges'!$D:$O,3,0))</f>
        <v>1050001042229</v>
      </c>
      <c r="D109" s="93" t="str">
        <f>IF($A109="","",VLOOKUP($A109,'Annex 2 EHV charges'!$D:$O,4,0))</f>
        <v>NEWTON</v>
      </c>
      <c r="E109" s="176" t="str">
        <f>IFERROR(IF(VLOOKUP($A109,'Annex 2 EHV charges'!$D:$O,9,FALSE)=0,"",VLOOKUP($A109,'Annex 2 EHV charges'!$D:$O,9,FALSE)),"")</f>
        <v/>
      </c>
      <c r="F109" s="178">
        <f>IFERROR(IF(VLOOKUP($A109,'Annex 2 EHV charges'!$D:$O,10,FALSE)=0,"",VLOOKUP($A109,'Annex 2 EHV charges'!$D:$O,10,FALSE)),"")</f>
        <v>597.92999999999995</v>
      </c>
      <c r="G109" s="177">
        <f>IFERROR(IF(VLOOKUP($A109,'Annex 2 EHV charges'!$D:$O,11,FALSE)=0,"",VLOOKUP($A109,'Annex 2 EHV charges'!$D:$O,11,FALSE)),"")</f>
        <v>0.05</v>
      </c>
      <c r="H109" s="177">
        <f>IFERROR(IF(VLOOKUP($A109,'Annex 2 EHV charges'!$D:$O,12,FALSE)=0,"",VLOOKUP($A109,'Annex 2 EHV charges'!$D:$O,12,FALSE)),"")</f>
        <v>0.05</v>
      </c>
    </row>
    <row r="110" spans="1:8" ht="12.75" customHeight="1" x14ac:dyDescent="0.2">
      <c r="A110" s="94" t="str">
        <f t="array" ref="A110">IFERROR(INDEX('Annex 2 EHV charges'!$D$10:$D$301, MATCH(0, IF(ISBLANK('Annex 2 EHV charges'!$D$10:$D$301),1, COUNTIF(A$4:$A109, 'Annex 2 EHV charges'!$D$10:$D$301)), 0)),"")</f>
        <v>NNFKSF</v>
      </c>
      <c r="B110" s="93">
        <f>IF($A110="","",VLOOKUP($A110,'Annex 2 EHV charges'!$D:$O,2,0))</f>
        <v>731</v>
      </c>
      <c r="C110" s="94">
        <f>IF($A110="","",VLOOKUP($A110,'Annex 2 EHV charges'!$D:$O,3,0))</f>
        <v>1050000599893</v>
      </c>
      <c r="D110" s="93" t="str">
        <f>IF($A110="","",VLOOKUP($A110,'Annex 2 EHV charges'!$D:$O,4,0))</f>
        <v>NNFKSF</v>
      </c>
      <c r="E110" s="176" t="str">
        <f>IFERROR(IF(VLOOKUP($A110,'Annex 2 EHV charges'!$D:$O,9,FALSE)=0,"",VLOOKUP($A110,'Annex 2 EHV charges'!$D:$O,9,FALSE)),"")</f>
        <v/>
      </c>
      <c r="F110" s="178">
        <f>IFERROR(IF(VLOOKUP($A110,'Annex 2 EHV charges'!$D:$O,10,FALSE)=0,"",VLOOKUP($A110,'Annex 2 EHV charges'!$D:$O,10,FALSE)),"")</f>
        <v>1002.13</v>
      </c>
      <c r="G110" s="177">
        <f>IFERROR(IF(VLOOKUP($A110,'Annex 2 EHV charges'!$D:$O,11,FALSE)=0,"",VLOOKUP($A110,'Annex 2 EHV charges'!$D:$O,11,FALSE)),"")</f>
        <v>0.05</v>
      </c>
      <c r="H110" s="177">
        <f>IFERROR(IF(VLOOKUP($A110,'Annex 2 EHV charges'!$D:$O,12,FALSE)=0,"",VLOOKUP($A110,'Annex 2 EHV charges'!$D:$O,12,FALSE)),"")</f>
        <v>0.05</v>
      </c>
    </row>
    <row r="111" spans="1:8" ht="12.75" customHeight="1" x14ac:dyDescent="0.2">
      <c r="A111" s="94" t="str">
        <f t="array" ref="A111">IFERROR(INDEX('Annex 2 EHV charges'!$D$10:$D$301, MATCH(0, IF(ISBLANK('Annex 2 EHV charges'!$D$10:$D$301),1, COUNTIF(A$4:$A110, 'Annex 2 EHV charges'!$D$10:$D$301)), 0)),"")</f>
        <v>NR_COL</v>
      </c>
      <c r="B111" s="93">
        <f>IF($A111="","",VLOOKUP($A111,'Annex 2 EHV charges'!$D:$O,2,0))</f>
        <v>720</v>
      </c>
      <c r="C111" s="94" t="str">
        <f>IF($A111="","",VLOOKUP($A111,'Annex 2 EHV charges'!$D:$O,3,0))</f>
        <v xml:space="preserve">1023545945047
1030077668707 </v>
      </c>
      <c r="D111" s="93" t="str">
        <f>IF($A111="","",VLOOKUP($A111,'Annex 2 EHV charges'!$D:$O,4,0))</f>
        <v>NR_COL</v>
      </c>
      <c r="E111" s="176" t="str">
        <f>IFERROR(IF(VLOOKUP($A111,'Annex 2 EHV charges'!$D:$O,9,FALSE)=0,"",VLOOKUP($A111,'Annex 2 EHV charges'!$D:$O,9,FALSE)),"")</f>
        <v/>
      </c>
      <c r="F111" s="178">
        <f>IFERROR(IF(VLOOKUP($A111,'Annex 2 EHV charges'!$D:$O,10,FALSE)=0,"",VLOOKUP($A111,'Annex 2 EHV charges'!$D:$O,10,FALSE)),"")</f>
        <v>1484.49</v>
      </c>
      <c r="G111" s="177">
        <f>IFERROR(IF(VLOOKUP($A111,'Annex 2 EHV charges'!$D:$O,11,FALSE)=0,"",VLOOKUP($A111,'Annex 2 EHV charges'!$D:$O,11,FALSE)),"")</f>
        <v>0.05</v>
      </c>
      <c r="H111" s="177">
        <f>IFERROR(IF(VLOOKUP($A111,'Annex 2 EHV charges'!$D:$O,12,FALSE)=0,"",VLOOKUP($A111,'Annex 2 EHV charges'!$D:$O,12,FALSE)),"")</f>
        <v>0.05</v>
      </c>
    </row>
    <row r="112" spans="1:8" ht="12.75" customHeight="1" x14ac:dyDescent="0.2">
      <c r="A112" s="94" t="str">
        <f t="array" ref="A112">IFERROR(INDEX('Annex 2 EHV charges'!$D$10:$D$301, MATCH(0, IF(ISBLANK('Annex 2 EHV charges'!$D$10:$D$301),1, COUNTIF(A$4:$A111, 'Annex 2 EHV charges'!$D$10:$D$301)), 0)),"")</f>
        <v>NVASCT</v>
      </c>
      <c r="B112" s="93">
        <f>IF($A112="","",VLOOKUP($A112,'Annex 2 EHV charges'!$D:$O,2,0))</f>
        <v>764</v>
      </c>
      <c r="C112" s="94">
        <f>IF($A112="","",VLOOKUP($A112,'Annex 2 EHV charges'!$D:$O,3,0))</f>
        <v>1050000588215</v>
      </c>
      <c r="D112" s="93" t="str">
        <f>IF($A112="","",VLOOKUP($A112,'Annex 2 EHV charges'!$D:$O,4,0))</f>
        <v>NVASCT</v>
      </c>
      <c r="E112" s="176" t="str">
        <f>IFERROR(IF(VLOOKUP($A112,'Annex 2 EHV charges'!$D:$O,9,FALSE)=0,"",VLOOKUP($A112,'Annex 2 EHV charges'!$D:$O,9,FALSE)),"")</f>
        <v/>
      </c>
      <c r="F112" s="178">
        <f>IFERROR(IF(VLOOKUP($A112,'Annex 2 EHV charges'!$D:$O,10,FALSE)=0,"",VLOOKUP($A112,'Annex 2 EHV charges'!$D:$O,10,FALSE)),"")</f>
        <v>513.89</v>
      </c>
      <c r="G112" s="177">
        <f>IFERROR(IF(VLOOKUP($A112,'Annex 2 EHV charges'!$D:$O,11,FALSE)=0,"",VLOOKUP($A112,'Annex 2 EHV charges'!$D:$O,11,FALSE)),"")</f>
        <v>0.05</v>
      </c>
      <c r="H112" s="177">
        <f>IFERROR(IF(VLOOKUP($A112,'Annex 2 EHV charges'!$D:$O,12,FALSE)=0,"",VLOOKUP($A112,'Annex 2 EHV charges'!$D:$O,12,FALSE)),"")</f>
        <v>0.05</v>
      </c>
    </row>
    <row r="113" spans="1:8" ht="12.75" customHeight="1" x14ac:dyDescent="0.2">
      <c r="A113" s="94" t="str">
        <f t="array" ref="A113">IFERROR(INDEX('Annex 2 EHV charges'!$D$10:$D$301, MATCH(0, IF(ISBLANK('Annex 2 EHV charges'!$D$10:$D$301),1, COUNTIF(A$4:$A112, 'Annex 2 EHV charges'!$D$10:$D$301)), 0)),"")</f>
        <v>OLDAIR</v>
      </c>
      <c r="B113" s="93">
        <f>IF($A113="","",VLOOKUP($A113,'Annex 2 EHV charges'!$D:$O,2,0))</f>
        <v>457</v>
      </c>
      <c r="C113" s="94">
        <f>IF($A113="","",VLOOKUP($A113,'Annex 2 EHV charges'!$D:$O,3,0))</f>
        <v>1050000890765</v>
      </c>
      <c r="D113" s="93" t="str">
        <f>IF($A113="","",VLOOKUP($A113,'Annex 2 EHV charges'!$D:$O,4,0))</f>
        <v>OLDAIR</v>
      </c>
      <c r="E113" s="176" t="str">
        <f>IFERROR(IF(VLOOKUP($A113,'Annex 2 EHV charges'!$D:$O,9,FALSE)=0,"",VLOOKUP($A113,'Annex 2 EHV charges'!$D:$O,9,FALSE)),"")</f>
        <v/>
      </c>
      <c r="F113" s="178">
        <f>IFERROR(IF(VLOOKUP($A113,'Annex 2 EHV charges'!$D:$O,10,FALSE)=0,"",VLOOKUP($A113,'Annex 2 EHV charges'!$D:$O,10,FALSE)),"")</f>
        <v>244.87</v>
      </c>
      <c r="G113" s="177">
        <f>IFERROR(IF(VLOOKUP($A113,'Annex 2 EHV charges'!$D:$O,11,FALSE)=0,"",VLOOKUP($A113,'Annex 2 EHV charges'!$D:$O,11,FALSE)),"")</f>
        <v>0.05</v>
      </c>
      <c r="H113" s="177">
        <f>IFERROR(IF(VLOOKUP($A113,'Annex 2 EHV charges'!$D:$O,12,FALSE)=0,"",VLOOKUP($A113,'Annex 2 EHV charges'!$D:$O,12,FALSE)),"")</f>
        <v>0.05</v>
      </c>
    </row>
    <row r="114" spans="1:8" ht="12.75" customHeight="1" x14ac:dyDescent="0.2">
      <c r="A114" s="94" t="str">
        <f t="array" ref="A114">IFERROR(INDEX('Annex 2 EHV charges'!$D$10:$D$301, MATCH(0, IF(ISBLANK('Annex 2 EHV charges'!$D$10:$D$301),1, COUNTIF(A$4:$A113, 'Annex 2 EHV charges'!$D$10:$D$301)), 0)),"")</f>
        <v>OULTON</v>
      </c>
      <c r="B114" s="93">
        <f>IF($A114="","",VLOOKUP($A114,'Annex 2 EHV charges'!$D:$O,2,0))</f>
        <v>671</v>
      </c>
      <c r="C114" s="94">
        <f>IF($A114="","",VLOOKUP($A114,'Annex 2 EHV charges'!$D:$O,3,0))</f>
        <v>1050001028553</v>
      </c>
      <c r="D114" s="93" t="str">
        <f>IF($A114="","",VLOOKUP($A114,'Annex 2 EHV charges'!$D:$O,4,0))</f>
        <v>OULTON</v>
      </c>
      <c r="E114" s="176" t="str">
        <f>IFERROR(IF(VLOOKUP($A114,'Annex 2 EHV charges'!$D:$O,9,FALSE)=0,"",VLOOKUP($A114,'Annex 2 EHV charges'!$D:$O,9,FALSE)),"")</f>
        <v/>
      </c>
      <c r="F114" s="178">
        <f>IFERROR(IF(VLOOKUP($A114,'Annex 2 EHV charges'!$D:$O,10,FALSE)=0,"",VLOOKUP($A114,'Annex 2 EHV charges'!$D:$O,10,FALSE)),"")</f>
        <v>255.69</v>
      </c>
      <c r="G114" s="177">
        <f>IFERROR(IF(VLOOKUP($A114,'Annex 2 EHV charges'!$D:$O,11,FALSE)=0,"",VLOOKUP($A114,'Annex 2 EHV charges'!$D:$O,11,FALSE)),"")</f>
        <v>0.05</v>
      </c>
      <c r="H114" s="177">
        <f>IFERROR(IF(VLOOKUP($A114,'Annex 2 EHV charges'!$D:$O,12,FALSE)=0,"",VLOOKUP($A114,'Annex 2 EHV charges'!$D:$O,12,FALSE)),"")</f>
        <v>0.05</v>
      </c>
    </row>
    <row r="115" spans="1:8" ht="12.75" customHeight="1" x14ac:dyDescent="0.2">
      <c r="A115" s="94" t="str">
        <f t="array" ref="A115">IFERROR(INDEX('Annex 2 EHV charges'!$D$10:$D$301, MATCH(0, IF(ISBLANK('Annex 2 EHV charges'!$D$10:$D$301),1, COUNTIF(A$4:$A114, 'Annex 2 EHV charges'!$D$10:$D$301)), 0)),"")</f>
        <v>OUTWDS</v>
      </c>
      <c r="B115" s="93">
        <f>IF($A115="","",VLOOKUP($A115,'Annex 2 EHV charges'!$D:$O,2,0))</f>
        <v>672</v>
      </c>
      <c r="C115" s="94">
        <f>IF($A115="","",VLOOKUP($A115,'Annex 2 EHV charges'!$D:$O,3,0))</f>
        <v>1050001054206</v>
      </c>
      <c r="D115" s="93" t="str">
        <f>IF($A115="","",VLOOKUP($A115,'Annex 2 EHV charges'!$D:$O,4,0))</f>
        <v>OUTWDS</v>
      </c>
      <c r="E115" s="176" t="str">
        <f>IFERROR(IF(VLOOKUP($A115,'Annex 2 EHV charges'!$D:$O,9,FALSE)=0,"",VLOOKUP($A115,'Annex 2 EHV charges'!$D:$O,9,FALSE)),"")</f>
        <v/>
      </c>
      <c r="F115" s="178">
        <f>IFERROR(IF(VLOOKUP($A115,'Annex 2 EHV charges'!$D:$O,10,FALSE)=0,"",VLOOKUP($A115,'Annex 2 EHV charges'!$D:$O,10,FALSE)),"")</f>
        <v>961.81</v>
      </c>
      <c r="G115" s="177">
        <f>IFERROR(IF(VLOOKUP($A115,'Annex 2 EHV charges'!$D:$O,11,FALSE)=0,"",VLOOKUP($A115,'Annex 2 EHV charges'!$D:$O,11,FALSE)),"")</f>
        <v>0.05</v>
      </c>
      <c r="H115" s="177">
        <f>IFERROR(IF(VLOOKUP($A115,'Annex 2 EHV charges'!$D:$O,12,FALSE)=0,"",VLOOKUP($A115,'Annex 2 EHV charges'!$D:$O,12,FALSE)),"")</f>
        <v>0.05</v>
      </c>
    </row>
    <row r="116" spans="1:8" ht="12.75" customHeight="1" x14ac:dyDescent="0.2">
      <c r="A116" s="94" t="str">
        <f t="array" ref="A116">IFERROR(INDEX('Annex 2 EHV charges'!$D$10:$D$301, MATCH(0, IF(ISBLANK('Annex 2 EHV charges'!$D$10:$D$301),1, COUNTIF(A$4:$A115, 'Annex 2 EHV charges'!$D$10:$D$301)), 0)),"")</f>
        <v>PBPS_2</v>
      </c>
      <c r="B116" s="93">
        <f>IF($A116="","",VLOOKUP($A116,'Annex 2 EHV charges'!$D:$O,2,0))</f>
        <v>447</v>
      </c>
      <c r="C116" s="94">
        <f>IF($A116="","",VLOOKUP($A116,'Annex 2 EHV charges'!$D:$O,3,0))</f>
        <v>1050001368332</v>
      </c>
      <c r="D116" s="93" t="str">
        <f>IF($A116="","",VLOOKUP($A116,'Annex 2 EHV charges'!$D:$O,4,0))</f>
        <v>PBPS_2</v>
      </c>
      <c r="E116" s="176" t="str">
        <f>IFERROR(IF(VLOOKUP($A116,'Annex 2 EHV charges'!$D:$O,9,FALSE)=0,"",VLOOKUP($A116,'Annex 2 EHV charges'!$D:$O,9,FALSE)),"")</f>
        <v/>
      </c>
      <c r="F116" s="178">
        <f>IFERROR(IF(VLOOKUP($A116,'Annex 2 EHV charges'!$D:$O,10,FALSE)=0,"",VLOOKUP($A116,'Annex 2 EHV charges'!$D:$O,10,FALSE)),"")</f>
        <v>624.92999999999995</v>
      </c>
      <c r="G116" s="177">
        <f>IFERROR(IF(VLOOKUP($A116,'Annex 2 EHV charges'!$D:$O,11,FALSE)=0,"",VLOOKUP($A116,'Annex 2 EHV charges'!$D:$O,11,FALSE)),"")</f>
        <v>0.05</v>
      </c>
      <c r="H116" s="177">
        <f>IFERROR(IF(VLOOKUP($A116,'Annex 2 EHV charges'!$D:$O,12,FALSE)=0,"",VLOOKUP($A116,'Annex 2 EHV charges'!$D:$O,12,FALSE)),"")</f>
        <v>0.05</v>
      </c>
    </row>
    <row r="117" spans="1:8" ht="12.75" customHeight="1" x14ac:dyDescent="0.2">
      <c r="A117" s="94" t="str">
        <f t="array" ref="A117">IFERROR(INDEX('Annex 2 EHV charges'!$D$10:$D$301, MATCH(0, IF(ISBLANK('Annex 2 EHV charges'!$D$10:$D$301),1, COUNTIF(A$4:$A116, 'Annex 2 EHV charges'!$D$10:$D$301)), 0)),"")</f>
        <v>PLMPPR</v>
      </c>
      <c r="B117" s="93">
        <f>IF($A117="","",VLOOKUP($A117,'Annex 2 EHV charges'!$D:$O,2,0))</f>
        <v>434</v>
      </c>
      <c r="C117" s="94" t="str">
        <f>IF($A117="","",VLOOKUP($A117,'Annex 2 EHV charges'!$D:$O,3,0))</f>
        <v>1050001450466
1050001450475</v>
      </c>
      <c r="D117" s="93" t="str">
        <f>IF($A117="","",VLOOKUP($A117,'Annex 2 EHV charges'!$D:$O,4,0))</f>
        <v>PLMPPR</v>
      </c>
      <c r="E117" s="176">
        <f>IFERROR(IF(VLOOKUP($A117,'Annex 2 EHV charges'!$D:$O,9,FALSE)=0,"",VLOOKUP($A117,'Annex 2 EHV charges'!$D:$O,9,FALSE)),"")</f>
        <v>-0.313</v>
      </c>
      <c r="F117" s="178">
        <f>IFERROR(IF(VLOOKUP($A117,'Annex 2 EHV charges'!$D:$O,10,FALSE)=0,"",VLOOKUP($A117,'Annex 2 EHV charges'!$D:$O,10,FALSE)),"")</f>
        <v>847.85</v>
      </c>
      <c r="G117" s="177">
        <f>IFERROR(IF(VLOOKUP($A117,'Annex 2 EHV charges'!$D:$O,11,FALSE)=0,"",VLOOKUP($A117,'Annex 2 EHV charges'!$D:$O,11,FALSE)),"")</f>
        <v>0.05</v>
      </c>
      <c r="H117" s="177">
        <f>IFERROR(IF(VLOOKUP($A117,'Annex 2 EHV charges'!$D:$O,12,FALSE)=0,"",VLOOKUP($A117,'Annex 2 EHV charges'!$D:$O,12,FALSE)),"")</f>
        <v>0.05</v>
      </c>
    </row>
    <row r="118" spans="1:8" ht="12.75" customHeight="1" x14ac:dyDescent="0.2">
      <c r="A118" s="94" t="str">
        <f t="array" ref="A118">IFERROR(INDEX('Annex 2 EHV charges'!$D$10:$D$301, MATCH(0, IF(ISBLANK('Annex 2 EHV charges'!$D$10:$D$301),1, COUNTIF(A$4:$A117, 'Annex 2 EHV charges'!$D$10:$D$301)), 0)),"")</f>
        <v>PLYTRS</v>
      </c>
      <c r="B118" s="93">
        <f>IF($A118="","",VLOOKUP($A118,'Annex 2 EHV charges'!$D:$O,2,0))</f>
        <v>693</v>
      </c>
      <c r="C118" s="94">
        <f>IF($A118="","",VLOOKUP($A118,'Annex 2 EHV charges'!$D:$O,3,0))</f>
        <v>1050000903174</v>
      </c>
      <c r="D118" s="93" t="str">
        <f>IF($A118="","",VLOOKUP($A118,'Annex 2 EHV charges'!$D:$O,4,0))</f>
        <v>PLYTRS</v>
      </c>
      <c r="E118" s="176" t="str">
        <f>IFERROR(IF(VLOOKUP($A118,'Annex 2 EHV charges'!$D:$O,9,FALSE)=0,"",VLOOKUP($A118,'Annex 2 EHV charges'!$D:$O,9,FALSE)),"")</f>
        <v/>
      </c>
      <c r="F118" s="178">
        <f>IFERROR(IF(VLOOKUP($A118,'Annex 2 EHV charges'!$D:$O,10,FALSE)=0,"",VLOOKUP($A118,'Annex 2 EHV charges'!$D:$O,10,FALSE)),"")</f>
        <v>2315.6</v>
      </c>
      <c r="G118" s="177">
        <f>IFERROR(IF(VLOOKUP($A118,'Annex 2 EHV charges'!$D:$O,11,FALSE)=0,"",VLOOKUP($A118,'Annex 2 EHV charges'!$D:$O,11,FALSE)),"")</f>
        <v>0.05</v>
      </c>
      <c r="H118" s="177">
        <f>IFERROR(IF(VLOOKUP($A118,'Annex 2 EHV charges'!$D:$O,12,FALSE)=0,"",VLOOKUP($A118,'Annex 2 EHV charges'!$D:$O,12,FALSE)),"")</f>
        <v>0.05</v>
      </c>
    </row>
    <row r="119" spans="1:8" ht="12.75" customHeight="1" x14ac:dyDescent="0.2">
      <c r="A119" s="94" t="str">
        <f t="array" ref="A119">IFERROR(INDEX('Annex 2 EHV charges'!$D$10:$D$301, MATCH(0, IF(ISBLANK('Annex 2 EHV charges'!$D$10:$D$301),1, COUNTIF(A$4:$A118, 'Annex 2 EHV charges'!$D$10:$D$301)), 0)),"")</f>
        <v>POBAIL</v>
      </c>
      <c r="B119" s="93">
        <f>IF($A119="","",VLOOKUP($A119,'Annex 2 EHV charges'!$D:$O,2,0))</f>
        <v>448</v>
      </c>
      <c r="C119" s="94">
        <f>IF($A119="","",VLOOKUP($A119,'Annex 2 EHV charges'!$D:$O,3,0))</f>
        <v>1050001118490</v>
      </c>
      <c r="D119" s="93" t="str">
        <f>IF($A119="","",VLOOKUP($A119,'Annex 2 EHV charges'!$D:$O,4,0))</f>
        <v>POBAIL</v>
      </c>
      <c r="E119" s="176" t="str">
        <f>IFERROR(IF(VLOOKUP($A119,'Annex 2 EHV charges'!$D:$O,9,FALSE)=0,"",VLOOKUP($A119,'Annex 2 EHV charges'!$D:$O,9,FALSE)),"")</f>
        <v/>
      </c>
      <c r="F119" s="178">
        <f>IFERROR(IF(VLOOKUP($A119,'Annex 2 EHV charges'!$D:$O,10,FALSE)=0,"",VLOOKUP($A119,'Annex 2 EHV charges'!$D:$O,10,FALSE)),"")</f>
        <v>510.86</v>
      </c>
      <c r="G119" s="177">
        <f>IFERROR(IF(VLOOKUP($A119,'Annex 2 EHV charges'!$D:$O,11,FALSE)=0,"",VLOOKUP($A119,'Annex 2 EHV charges'!$D:$O,11,FALSE)),"")</f>
        <v>0.05</v>
      </c>
      <c r="H119" s="177">
        <f>IFERROR(IF(VLOOKUP($A119,'Annex 2 EHV charges'!$D:$O,12,FALSE)=0,"",VLOOKUP($A119,'Annex 2 EHV charges'!$D:$O,12,FALSE)),"")</f>
        <v>0.05</v>
      </c>
    </row>
    <row r="120" spans="1:8" ht="12.75" customHeight="1" x14ac:dyDescent="0.2">
      <c r="A120" s="94" t="str">
        <f t="array" ref="A120">IFERROR(INDEX('Annex 2 EHV charges'!$D$10:$D$301, MATCH(0, IF(ISBLANK('Annex 2 EHV charges'!$D$10:$D$301),1, COUNTIF(A$4:$A119, 'Annex 2 EHV charges'!$D$10:$D$301)), 0)),"")</f>
        <v>PRHMSF</v>
      </c>
      <c r="B120" s="93">
        <f>IF($A120="","",VLOOKUP($A120,'Annex 2 EHV charges'!$D:$O,2,0))</f>
        <v>777</v>
      </c>
      <c r="C120" s="94">
        <f>IF($A120="","",VLOOKUP($A120,'Annex 2 EHV charges'!$D:$O,3,0))</f>
        <v>1030085040202</v>
      </c>
      <c r="D120" s="93" t="str">
        <f>IF($A120="","",VLOOKUP($A120,'Annex 2 EHV charges'!$D:$O,4,0))</f>
        <v>PRHMSF</v>
      </c>
      <c r="E120" s="176" t="str">
        <f>IFERROR(IF(VLOOKUP($A120,'Annex 2 EHV charges'!$D:$O,9,FALSE)=0,"",VLOOKUP($A120,'Annex 2 EHV charges'!$D:$O,9,FALSE)),"")</f>
        <v/>
      </c>
      <c r="F120" s="178">
        <f>IFERROR(IF(VLOOKUP($A120,'Annex 2 EHV charges'!$D:$O,10,FALSE)=0,"",VLOOKUP($A120,'Annex 2 EHV charges'!$D:$O,10,FALSE)),"")</f>
        <v>2125.84</v>
      </c>
      <c r="G120" s="177">
        <f>IFERROR(IF(VLOOKUP($A120,'Annex 2 EHV charges'!$D:$O,11,FALSE)=0,"",VLOOKUP($A120,'Annex 2 EHV charges'!$D:$O,11,FALSE)),"")</f>
        <v>0.05</v>
      </c>
      <c r="H120" s="177">
        <f>IFERROR(IF(VLOOKUP($A120,'Annex 2 EHV charges'!$D:$O,12,FALSE)=0,"",VLOOKUP($A120,'Annex 2 EHV charges'!$D:$O,12,FALSE)),"")</f>
        <v>0.05</v>
      </c>
    </row>
    <row r="121" spans="1:8" ht="12.75" customHeight="1" x14ac:dyDescent="0.2">
      <c r="A121" s="94" t="str">
        <f t="array" ref="A121">IFERROR(INDEX('Annex 2 EHV charges'!$D$10:$D$301, MATCH(0, IF(ISBLANK('Annex 2 EHV charges'!$D$10:$D$301),1, COUNTIF(A$4:$A120, 'Annex 2 EHV charges'!$D$10:$D$301)), 0)),"")</f>
        <v>PTRBRO</v>
      </c>
      <c r="B121" s="93">
        <f>IF($A121="","",VLOOKUP($A121,'Annex 2 EHV charges'!$D:$O,2,0))</f>
        <v>0</v>
      </c>
      <c r="C121" s="94" t="str">
        <f>IF($A121="","",VLOOKUP($A121,'Annex 2 EHV charges'!$D:$O,3,0))</f>
        <v xml:space="preserve"> MSID: 7006</v>
      </c>
      <c r="D121" s="93" t="str">
        <f>IF($A121="","",VLOOKUP($A121,'Annex 2 EHV charges'!$D:$O,4,0))</f>
        <v>PTRBRO</v>
      </c>
      <c r="E121" s="176" t="str">
        <f>IFERROR(IF(VLOOKUP($A121,'Annex 2 EHV charges'!$D:$O,9,FALSE)=0,"",VLOOKUP($A121,'Annex 2 EHV charges'!$D:$O,9,FALSE)),"")</f>
        <v/>
      </c>
      <c r="F121" s="178">
        <f>IFERROR(IF(VLOOKUP($A121,'Annex 2 EHV charges'!$D:$O,10,FALSE)=0,"",VLOOKUP($A121,'Annex 2 EHV charges'!$D:$O,10,FALSE)),"")</f>
        <v>1874.81</v>
      </c>
      <c r="G121" s="177">
        <f>IFERROR(IF(VLOOKUP($A121,'Annex 2 EHV charges'!$D:$O,11,FALSE)=0,"",VLOOKUP($A121,'Annex 2 EHV charges'!$D:$O,11,FALSE)),"")</f>
        <v>0.05</v>
      </c>
      <c r="H121" s="177">
        <f>IFERROR(IF(VLOOKUP($A121,'Annex 2 EHV charges'!$D:$O,12,FALSE)=0,"",VLOOKUP($A121,'Annex 2 EHV charges'!$D:$O,12,FALSE)),"")</f>
        <v>0.05</v>
      </c>
    </row>
    <row r="122" spans="1:8" ht="12.75" customHeight="1" x14ac:dyDescent="0.2">
      <c r="A122" s="94" t="str">
        <f t="array" ref="A122">IFERROR(INDEX('Annex 2 EHV charges'!$D$10:$D$301, MATCH(0, IF(ISBLANK('Annex 2 EHV charges'!$D$10:$D$301),1, COUNTIF(A$4:$A121, 'Annex 2 EHV charges'!$D$10:$D$301)), 0)),"")</f>
        <v>QRRNDN</v>
      </c>
      <c r="B122" s="93">
        <f>IF($A122="","",VLOOKUP($A122,'Annex 2 EHV charges'!$D:$O,2,0))</f>
        <v>458</v>
      </c>
      <c r="C122" s="94">
        <f>IF($A122="","",VLOOKUP($A122,'Annex 2 EHV charges'!$D:$O,3,0))</f>
        <v>1050000768693</v>
      </c>
      <c r="D122" s="93" t="str">
        <f>IF($A122="","",VLOOKUP($A122,'Annex 2 EHV charges'!$D:$O,4,0))</f>
        <v>QRRNDN</v>
      </c>
      <c r="E122" s="176" t="str">
        <f>IFERROR(IF(VLOOKUP($A122,'Annex 2 EHV charges'!$D:$O,9,FALSE)=0,"",VLOOKUP($A122,'Annex 2 EHV charges'!$D:$O,9,FALSE)),"")</f>
        <v/>
      </c>
      <c r="F122" s="178">
        <f>IFERROR(IF(VLOOKUP($A122,'Annex 2 EHV charges'!$D:$O,10,FALSE)=0,"",VLOOKUP($A122,'Annex 2 EHV charges'!$D:$O,10,FALSE)),"")</f>
        <v>1029.3399999999999</v>
      </c>
      <c r="G122" s="177">
        <f>IFERROR(IF(VLOOKUP($A122,'Annex 2 EHV charges'!$D:$O,11,FALSE)=0,"",VLOOKUP($A122,'Annex 2 EHV charges'!$D:$O,11,FALSE)),"")</f>
        <v>0.05</v>
      </c>
      <c r="H122" s="177">
        <f>IFERROR(IF(VLOOKUP($A122,'Annex 2 EHV charges'!$D:$O,12,FALSE)=0,"",VLOOKUP($A122,'Annex 2 EHV charges'!$D:$O,12,FALSE)),"")</f>
        <v>0.05</v>
      </c>
    </row>
    <row r="123" spans="1:8" ht="12.75" customHeight="1" x14ac:dyDescent="0.2">
      <c r="A123" s="94" t="str">
        <f t="array" ref="A123">IFERROR(INDEX('Annex 2 EHV charges'!$D$10:$D$301, MATCH(0, IF(ISBLANK('Annex 2 EHV charges'!$D$10:$D$301),1, COUNTIF(A$4:$A122, 'Annex 2 EHV charges'!$D$10:$D$301)), 0)),"")</f>
        <v>RANDCS</v>
      </c>
      <c r="B123" s="93">
        <f>IF($A123="","",VLOOKUP($A123,'Annex 2 EHV charges'!$D:$O,2,0))</f>
        <v>673</v>
      </c>
      <c r="C123" s="94">
        <f>IF($A123="","",VLOOKUP($A123,'Annex 2 EHV charges'!$D:$O,3,0))</f>
        <v>1050001041935</v>
      </c>
      <c r="D123" s="93" t="str">
        <f>IF($A123="","",VLOOKUP($A123,'Annex 2 EHV charges'!$D:$O,4,0))</f>
        <v>RANDCS</v>
      </c>
      <c r="E123" s="176" t="str">
        <f>IFERROR(IF(VLOOKUP($A123,'Annex 2 EHV charges'!$D:$O,9,FALSE)=0,"",VLOOKUP($A123,'Annex 2 EHV charges'!$D:$O,9,FALSE)),"")</f>
        <v/>
      </c>
      <c r="F123" s="178">
        <f>IFERROR(IF(VLOOKUP($A123,'Annex 2 EHV charges'!$D:$O,10,FALSE)=0,"",VLOOKUP($A123,'Annex 2 EHV charges'!$D:$O,10,FALSE)),"")</f>
        <v>1292.75</v>
      </c>
      <c r="G123" s="177">
        <f>IFERROR(IF(VLOOKUP($A123,'Annex 2 EHV charges'!$D:$O,11,FALSE)=0,"",VLOOKUP($A123,'Annex 2 EHV charges'!$D:$O,11,FALSE)),"")</f>
        <v>0.05</v>
      </c>
      <c r="H123" s="177">
        <f>IFERROR(IF(VLOOKUP($A123,'Annex 2 EHV charges'!$D:$O,12,FALSE)=0,"",VLOOKUP($A123,'Annex 2 EHV charges'!$D:$O,12,FALSE)),"")</f>
        <v>0.05</v>
      </c>
    </row>
    <row r="124" spans="1:8" ht="12.75" customHeight="1" x14ac:dyDescent="0.2">
      <c r="A124" s="94" t="str">
        <f t="array" ref="A124">IFERROR(INDEX('Annex 2 EHV charges'!$D$10:$D$301, MATCH(0, IF(ISBLANK('Annex 2 EHV charges'!$D$10:$D$301),1, COUNTIF(A$4:$A123, 'Annex 2 EHV charges'!$D$10:$D$301)), 0)),"")</f>
        <v>REDTI1</v>
      </c>
      <c r="B124" s="93">
        <f>IF($A124="","",VLOOKUP($A124,'Annex 2 EHV charges'!$D:$O,2,0))</f>
        <v>708</v>
      </c>
      <c r="C124" s="94" t="str">
        <f>IF($A124="","",VLOOKUP($A124,'Annex 2 EHV charges'!$D:$O,3,0))</f>
        <v>1030037258397
1030037258625</v>
      </c>
      <c r="D124" s="93" t="str">
        <f>IF($A124="","",VLOOKUP($A124,'Annex 2 EHV charges'!$D:$O,4,0))</f>
        <v>REDTI1</v>
      </c>
      <c r="E124" s="176" t="str">
        <f>IFERROR(IF(VLOOKUP($A124,'Annex 2 EHV charges'!$D:$O,9,FALSE)=0,"",VLOOKUP($A124,'Annex 2 EHV charges'!$D:$O,9,FALSE)),"")</f>
        <v/>
      </c>
      <c r="F124" s="178">
        <f>IFERROR(IF(VLOOKUP($A124,'Annex 2 EHV charges'!$D:$O,10,FALSE)=0,"",VLOOKUP($A124,'Annex 2 EHV charges'!$D:$O,10,FALSE)),"")</f>
        <v>8083.63</v>
      </c>
      <c r="G124" s="177">
        <f>IFERROR(IF(VLOOKUP($A124,'Annex 2 EHV charges'!$D:$O,11,FALSE)=0,"",VLOOKUP($A124,'Annex 2 EHV charges'!$D:$O,11,FALSE)),"")</f>
        <v>0.05</v>
      </c>
      <c r="H124" s="177">
        <f>IFERROR(IF(VLOOKUP($A124,'Annex 2 EHV charges'!$D:$O,12,FALSE)=0,"",VLOOKUP($A124,'Annex 2 EHV charges'!$D:$O,12,FALSE)),"")</f>
        <v>0.05</v>
      </c>
    </row>
    <row r="125" spans="1:8" ht="12.75" customHeight="1" x14ac:dyDescent="0.2">
      <c r="A125" s="94" t="str">
        <f t="array" ref="A125">IFERROR(INDEX('Annex 2 EHV charges'!$D$10:$D$301, MATCH(0, IF(ISBLANK('Annex 2 EHV charges'!$D$10:$D$301),1, COUNTIF(A$4:$A124, 'Annex 2 EHV charges'!$D$10:$D$301)), 0)),"")</f>
        <v>REYDON</v>
      </c>
      <c r="B125" s="93">
        <f>IF($A125="","",VLOOKUP($A125,'Annex 2 EHV charges'!$D:$O,2,0))</f>
        <v>776</v>
      </c>
      <c r="C125" s="94">
        <f>IF($A125="","",VLOOKUP($A125,'Annex 2 EHV charges'!$D:$O,3,0))</f>
        <v>1050000612807</v>
      </c>
      <c r="D125" s="93" t="str">
        <f>IF($A125="","",VLOOKUP($A125,'Annex 2 EHV charges'!$D:$O,4,0))</f>
        <v>REYDON</v>
      </c>
      <c r="E125" s="176" t="str">
        <f>IFERROR(IF(VLOOKUP($A125,'Annex 2 EHV charges'!$D:$O,9,FALSE)=0,"",VLOOKUP($A125,'Annex 2 EHV charges'!$D:$O,9,FALSE)),"")</f>
        <v/>
      </c>
      <c r="F125" s="178">
        <f>IFERROR(IF(VLOOKUP($A125,'Annex 2 EHV charges'!$D:$O,10,FALSE)=0,"",VLOOKUP($A125,'Annex 2 EHV charges'!$D:$O,10,FALSE)),"")</f>
        <v>564.6</v>
      </c>
      <c r="G125" s="177">
        <f>IFERROR(IF(VLOOKUP($A125,'Annex 2 EHV charges'!$D:$O,11,FALSE)=0,"",VLOOKUP($A125,'Annex 2 EHV charges'!$D:$O,11,FALSE)),"")</f>
        <v>0.05</v>
      </c>
      <c r="H125" s="177">
        <f>IFERROR(IF(VLOOKUP($A125,'Annex 2 EHV charges'!$D:$O,12,FALSE)=0,"",VLOOKUP($A125,'Annex 2 EHV charges'!$D:$O,12,FALSE)),"")</f>
        <v>0.05</v>
      </c>
    </row>
    <row r="126" spans="1:8" ht="12.75" customHeight="1" x14ac:dyDescent="0.2">
      <c r="A126" s="94" t="str">
        <f t="array" ref="A126">IFERROR(INDEX('Annex 2 EHV charges'!$D$10:$D$301, MATCH(0, IF(ISBLANK('Annex 2 EHV charges'!$D$10:$D$301),1, COUNTIF(A$4:$A125, 'Annex 2 EHV charges'!$D$10:$D$301)), 0)),"")</f>
        <v>RMSYSF</v>
      </c>
      <c r="B126" s="93">
        <f>IF($A126="","",VLOOKUP($A126,'Annex 2 EHV charges'!$D:$O,2,0))</f>
        <v>674</v>
      </c>
      <c r="C126" s="94">
        <f>IF($A126="","",VLOOKUP($A126,'Annex 2 EHV charges'!$D:$O,3,0))</f>
        <v>1050001036660</v>
      </c>
      <c r="D126" s="93" t="str">
        <f>IF($A126="","",VLOOKUP($A126,'Annex 2 EHV charges'!$D:$O,4,0))</f>
        <v>RMSYSF</v>
      </c>
      <c r="E126" s="176" t="str">
        <f>IFERROR(IF(VLOOKUP($A126,'Annex 2 EHV charges'!$D:$O,9,FALSE)=0,"",VLOOKUP($A126,'Annex 2 EHV charges'!$D:$O,9,FALSE)),"")</f>
        <v/>
      </c>
      <c r="F126" s="178">
        <f>IFERROR(IF(VLOOKUP($A126,'Annex 2 EHV charges'!$D:$O,10,FALSE)=0,"",VLOOKUP($A126,'Annex 2 EHV charges'!$D:$O,10,FALSE)),"")</f>
        <v>2549.98</v>
      </c>
      <c r="G126" s="177">
        <f>IFERROR(IF(VLOOKUP($A126,'Annex 2 EHV charges'!$D:$O,11,FALSE)=0,"",VLOOKUP($A126,'Annex 2 EHV charges'!$D:$O,11,FALSE)),"")</f>
        <v>0.05</v>
      </c>
      <c r="H126" s="177">
        <f>IFERROR(IF(VLOOKUP($A126,'Annex 2 EHV charges'!$D:$O,12,FALSE)=0,"",VLOOKUP($A126,'Annex 2 EHV charges'!$D:$O,12,FALSE)),"")</f>
        <v>0.05</v>
      </c>
    </row>
    <row r="127" spans="1:8" ht="12.75" customHeight="1" x14ac:dyDescent="0.2">
      <c r="A127" s="94" t="str">
        <f t="array" ref="A127">IFERROR(INDEX('Annex 2 EHV charges'!$D$10:$D$301, MATCH(0, IF(ISBLANK('Annex 2 EHV charges'!$D$10:$D$301),1, COUNTIF(A$4:$A126, 'Annex 2 EHV charges'!$D$10:$D$301)), 0)),"")</f>
        <v>RMWFII</v>
      </c>
      <c r="B127" s="93">
        <f>IF($A127="","",VLOOKUP($A127,'Annex 2 EHV charges'!$D:$O,2,0))</f>
        <v>675</v>
      </c>
      <c r="C127" s="94">
        <f>IF($A127="","",VLOOKUP($A127,'Annex 2 EHV charges'!$D:$O,3,0))</f>
        <v>1050000811230</v>
      </c>
      <c r="D127" s="93" t="str">
        <f>IF($A127="","",VLOOKUP($A127,'Annex 2 EHV charges'!$D:$O,4,0))</f>
        <v>RMWFII</v>
      </c>
      <c r="E127" s="176" t="str">
        <f>IFERROR(IF(VLOOKUP($A127,'Annex 2 EHV charges'!$D:$O,9,FALSE)=0,"",VLOOKUP($A127,'Annex 2 EHV charges'!$D:$O,9,FALSE)),"")</f>
        <v/>
      </c>
      <c r="F127" s="178">
        <f>IFERROR(IF(VLOOKUP($A127,'Annex 2 EHV charges'!$D:$O,10,FALSE)=0,"",VLOOKUP($A127,'Annex 2 EHV charges'!$D:$O,10,FALSE)),"")</f>
        <v>767.18</v>
      </c>
      <c r="G127" s="177">
        <f>IFERROR(IF(VLOOKUP($A127,'Annex 2 EHV charges'!$D:$O,11,FALSE)=0,"",VLOOKUP($A127,'Annex 2 EHV charges'!$D:$O,11,FALSE)),"")</f>
        <v>0.05</v>
      </c>
      <c r="H127" s="177">
        <f>IFERROR(IF(VLOOKUP($A127,'Annex 2 EHV charges'!$D:$O,12,FALSE)=0,"",VLOOKUP($A127,'Annex 2 EHV charges'!$D:$O,12,FALSE)),"")</f>
        <v>0.05</v>
      </c>
    </row>
    <row r="128" spans="1:8" ht="12.75" customHeight="1" x14ac:dyDescent="0.2">
      <c r="A128" s="94" t="str">
        <f t="array" ref="A128">IFERROR(INDEX('Annex 2 EHV charges'!$D$10:$D$301, MATCH(0, IF(ISBLANK('Annex 2 EHV charges'!$D$10:$D$301),1, COUNTIF(A$4:$A127, 'Annex 2 EHV charges'!$D$10:$D$301)), 0)),"")</f>
        <v>ROOKRY</v>
      </c>
      <c r="B128" s="93">
        <f>IF($A128="","",VLOOKUP($A128,'Annex 2 EHV charges'!$D:$O,2,0))</f>
        <v>676</v>
      </c>
      <c r="C128" s="94">
        <f>IF($A128="","",VLOOKUP($A128,'Annex 2 EHV charges'!$D:$O,3,0))</f>
        <v>1050001028474</v>
      </c>
      <c r="D128" s="93" t="str">
        <f>IF($A128="","",VLOOKUP($A128,'Annex 2 EHV charges'!$D:$O,4,0))</f>
        <v>ROOKRY</v>
      </c>
      <c r="E128" s="176" t="str">
        <f>IFERROR(IF(VLOOKUP($A128,'Annex 2 EHV charges'!$D:$O,9,FALSE)=0,"",VLOOKUP($A128,'Annex 2 EHV charges'!$D:$O,9,FALSE)),"")</f>
        <v/>
      </c>
      <c r="F128" s="178">
        <f>IFERROR(IF(VLOOKUP($A128,'Annex 2 EHV charges'!$D:$O,10,FALSE)=0,"",VLOOKUP($A128,'Annex 2 EHV charges'!$D:$O,10,FALSE)),"")</f>
        <v>252.09</v>
      </c>
      <c r="G128" s="177">
        <f>IFERROR(IF(VLOOKUP($A128,'Annex 2 EHV charges'!$D:$O,11,FALSE)=0,"",VLOOKUP($A128,'Annex 2 EHV charges'!$D:$O,11,FALSE)),"")</f>
        <v>0.05</v>
      </c>
      <c r="H128" s="177">
        <f>IFERROR(IF(VLOOKUP($A128,'Annex 2 EHV charges'!$D:$O,12,FALSE)=0,"",VLOOKUP($A128,'Annex 2 EHV charges'!$D:$O,12,FALSE)),"")</f>
        <v>0.05</v>
      </c>
    </row>
    <row r="129" spans="1:8" ht="12.75" customHeight="1" x14ac:dyDescent="0.2">
      <c r="A129" s="94" t="str">
        <f t="array" ref="A129">IFERROR(INDEX('Annex 2 EHV charges'!$D$10:$D$301, MATCH(0, IF(ISBLANK('Annex 2 EHV charges'!$D$10:$D$301),1, COUNTIF(A$4:$A128, 'Annex 2 EHV charges'!$D$10:$D$301)), 0)),"")</f>
        <v>ROYSTN</v>
      </c>
      <c r="B129" s="93">
        <f>IF($A129="","",VLOOKUP($A129,'Annex 2 EHV charges'!$D:$O,2,0))</f>
        <v>677</v>
      </c>
      <c r="C129" s="94">
        <f>IF($A129="","",VLOOKUP($A129,'Annex 2 EHV charges'!$D:$O,3,0))</f>
        <v>1050000996114</v>
      </c>
      <c r="D129" s="93" t="str">
        <f>IF($A129="","",VLOOKUP($A129,'Annex 2 EHV charges'!$D:$O,4,0))</f>
        <v>ROYSTN</v>
      </c>
      <c r="E129" s="176" t="str">
        <f>IFERROR(IF(VLOOKUP($A129,'Annex 2 EHV charges'!$D:$O,9,FALSE)=0,"",VLOOKUP($A129,'Annex 2 EHV charges'!$D:$O,9,FALSE)),"")</f>
        <v/>
      </c>
      <c r="F129" s="178">
        <f>IFERROR(IF(VLOOKUP($A129,'Annex 2 EHV charges'!$D:$O,10,FALSE)=0,"",VLOOKUP($A129,'Annex 2 EHV charges'!$D:$O,10,FALSE)),"")</f>
        <v>719.81</v>
      </c>
      <c r="G129" s="177">
        <f>IFERROR(IF(VLOOKUP($A129,'Annex 2 EHV charges'!$D:$O,11,FALSE)=0,"",VLOOKUP($A129,'Annex 2 EHV charges'!$D:$O,11,FALSE)),"")</f>
        <v>0.05</v>
      </c>
      <c r="H129" s="177">
        <f>IFERROR(IF(VLOOKUP($A129,'Annex 2 EHV charges'!$D:$O,12,FALSE)=0,"",VLOOKUP($A129,'Annex 2 EHV charges'!$D:$O,12,FALSE)),"")</f>
        <v>0.05</v>
      </c>
    </row>
    <row r="130" spans="1:8" ht="12.75" customHeight="1" x14ac:dyDescent="0.2">
      <c r="A130" s="94" t="str">
        <f t="array" ref="A130">IFERROR(INDEX('Annex 2 EHV charges'!$D$10:$D$301, MATCH(0, IF(ISBLANK('Annex 2 EHV charges'!$D$10:$D$301),1, COUNTIF(A$4:$A129, 'Annex 2 EHV charges'!$D$10:$D$301)), 0)),"")</f>
        <v>SALHSE</v>
      </c>
      <c r="B130" s="93">
        <f>IF($A130="","",VLOOKUP($A130,'Annex 2 EHV charges'!$D:$O,2,0))</f>
        <v>678</v>
      </c>
      <c r="C130" s="94">
        <f>IF($A130="","",VLOOKUP($A130,'Annex 2 EHV charges'!$D:$O,3,0))</f>
        <v>1050000946034</v>
      </c>
      <c r="D130" s="93" t="str">
        <f>IF($A130="","",VLOOKUP($A130,'Annex 2 EHV charges'!$D:$O,4,0))</f>
        <v>SALHSE</v>
      </c>
      <c r="E130" s="176" t="str">
        <f>IFERROR(IF(VLOOKUP($A130,'Annex 2 EHV charges'!$D:$O,9,FALSE)=0,"",VLOOKUP($A130,'Annex 2 EHV charges'!$D:$O,9,FALSE)),"")</f>
        <v/>
      </c>
      <c r="F130" s="178">
        <f>IFERROR(IF(VLOOKUP($A130,'Annex 2 EHV charges'!$D:$O,10,FALSE)=0,"",VLOOKUP($A130,'Annex 2 EHV charges'!$D:$O,10,FALSE)),"")</f>
        <v>764.78</v>
      </c>
      <c r="G130" s="177">
        <f>IFERROR(IF(VLOOKUP($A130,'Annex 2 EHV charges'!$D:$O,11,FALSE)=0,"",VLOOKUP($A130,'Annex 2 EHV charges'!$D:$O,11,FALSE)),"")</f>
        <v>0.05</v>
      </c>
      <c r="H130" s="177">
        <f>IFERROR(IF(VLOOKUP($A130,'Annex 2 EHV charges'!$D:$O,12,FALSE)=0,"",VLOOKUP($A130,'Annex 2 EHV charges'!$D:$O,12,FALSE)),"")</f>
        <v>0.05</v>
      </c>
    </row>
    <row r="131" spans="1:8" ht="12.75" customHeight="1" x14ac:dyDescent="0.2">
      <c r="A131" s="94" t="str">
        <f t="array" ref="A131">IFERROR(INDEX('Annex 2 EHV charges'!$D$10:$D$301, MATCH(0, IF(ISBLANK('Annex 2 EHV charges'!$D$10:$D$301),1, COUNTIF(A$4:$A130, 'Annex 2 EHV charges'!$D$10:$D$301)), 0)),"")</f>
        <v>SCMOOR</v>
      </c>
      <c r="B131" s="93">
        <f>IF($A131="","",VLOOKUP($A131,'Annex 2 EHV charges'!$D:$O,2,0))</f>
        <v>694</v>
      </c>
      <c r="C131" s="94" t="str">
        <f>IF($A131="","",VLOOKUP($A131,'Annex 2 EHV charges'!$D:$O,3,0))</f>
        <v>1050001073500
1050001073510
1050001073529
1050001073538
1050001073547</v>
      </c>
      <c r="D131" s="93" t="str">
        <f>IF($A131="","",VLOOKUP($A131,'Annex 2 EHV charges'!$D:$O,4,0))</f>
        <v>SCMOOR</v>
      </c>
      <c r="E131" s="176" t="str">
        <f>IFERROR(IF(VLOOKUP($A131,'Annex 2 EHV charges'!$D:$O,9,FALSE)=0,"",VLOOKUP($A131,'Annex 2 EHV charges'!$D:$O,9,FALSE)),"")</f>
        <v/>
      </c>
      <c r="F131" s="178">
        <f>IFERROR(IF(VLOOKUP($A131,'Annex 2 EHV charges'!$D:$O,10,FALSE)=0,"",VLOOKUP($A131,'Annex 2 EHV charges'!$D:$O,10,FALSE)),"")</f>
        <v>3039.5</v>
      </c>
      <c r="G131" s="177">
        <f>IFERROR(IF(VLOOKUP($A131,'Annex 2 EHV charges'!$D:$O,11,FALSE)=0,"",VLOOKUP($A131,'Annex 2 EHV charges'!$D:$O,11,FALSE)),"")</f>
        <v>0.05</v>
      </c>
      <c r="H131" s="177">
        <f>IFERROR(IF(VLOOKUP($A131,'Annex 2 EHV charges'!$D:$O,12,FALSE)=0,"",VLOOKUP($A131,'Annex 2 EHV charges'!$D:$O,12,FALSE)),"")</f>
        <v>0.05</v>
      </c>
    </row>
    <row r="132" spans="1:8" ht="12.75" customHeight="1" x14ac:dyDescent="0.2">
      <c r="A132" s="94" t="str">
        <f t="array" ref="A132">IFERROR(INDEX('Annex 2 EHV charges'!$D$10:$D$301, MATCH(0, IF(ISBLANK('Annex 2 EHV charges'!$D$10:$D$301),1, COUNTIF(A$4:$A131, 'Annex 2 EHV charges'!$D$10:$D$301)), 0)),"")</f>
        <v>SCTTOW</v>
      </c>
      <c r="B132" s="93">
        <f>IF($A132="","",VLOOKUP($A132,'Annex 2 EHV charges'!$D:$O,2,0))</f>
        <v>459</v>
      </c>
      <c r="C132" s="94">
        <f>IF($A132="","",VLOOKUP($A132,'Annex 2 EHV charges'!$D:$O,3,0))</f>
        <v>1050000841971</v>
      </c>
      <c r="D132" s="93" t="str">
        <f>IF($A132="","",VLOOKUP($A132,'Annex 2 EHV charges'!$D:$O,4,0))</f>
        <v>SCTTOW</v>
      </c>
      <c r="E132" s="176" t="str">
        <f>IFERROR(IF(VLOOKUP($A132,'Annex 2 EHV charges'!$D:$O,9,FALSE)=0,"",VLOOKUP($A132,'Annex 2 EHV charges'!$D:$O,9,FALSE)),"")</f>
        <v/>
      </c>
      <c r="F132" s="178">
        <f>IFERROR(IF(VLOOKUP($A132,'Annex 2 EHV charges'!$D:$O,10,FALSE)=0,"",VLOOKUP($A132,'Annex 2 EHV charges'!$D:$O,10,FALSE)),"")</f>
        <v>1515.25</v>
      </c>
      <c r="G132" s="177">
        <f>IFERROR(IF(VLOOKUP($A132,'Annex 2 EHV charges'!$D:$O,11,FALSE)=0,"",VLOOKUP($A132,'Annex 2 EHV charges'!$D:$O,11,FALSE)),"")</f>
        <v>0.05</v>
      </c>
      <c r="H132" s="177">
        <f>IFERROR(IF(VLOOKUP($A132,'Annex 2 EHV charges'!$D:$O,12,FALSE)=0,"",VLOOKUP($A132,'Annex 2 EHV charges'!$D:$O,12,FALSE)),"")</f>
        <v>0.05</v>
      </c>
    </row>
    <row r="133" spans="1:8" ht="12.75" customHeight="1" x14ac:dyDescent="0.2">
      <c r="A133" s="94" t="str">
        <f t="array" ref="A133">IFERROR(INDEX('Annex 2 EHV charges'!$D$10:$D$301, MATCH(0, IF(ISBLANK('Annex 2 EHV charges'!$D$10:$D$301),1, COUNTIF(A$4:$A132, 'Annex 2 EHV charges'!$D$10:$D$301)), 0)),"")</f>
        <v>SFKEFW</v>
      </c>
      <c r="B133" s="93">
        <f>IF($A133="","",VLOOKUP($A133,'Annex 2 EHV charges'!$D:$O,2,0))</f>
        <v>470</v>
      </c>
      <c r="C133" s="94">
        <f>IF($A133="","",VLOOKUP($A133,'Annex 2 EHV charges'!$D:$O,3,0))</f>
        <v>1050000628018</v>
      </c>
      <c r="D133" s="93" t="str">
        <f>IF($A133="","",VLOOKUP($A133,'Annex 2 EHV charges'!$D:$O,4,0))</f>
        <v>SFKEFW</v>
      </c>
      <c r="E133" s="176">
        <f>IFERROR(IF(VLOOKUP($A133,'Annex 2 EHV charges'!$D:$O,9,FALSE)=0,"",VLOOKUP($A133,'Annex 2 EHV charges'!$D:$O,9,FALSE)),"")</f>
        <v>-0.26</v>
      </c>
      <c r="F133" s="178">
        <f>IFERROR(IF(VLOOKUP($A133,'Annex 2 EHV charges'!$D:$O,10,FALSE)=0,"",VLOOKUP($A133,'Annex 2 EHV charges'!$D:$O,10,FALSE)),"")</f>
        <v>5313.48</v>
      </c>
      <c r="G133" s="177">
        <f>IFERROR(IF(VLOOKUP($A133,'Annex 2 EHV charges'!$D:$O,11,FALSE)=0,"",VLOOKUP($A133,'Annex 2 EHV charges'!$D:$O,11,FALSE)),"")</f>
        <v>0.05</v>
      </c>
      <c r="H133" s="177">
        <f>IFERROR(IF(VLOOKUP($A133,'Annex 2 EHV charges'!$D:$O,12,FALSE)=0,"",VLOOKUP($A133,'Annex 2 EHV charges'!$D:$O,12,FALSE)),"")</f>
        <v>0.05</v>
      </c>
    </row>
    <row r="134" spans="1:8" ht="12.75" customHeight="1" x14ac:dyDescent="0.2">
      <c r="A134" s="94" t="str">
        <f t="array" ref="A134">IFERROR(INDEX('Annex 2 EHV charges'!$D$10:$D$301, MATCH(0, IF(ISBLANK('Annex 2 EHV charges'!$D$10:$D$301),1, COUNTIF(A$4:$A133, 'Annex 2 EHV charges'!$D$10:$D$301)), 0)),"")</f>
        <v>SHERSH</v>
      </c>
      <c r="B134" s="93">
        <f>IF($A134="","",VLOOKUP($A134,'Annex 2 EHV charges'!$D:$O,2,0))</f>
        <v>0</v>
      </c>
      <c r="C134" s="94" t="str">
        <f>IF($A134="","",VLOOKUP($A134,'Annex 2 EHV charges'!$D:$O,3,0))</f>
        <v xml:space="preserve"> MSID: 7234</v>
      </c>
      <c r="D134" s="93" t="str">
        <f>IF($A134="","",VLOOKUP($A134,'Annex 2 EHV charges'!$D:$O,4,0))</f>
        <v>SHERSH</v>
      </c>
      <c r="E134" s="176" t="str">
        <f>IFERROR(IF(VLOOKUP($A134,'Annex 2 EHV charges'!$D:$O,9,FALSE)=0,"",VLOOKUP($A134,'Annex 2 EHV charges'!$D:$O,9,FALSE)),"")</f>
        <v/>
      </c>
      <c r="F134" s="178">
        <f>IFERROR(IF(VLOOKUP($A134,'Annex 2 EHV charges'!$D:$O,10,FALSE)=0,"",VLOOKUP($A134,'Annex 2 EHV charges'!$D:$O,10,FALSE)),"")</f>
        <v>1253.6400000000001</v>
      </c>
      <c r="G134" s="177">
        <f>IFERROR(IF(VLOOKUP($A134,'Annex 2 EHV charges'!$D:$O,11,FALSE)=0,"",VLOOKUP($A134,'Annex 2 EHV charges'!$D:$O,11,FALSE)),"")</f>
        <v>0.05</v>
      </c>
      <c r="H134" s="177">
        <f>IFERROR(IF(VLOOKUP($A134,'Annex 2 EHV charges'!$D:$O,12,FALSE)=0,"",VLOOKUP($A134,'Annex 2 EHV charges'!$D:$O,12,FALSE)),"")</f>
        <v>0.05</v>
      </c>
    </row>
    <row r="135" spans="1:8" ht="12.75" customHeight="1" x14ac:dyDescent="0.2">
      <c r="A135" s="94" t="str">
        <f t="array" ref="A135">IFERROR(INDEX('Annex 2 EHV charges'!$D$10:$D$301, MATCH(0, IF(ISBLANK('Annex 2 EHV charges'!$D$10:$D$301),1, COUNTIF(A$4:$A134, 'Annex 2 EHV charges'!$D$10:$D$301)), 0)),"")</f>
        <v>SNTBRE</v>
      </c>
      <c r="B135" s="93">
        <f>IF($A135="","",VLOOKUP($A135,'Annex 2 EHV charges'!$D:$O,2,0))</f>
        <v>695</v>
      </c>
      <c r="C135" s="94">
        <f>IF($A135="","",VLOOKUP($A135,'Annex 2 EHV charges'!$D:$O,3,0))</f>
        <v>1050001084229</v>
      </c>
      <c r="D135" s="93" t="str">
        <f>IF($A135="","",VLOOKUP($A135,'Annex 2 EHV charges'!$D:$O,4,0))</f>
        <v>SNTBRE</v>
      </c>
      <c r="E135" s="176">
        <f>IFERROR(IF(VLOOKUP($A135,'Annex 2 EHV charges'!$D:$O,9,FALSE)=0,"",VLOOKUP($A135,'Annex 2 EHV charges'!$D:$O,9,FALSE)),"")</f>
        <v>-2.7839999999999998</v>
      </c>
      <c r="F135" s="178">
        <f>IFERROR(IF(VLOOKUP($A135,'Annex 2 EHV charges'!$D:$O,10,FALSE)=0,"",VLOOKUP($A135,'Annex 2 EHV charges'!$D:$O,10,FALSE)),"")</f>
        <v>12819.1</v>
      </c>
      <c r="G135" s="177">
        <f>IFERROR(IF(VLOOKUP($A135,'Annex 2 EHV charges'!$D:$O,11,FALSE)=0,"",VLOOKUP($A135,'Annex 2 EHV charges'!$D:$O,11,FALSE)),"")</f>
        <v>0.05</v>
      </c>
      <c r="H135" s="177">
        <f>IFERROR(IF(VLOOKUP($A135,'Annex 2 EHV charges'!$D:$O,12,FALSE)=0,"",VLOOKUP($A135,'Annex 2 EHV charges'!$D:$O,12,FALSE)),"")</f>
        <v>0.05</v>
      </c>
    </row>
    <row r="136" spans="1:8" ht="12.75" customHeight="1" x14ac:dyDescent="0.2">
      <c r="A136" s="94" t="str">
        <f t="array" ref="A136">IFERROR(INDEX('Annex 2 EHV charges'!$D$10:$D$301, MATCH(0, IF(ISBLANK('Annex 2 EHV charges'!$D$10:$D$301),1, COUNTIF(A$4:$A135, 'Annex 2 EHV charges'!$D$10:$D$301)), 0)),"")</f>
        <v>SPRIGS</v>
      </c>
      <c r="B136" s="93">
        <f>IF($A136="","",VLOOKUP($A136,'Annex 2 EHV charges'!$D:$O,2,0))</f>
        <v>778</v>
      </c>
      <c r="C136" s="94">
        <f>IF($A136="","",VLOOKUP($A136,'Annex 2 EHV charges'!$D:$O,3,0))</f>
        <v>1050000540028</v>
      </c>
      <c r="D136" s="93" t="str">
        <f>IF($A136="","",VLOOKUP($A136,'Annex 2 EHV charges'!$D:$O,4,0))</f>
        <v>SPRIGS</v>
      </c>
      <c r="E136" s="176" t="str">
        <f>IFERROR(IF(VLOOKUP($A136,'Annex 2 EHV charges'!$D:$O,9,FALSE)=0,"",VLOOKUP($A136,'Annex 2 EHV charges'!$D:$O,9,FALSE)),"")</f>
        <v/>
      </c>
      <c r="F136" s="178">
        <f>IFERROR(IF(VLOOKUP($A136,'Annex 2 EHV charges'!$D:$O,10,FALSE)=0,"",VLOOKUP($A136,'Annex 2 EHV charges'!$D:$O,10,FALSE)),"")</f>
        <v>916.19</v>
      </c>
      <c r="G136" s="177">
        <f>IFERROR(IF(VLOOKUP($A136,'Annex 2 EHV charges'!$D:$O,11,FALSE)=0,"",VLOOKUP($A136,'Annex 2 EHV charges'!$D:$O,11,FALSE)),"")</f>
        <v>0.05</v>
      </c>
      <c r="H136" s="177">
        <f>IFERROR(IF(VLOOKUP($A136,'Annex 2 EHV charges'!$D:$O,12,FALSE)=0,"",VLOOKUP($A136,'Annex 2 EHV charges'!$D:$O,12,FALSE)),"")</f>
        <v>0.05</v>
      </c>
    </row>
    <row r="137" spans="1:8" ht="12.75" customHeight="1" x14ac:dyDescent="0.2">
      <c r="A137" s="94" t="str">
        <f t="array" ref="A137">IFERROR(INDEX('Annex 2 EHV charges'!$D$10:$D$301, MATCH(0, IF(ISBLANK('Annex 2 EHV charges'!$D$10:$D$301),1, COUNTIF(A$4:$A136, 'Annex 2 EHV charges'!$D$10:$D$301)), 0)),"")</f>
        <v>STAGSH</v>
      </c>
      <c r="B137" s="93">
        <f>IF($A137="","",VLOOKUP($A137,'Annex 2 EHV charges'!$D:$O,2,0))</f>
        <v>717</v>
      </c>
      <c r="C137" s="94">
        <f>IF($A137="","",VLOOKUP($A137,'Annex 2 EHV charges'!$D:$O,3,0))</f>
        <v>1030037478509</v>
      </c>
      <c r="D137" s="93" t="str">
        <f>IF($A137="","",VLOOKUP($A137,'Annex 2 EHV charges'!$D:$O,4,0))</f>
        <v>STAGSH</v>
      </c>
      <c r="E137" s="176" t="str">
        <f>IFERROR(IF(VLOOKUP($A137,'Annex 2 EHV charges'!$D:$O,9,FALSE)=0,"",VLOOKUP($A137,'Annex 2 EHV charges'!$D:$O,9,FALSE)),"")</f>
        <v/>
      </c>
      <c r="F137" s="178">
        <f>IFERROR(IF(VLOOKUP($A137,'Annex 2 EHV charges'!$D:$O,10,FALSE)=0,"",VLOOKUP($A137,'Annex 2 EHV charges'!$D:$O,10,FALSE)),"")</f>
        <v>3720.35</v>
      </c>
      <c r="G137" s="177">
        <f>IFERROR(IF(VLOOKUP($A137,'Annex 2 EHV charges'!$D:$O,11,FALSE)=0,"",VLOOKUP($A137,'Annex 2 EHV charges'!$D:$O,11,FALSE)),"")</f>
        <v>0.05</v>
      </c>
      <c r="H137" s="177">
        <f>IFERROR(IF(VLOOKUP($A137,'Annex 2 EHV charges'!$D:$O,12,FALSE)=0,"",VLOOKUP($A137,'Annex 2 EHV charges'!$D:$O,12,FALSE)),"")</f>
        <v>0.05</v>
      </c>
    </row>
    <row r="138" spans="1:8" ht="12.75" customHeight="1" x14ac:dyDescent="0.2">
      <c r="A138" s="94" t="str">
        <f t="array" ref="A138">IFERROR(INDEX('Annex 2 EHV charges'!$D$10:$D$301, MATCH(0, IF(ISBLANK('Annex 2 EHV charges'!$D$10:$D$301),1, COUNTIF(A$4:$A137, 'Annex 2 EHV charges'!$D$10:$D$301)), 0)),"")</f>
        <v>STNPTS</v>
      </c>
      <c r="B138" s="93">
        <f>IF($A138="","",VLOOKUP($A138,'Annex 2 EHV charges'!$D:$O,2,0))</f>
        <v>697</v>
      </c>
      <c r="C138" s="94">
        <f>IF($A138="","",VLOOKUP($A138,'Annex 2 EHV charges'!$D:$O,3,0))</f>
        <v>1050001232437</v>
      </c>
      <c r="D138" s="93" t="str">
        <f>IF($A138="","",VLOOKUP($A138,'Annex 2 EHV charges'!$D:$O,4,0))</f>
        <v>STNPTS</v>
      </c>
      <c r="E138" s="176" t="str">
        <f>IFERROR(IF(VLOOKUP($A138,'Annex 2 EHV charges'!$D:$O,9,FALSE)=0,"",VLOOKUP($A138,'Annex 2 EHV charges'!$D:$O,9,FALSE)),"")</f>
        <v/>
      </c>
      <c r="F138" s="178">
        <f>IFERROR(IF(VLOOKUP($A138,'Annex 2 EHV charges'!$D:$O,10,FALSE)=0,"",VLOOKUP($A138,'Annex 2 EHV charges'!$D:$O,10,FALSE)),"")</f>
        <v>668.74</v>
      </c>
      <c r="G138" s="177">
        <f>IFERROR(IF(VLOOKUP($A138,'Annex 2 EHV charges'!$D:$O,11,FALSE)=0,"",VLOOKUP($A138,'Annex 2 EHV charges'!$D:$O,11,FALSE)),"")</f>
        <v>0.05</v>
      </c>
      <c r="H138" s="177">
        <f>IFERROR(IF(VLOOKUP($A138,'Annex 2 EHV charges'!$D:$O,12,FALSE)=0,"",VLOOKUP($A138,'Annex 2 EHV charges'!$D:$O,12,FALSE)),"")</f>
        <v>0.05</v>
      </c>
    </row>
    <row r="139" spans="1:8" ht="12.75" customHeight="1" x14ac:dyDescent="0.2">
      <c r="A139" s="94" t="str">
        <f t="array" ref="A139">IFERROR(INDEX('Annex 2 EHV charges'!$D$10:$D$301, MATCH(0, IF(ISBLANK('Annex 2 EHV charges'!$D$10:$D$301),1, COUNTIF(A$4:$A138, 'Annex 2 EHV charges'!$D$10:$D$301)), 0)),"")</f>
        <v>STOSTH</v>
      </c>
      <c r="B139" s="93">
        <f>IF($A139="","",VLOOKUP($A139,'Annex 2 EHV charges'!$D:$O,2,0))</f>
        <v>460</v>
      </c>
      <c r="C139" s="94">
        <f>IF($A139="","",VLOOKUP($A139,'Annex 2 EHV charges'!$D:$O,3,0))</f>
        <v>1050000759740</v>
      </c>
      <c r="D139" s="93" t="str">
        <f>IF($A139="","",VLOOKUP($A139,'Annex 2 EHV charges'!$D:$O,4,0))</f>
        <v>STOSTH</v>
      </c>
      <c r="E139" s="176" t="str">
        <f>IFERROR(IF(VLOOKUP($A139,'Annex 2 EHV charges'!$D:$O,9,FALSE)=0,"",VLOOKUP($A139,'Annex 2 EHV charges'!$D:$O,9,FALSE)),"")</f>
        <v/>
      </c>
      <c r="F139" s="178">
        <f>IFERROR(IF(VLOOKUP($A139,'Annex 2 EHV charges'!$D:$O,10,FALSE)=0,"",VLOOKUP($A139,'Annex 2 EHV charges'!$D:$O,10,FALSE)),"")</f>
        <v>1304.71</v>
      </c>
      <c r="G139" s="177">
        <f>IFERROR(IF(VLOOKUP($A139,'Annex 2 EHV charges'!$D:$O,11,FALSE)=0,"",VLOOKUP($A139,'Annex 2 EHV charges'!$D:$O,11,FALSE)),"")</f>
        <v>0.05</v>
      </c>
      <c r="H139" s="177">
        <f>IFERROR(IF(VLOOKUP($A139,'Annex 2 EHV charges'!$D:$O,12,FALSE)=0,"",VLOOKUP($A139,'Annex 2 EHV charges'!$D:$O,12,FALSE)),"")</f>
        <v>0.05</v>
      </c>
    </row>
    <row r="140" spans="1:8" ht="12.75" customHeight="1" x14ac:dyDescent="0.2">
      <c r="A140" s="94" t="str">
        <f t="array" ref="A140">IFERROR(INDEX('Annex 2 EHV charges'!$D$10:$D$301, MATCH(0, IF(ISBLANK('Annex 2 EHV charges'!$D$10:$D$301),1, COUNTIF(A$4:$A139, 'Annex 2 EHV charges'!$D$10:$D$301)), 0)),"")</f>
        <v>STRTHL</v>
      </c>
      <c r="B140" s="93">
        <f>IF($A140="","",VLOOKUP($A140,'Annex 2 EHV charges'!$D:$O,2,0))</f>
        <v>775</v>
      </c>
      <c r="C140" s="94">
        <f>IF($A140="","",VLOOKUP($A140,'Annex 2 EHV charges'!$D:$O,3,0))</f>
        <v>1050000563381</v>
      </c>
      <c r="D140" s="93" t="str">
        <f>IF($A140="","",VLOOKUP($A140,'Annex 2 EHV charges'!$D:$O,4,0))</f>
        <v>STRTHL</v>
      </c>
      <c r="E140" s="176" t="str">
        <f>IFERROR(IF(VLOOKUP($A140,'Annex 2 EHV charges'!$D:$O,9,FALSE)=0,"",VLOOKUP($A140,'Annex 2 EHV charges'!$D:$O,9,FALSE)),"")</f>
        <v/>
      </c>
      <c r="F140" s="178">
        <f>IFERROR(IF(VLOOKUP($A140,'Annex 2 EHV charges'!$D:$O,10,FALSE)=0,"",VLOOKUP($A140,'Annex 2 EHV charges'!$D:$O,10,FALSE)),"")</f>
        <v>542.17999999999995</v>
      </c>
      <c r="G140" s="177">
        <f>IFERROR(IF(VLOOKUP($A140,'Annex 2 EHV charges'!$D:$O,11,FALSE)=0,"",VLOOKUP($A140,'Annex 2 EHV charges'!$D:$O,11,FALSE)),"")</f>
        <v>0.05</v>
      </c>
      <c r="H140" s="177">
        <f>IFERROR(IF(VLOOKUP($A140,'Annex 2 EHV charges'!$D:$O,12,FALSE)=0,"",VLOOKUP($A140,'Annex 2 EHV charges'!$D:$O,12,FALSE)),"")</f>
        <v>0.05</v>
      </c>
    </row>
    <row r="141" spans="1:8" ht="12.75" customHeight="1" x14ac:dyDescent="0.2">
      <c r="A141" s="94" t="str">
        <f t="array" ref="A141">IFERROR(INDEX('Annex 2 EHV charges'!$D$10:$D$301, MATCH(0, IF(ISBLANK('Annex 2 EHV charges'!$D$10:$D$301),1, COUNTIF(A$4:$A140, 'Annex 2 EHV charges'!$D$10:$D$301)), 0)),"")</f>
        <v>STWBRG</v>
      </c>
      <c r="B141" s="93">
        <f>IF($A141="","",VLOOKUP($A141,'Annex 2 EHV charges'!$D:$O,2,0))</f>
        <v>732</v>
      </c>
      <c r="C141" s="94">
        <f>IF($A141="","",VLOOKUP($A141,'Annex 2 EHV charges'!$D:$O,3,0))</f>
        <v>1050000613856</v>
      </c>
      <c r="D141" s="93" t="str">
        <f>IF($A141="","",VLOOKUP($A141,'Annex 2 EHV charges'!$D:$O,4,0))</f>
        <v>STWBRG</v>
      </c>
      <c r="E141" s="176" t="str">
        <f>IFERROR(IF(VLOOKUP($A141,'Annex 2 EHV charges'!$D:$O,9,FALSE)=0,"",VLOOKUP($A141,'Annex 2 EHV charges'!$D:$O,9,FALSE)),"")</f>
        <v/>
      </c>
      <c r="F141" s="178">
        <f>IFERROR(IF(VLOOKUP($A141,'Annex 2 EHV charges'!$D:$O,10,FALSE)=0,"",VLOOKUP($A141,'Annex 2 EHV charges'!$D:$O,10,FALSE)),"")</f>
        <v>1240.31</v>
      </c>
      <c r="G141" s="177">
        <f>IFERROR(IF(VLOOKUP($A141,'Annex 2 EHV charges'!$D:$O,11,FALSE)=0,"",VLOOKUP($A141,'Annex 2 EHV charges'!$D:$O,11,FALSE)),"")</f>
        <v>0.05</v>
      </c>
      <c r="H141" s="177">
        <f>IFERROR(IF(VLOOKUP($A141,'Annex 2 EHV charges'!$D:$O,12,FALSE)=0,"",VLOOKUP($A141,'Annex 2 EHV charges'!$D:$O,12,FALSE)),"")</f>
        <v>0.05</v>
      </c>
    </row>
    <row r="142" spans="1:8" ht="12.75" customHeight="1" x14ac:dyDescent="0.2">
      <c r="A142" s="94" t="str">
        <f t="array" ref="A142">IFERROR(INDEX('Annex 2 EHV charges'!$D$10:$D$301, MATCH(0, IF(ISBLANK('Annex 2 EHV charges'!$D$10:$D$301),1, COUNTIF(A$4:$A141, 'Annex 2 EHV charges'!$D$10:$D$301)), 0)),"")</f>
        <v>SWNLND</v>
      </c>
      <c r="B142" s="93">
        <f>IF($A142="","",VLOOKUP($A142,'Annex 2 EHV charges'!$D:$O,2,0))</f>
        <v>696</v>
      </c>
      <c r="C142" s="94">
        <f>IF($A142="","",VLOOKUP($A142,'Annex 2 EHV charges'!$D:$O,3,0))</f>
        <v>1050001290020</v>
      </c>
      <c r="D142" s="93" t="str">
        <f>IF($A142="","",VLOOKUP($A142,'Annex 2 EHV charges'!$D:$O,4,0))</f>
        <v>SWNLND</v>
      </c>
      <c r="E142" s="176" t="str">
        <f>IFERROR(IF(VLOOKUP($A142,'Annex 2 EHV charges'!$D:$O,9,FALSE)=0,"",VLOOKUP($A142,'Annex 2 EHV charges'!$D:$O,9,FALSE)),"")</f>
        <v/>
      </c>
      <c r="F142" s="178">
        <f>IFERROR(IF(VLOOKUP($A142,'Annex 2 EHV charges'!$D:$O,10,FALSE)=0,"",VLOOKUP($A142,'Annex 2 EHV charges'!$D:$O,10,FALSE)),"")</f>
        <v>607.65</v>
      </c>
      <c r="G142" s="177">
        <f>IFERROR(IF(VLOOKUP($A142,'Annex 2 EHV charges'!$D:$O,11,FALSE)=0,"",VLOOKUP($A142,'Annex 2 EHV charges'!$D:$O,11,FALSE)),"")</f>
        <v>0.05</v>
      </c>
      <c r="H142" s="177">
        <f>IFERROR(IF(VLOOKUP($A142,'Annex 2 EHV charges'!$D:$O,12,FALSE)=0,"",VLOOKUP($A142,'Annex 2 EHV charges'!$D:$O,12,FALSE)),"")</f>
        <v>0.05</v>
      </c>
    </row>
    <row r="143" spans="1:8" ht="12.75" customHeight="1" x14ac:dyDescent="0.2">
      <c r="A143" s="94" t="str">
        <f t="array" ref="A143">IFERROR(INDEX('Annex 2 EHV charges'!$D$10:$D$301, MATCH(0, IF(ISBLANK('Annex 2 EHV charges'!$D$10:$D$301),1, COUNTIF(A$4:$A142, 'Annex 2 EHV charges'!$D$10:$D$301)), 0)),"")</f>
        <v>TILBUR</v>
      </c>
      <c r="B143" s="93">
        <f>IF($A143="","",VLOOKUP($A143,'Annex 2 EHV charges'!$D:$O,2,0))</f>
        <v>733</v>
      </c>
      <c r="C143" s="94" t="str">
        <f>IF($A143="","",VLOOKUP($A143,'Annex 2 EHV charges'!$D:$O,3,0))</f>
        <v>1030084129409
1030084129630
1030084129862</v>
      </c>
      <c r="D143" s="93" t="str">
        <f>IF($A143="","",VLOOKUP($A143,'Annex 2 EHV charges'!$D:$O,4,0))</f>
        <v>TILBUR</v>
      </c>
      <c r="E143" s="176" t="str">
        <f>IFERROR(IF(VLOOKUP($A143,'Annex 2 EHV charges'!$D:$O,9,FALSE)=0,"",VLOOKUP($A143,'Annex 2 EHV charges'!$D:$O,9,FALSE)),"")</f>
        <v/>
      </c>
      <c r="F143" s="178">
        <f>IFERROR(IF(VLOOKUP($A143,'Annex 2 EHV charges'!$D:$O,10,FALSE)=0,"",VLOOKUP($A143,'Annex 2 EHV charges'!$D:$O,10,FALSE)),"")</f>
        <v>786.68</v>
      </c>
      <c r="G143" s="177">
        <f>IFERROR(IF(VLOOKUP($A143,'Annex 2 EHV charges'!$D:$O,11,FALSE)=0,"",VLOOKUP($A143,'Annex 2 EHV charges'!$D:$O,11,FALSE)),"")</f>
        <v>0.05</v>
      </c>
      <c r="H143" s="177">
        <f>IFERROR(IF(VLOOKUP($A143,'Annex 2 EHV charges'!$D:$O,12,FALSE)=0,"",VLOOKUP($A143,'Annex 2 EHV charges'!$D:$O,12,FALSE)),"")</f>
        <v>0.05</v>
      </c>
    </row>
    <row r="144" spans="1:8" ht="12.75" customHeight="1" x14ac:dyDescent="0.2">
      <c r="A144" s="94" t="str">
        <f t="array" ref="A144">IFERROR(INDEX('Annex 2 EHV charges'!$D$10:$D$301, MATCH(0, IF(ISBLANK('Annex 2 EHV charges'!$D$10:$D$301),1, COUNTIF(A$4:$A143, 'Annex 2 EHV charges'!$D$10:$D$301)), 0)),"")</f>
        <v>TILGRN</v>
      </c>
      <c r="B144" s="93">
        <f>IF($A144="","",VLOOKUP($A144,'Annex 2 EHV charges'!$D:$O,2,0))</f>
        <v>0</v>
      </c>
      <c r="C144" s="94" t="str">
        <f>IF($A144="","",VLOOKUP($A144,'Annex 2 EHV charges'!$D:$O,3,0))</f>
        <v>MSID: 7323</v>
      </c>
      <c r="D144" s="93" t="str">
        <f>IF($A144="","",VLOOKUP($A144,'Annex 2 EHV charges'!$D:$O,4,0))</f>
        <v>TILGRN</v>
      </c>
      <c r="E144" s="176">
        <f>IFERROR(IF(VLOOKUP($A144,'Annex 2 EHV charges'!$D:$O,9,FALSE)=0,"",VLOOKUP($A144,'Annex 2 EHV charges'!$D:$O,9,FALSE)),"")</f>
        <v>-0.56100000000000005</v>
      </c>
      <c r="F144" s="178">
        <f>IFERROR(IF(VLOOKUP($A144,'Annex 2 EHV charges'!$D:$O,10,FALSE)=0,"",VLOOKUP($A144,'Annex 2 EHV charges'!$D:$O,10,FALSE)),"")</f>
        <v>16590.41</v>
      </c>
      <c r="G144" s="177">
        <f>IFERROR(IF(VLOOKUP($A144,'Annex 2 EHV charges'!$D:$O,11,FALSE)=0,"",VLOOKUP($A144,'Annex 2 EHV charges'!$D:$O,11,FALSE)),"")</f>
        <v>0.05</v>
      </c>
      <c r="H144" s="177">
        <f>IFERROR(IF(VLOOKUP($A144,'Annex 2 EHV charges'!$D:$O,12,FALSE)=0,"",VLOOKUP($A144,'Annex 2 EHV charges'!$D:$O,12,FALSE)),"")</f>
        <v>0.05</v>
      </c>
    </row>
    <row r="145" spans="1:8" ht="12.75" customHeight="1" x14ac:dyDescent="0.2">
      <c r="A145" s="94" t="str">
        <f t="array" ref="A145">IFERROR(INDEX('Annex 2 EHV charges'!$D$10:$D$301, MATCH(0, IF(ISBLANK('Annex 2 EHV charges'!$D$10:$D$301),1, COUNTIF(A$4:$A144, 'Annex 2 EHV charges'!$D$10:$D$301)), 0)),"")</f>
        <v>TOGGAM</v>
      </c>
      <c r="B145" s="93">
        <f>IF($A145="","",VLOOKUP($A145,'Annex 2 EHV charges'!$D:$O,2,0))</f>
        <v>679</v>
      </c>
      <c r="C145" s="94">
        <f>IF($A145="","",VLOOKUP($A145,'Annex 2 EHV charges'!$D:$O,3,0))</f>
        <v>1050001059384</v>
      </c>
      <c r="D145" s="93" t="str">
        <f>IF($A145="","",VLOOKUP($A145,'Annex 2 EHV charges'!$D:$O,4,0))</f>
        <v>TOGGAM</v>
      </c>
      <c r="E145" s="176" t="str">
        <f>IFERROR(IF(VLOOKUP($A145,'Annex 2 EHV charges'!$D:$O,9,FALSE)=0,"",VLOOKUP($A145,'Annex 2 EHV charges'!$D:$O,9,FALSE)),"")</f>
        <v/>
      </c>
      <c r="F145" s="178">
        <f>IFERROR(IF(VLOOKUP($A145,'Annex 2 EHV charges'!$D:$O,10,FALSE)=0,"",VLOOKUP($A145,'Annex 2 EHV charges'!$D:$O,10,FALSE)),"")</f>
        <v>3867.1</v>
      </c>
      <c r="G145" s="177">
        <f>IFERROR(IF(VLOOKUP($A145,'Annex 2 EHV charges'!$D:$O,11,FALSE)=0,"",VLOOKUP($A145,'Annex 2 EHV charges'!$D:$O,11,FALSE)),"")</f>
        <v>0.05</v>
      </c>
      <c r="H145" s="177">
        <f>IFERROR(IF(VLOOKUP($A145,'Annex 2 EHV charges'!$D:$O,12,FALSE)=0,"",VLOOKUP($A145,'Annex 2 EHV charges'!$D:$O,12,FALSE)),"")</f>
        <v>0.05</v>
      </c>
    </row>
    <row r="146" spans="1:8" ht="12.75" customHeight="1" x14ac:dyDescent="0.2">
      <c r="A146" s="94" t="str">
        <f t="array" ref="A146">IFERROR(INDEX('Annex 2 EHV charges'!$D$10:$D$301, MATCH(0, IF(ISBLANK('Annex 2 EHV charges'!$D$10:$D$301),1, COUNTIF(A$4:$A145, 'Annex 2 EHV charges'!$D$10:$D$301)), 0)),"")</f>
        <v>TOOLEY</v>
      </c>
      <c r="B146" s="93">
        <f>IF($A146="","",VLOOKUP($A146,'Annex 2 EHV charges'!$D:$O,2,0))</f>
        <v>680</v>
      </c>
      <c r="C146" s="94">
        <f>IF($A146="","",VLOOKUP($A146,'Annex 2 EHV charges'!$D:$O,3,0))</f>
        <v>1050000903226</v>
      </c>
      <c r="D146" s="93" t="str">
        <f>IF($A146="","",VLOOKUP($A146,'Annex 2 EHV charges'!$D:$O,4,0))</f>
        <v>TOOLEY</v>
      </c>
      <c r="E146" s="176" t="str">
        <f>IFERROR(IF(VLOOKUP($A146,'Annex 2 EHV charges'!$D:$O,9,FALSE)=0,"",VLOOKUP($A146,'Annex 2 EHV charges'!$D:$O,9,FALSE)),"")</f>
        <v/>
      </c>
      <c r="F146" s="178">
        <f>IFERROR(IF(VLOOKUP($A146,'Annex 2 EHV charges'!$D:$O,10,FALSE)=0,"",VLOOKUP($A146,'Annex 2 EHV charges'!$D:$O,10,FALSE)),"")</f>
        <v>863.82</v>
      </c>
      <c r="G146" s="177">
        <f>IFERROR(IF(VLOOKUP($A146,'Annex 2 EHV charges'!$D:$O,11,FALSE)=0,"",VLOOKUP($A146,'Annex 2 EHV charges'!$D:$O,11,FALSE)),"")</f>
        <v>0.05</v>
      </c>
      <c r="H146" s="177">
        <f>IFERROR(IF(VLOOKUP($A146,'Annex 2 EHV charges'!$D:$O,12,FALSE)=0,"",VLOOKUP($A146,'Annex 2 EHV charges'!$D:$O,12,FALSE)),"")</f>
        <v>0.05</v>
      </c>
    </row>
    <row r="147" spans="1:8" ht="12.75" customHeight="1" x14ac:dyDescent="0.2">
      <c r="A147" s="94" t="str">
        <f t="array" ref="A147">IFERROR(INDEX('Annex 2 EHV charges'!$D$10:$D$301, MATCH(0, IF(ISBLANK('Annex 2 EHV charges'!$D$10:$D$301),1, COUNTIF(A$4:$A146, 'Annex 2 EHV charges'!$D$10:$D$301)), 0)),"")</f>
        <v>TRNCLE</v>
      </c>
      <c r="B147" s="93">
        <f>IF($A147="","",VLOOKUP($A147,'Annex 2 EHV charges'!$D:$O,2,0))</f>
        <v>698</v>
      </c>
      <c r="C147" s="94">
        <f>IF($A147="","",VLOOKUP($A147,'Annex 2 EHV charges'!$D:$O,3,0))</f>
        <v>1050001078651</v>
      </c>
      <c r="D147" s="93" t="str">
        <f>IF($A147="","",VLOOKUP($A147,'Annex 2 EHV charges'!$D:$O,4,0))</f>
        <v>TRNCLE</v>
      </c>
      <c r="E147" s="176" t="str">
        <f>IFERROR(IF(VLOOKUP($A147,'Annex 2 EHV charges'!$D:$O,9,FALSE)=0,"",VLOOKUP($A147,'Annex 2 EHV charges'!$D:$O,9,FALSE)),"")</f>
        <v/>
      </c>
      <c r="F147" s="178">
        <f>IFERROR(IF(VLOOKUP($A147,'Annex 2 EHV charges'!$D:$O,10,FALSE)=0,"",VLOOKUP($A147,'Annex 2 EHV charges'!$D:$O,10,FALSE)),"")</f>
        <v>9228.8799999999992</v>
      </c>
      <c r="G147" s="177">
        <f>IFERROR(IF(VLOOKUP($A147,'Annex 2 EHV charges'!$D:$O,11,FALSE)=0,"",VLOOKUP($A147,'Annex 2 EHV charges'!$D:$O,11,FALSE)),"")</f>
        <v>0.05</v>
      </c>
      <c r="H147" s="177">
        <f>IFERROR(IF(VLOOKUP($A147,'Annex 2 EHV charges'!$D:$O,12,FALSE)=0,"",VLOOKUP($A147,'Annex 2 EHV charges'!$D:$O,12,FALSE)),"")</f>
        <v>0.05</v>
      </c>
    </row>
    <row r="148" spans="1:8" ht="12.75" customHeight="1" x14ac:dyDescent="0.2">
      <c r="A148" s="94" t="str">
        <f t="array" ref="A148">IFERROR(INDEX('Annex 2 EHV charges'!$D$10:$D$301, MATCH(0, IF(ISBLANK('Annex 2 EHV charges'!$D$10:$D$301),1, COUNTIF(A$4:$A147, 'Annex 2 EHV charges'!$D$10:$D$301)), 0)),"")</f>
        <v>UKPRST</v>
      </c>
      <c r="B148" s="93">
        <f>IF($A148="","",VLOOKUP($A148,'Annex 2 EHV charges'!$D:$O,2,0))</f>
        <v>699</v>
      </c>
      <c r="C148" s="94">
        <f>IF($A148="","",VLOOKUP($A148,'Annex 2 EHV charges'!$D:$O,3,0))</f>
        <v>1050001052184</v>
      </c>
      <c r="D148" s="93" t="str">
        <f>IF($A148="","",VLOOKUP($A148,'Annex 2 EHV charges'!$D:$O,4,0))</f>
        <v>UKPRST</v>
      </c>
      <c r="E148" s="176">
        <f>IFERROR(IF(VLOOKUP($A148,'Annex 2 EHV charges'!$D:$O,9,FALSE)=0,"",VLOOKUP($A148,'Annex 2 EHV charges'!$D:$O,9,FALSE)),"")</f>
        <v>-0.32</v>
      </c>
      <c r="F148" s="178">
        <f>IFERROR(IF(VLOOKUP($A148,'Annex 2 EHV charges'!$D:$O,10,FALSE)=0,"",VLOOKUP($A148,'Annex 2 EHV charges'!$D:$O,10,FALSE)),"")</f>
        <v>251.69</v>
      </c>
      <c r="G148" s="177">
        <f>IFERROR(IF(VLOOKUP($A148,'Annex 2 EHV charges'!$D:$O,11,FALSE)=0,"",VLOOKUP($A148,'Annex 2 EHV charges'!$D:$O,11,FALSE)),"")</f>
        <v>0.05</v>
      </c>
      <c r="H148" s="177">
        <f>IFERROR(IF(VLOOKUP($A148,'Annex 2 EHV charges'!$D:$O,12,FALSE)=0,"",VLOOKUP($A148,'Annex 2 EHV charges'!$D:$O,12,FALSE)),"")</f>
        <v>0.05</v>
      </c>
    </row>
    <row r="149" spans="1:8" x14ac:dyDescent="0.2">
      <c r="A149" s="94" t="str">
        <f t="array" ref="A149">IFERROR(INDEX('Annex 2 EHV charges'!$D$10:$D$301, MATCH(0, IF(ISBLANK('Annex 2 EHV charges'!$D$10:$D$301),1, COUNTIF(A$4:$A148, 'Annex 2 EHV charges'!$D$10:$D$301)), 0)),"")</f>
        <v>VINESF</v>
      </c>
      <c r="B149" s="93">
        <f>IF($A149="","",VLOOKUP($A149,'Annex 2 EHV charges'!$D:$O,2,0))</f>
        <v>681</v>
      </c>
      <c r="C149" s="94">
        <f>IF($A149="","",VLOOKUP($A149,'Annex 2 EHV charges'!$D:$O,3,0))</f>
        <v>1050000996150</v>
      </c>
      <c r="D149" s="93" t="str">
        <f>IF($A149="","",VLOOKUP($A149,'Annex 2 EHV charges'!$D:$O,4,0))</f>
        <v>VINESF</v>
      </c>
      <c r="E149" s="176" t="str">
        <f>IFERROR(IF(VLOOKUP($A149,'Annex 2 EHV charges'!$D:$O,9,FALSE)=0,"",VLOOKUP($A149,'Annex 2 EHV charges'!$D:$O,9,FALSE)),"")</f>
        <v/>
      </c>
      <c r="F149" s="178">
        <f>IFERROR(IF(VLOOKUP($A149,'Annex 2 EHV charges'!$D:$O,10,FALSE)=0,"",VLOOKUP($A149,'Annex 2 EHV charges'!$D:$O,10,FALSE)),"")</f>
        <v>21846.87</v>
      </c>
      <c r="G149" s="177">
        <f>IFERROR(IF(VLOOKUP($A149,'Annex 2 EHV charges'!$D:$O,11,FALSE)=0,"",VLOOKUP($A149,'Annex 2 EHV charges'!$D:$O,11,FALSE)),"")</f>
        <v>0.05</v>
      </c>
      <c r="H149" s="177">
        <f>IFERROR(IF(VLOOKUP($A149,'Annex 2 EHV charges'!$D:$O,12,FALSE)=0,"",VLOOKUP($A149,'Annex 2 EHV charges'!$D:$O,12,FALSE)),"")</f>
        <v>0.05</v>
      </c>
    </row>
    <row r="150" spans="1:8" x14ac:dyDescent="0.2">
      <c r="A150" s="94" t="str">
        <f t="array" ref="A150">IFERROR(INDEX('Annex 2 EHV charges'!$D$10:$D$301, MATCH(0, IF(ISBLANK('Annex 2 EHV charges'!$D$10:$D$301),1, COUNTIF(A$4:$A149, 'Annex 2 EHV charges'!$D$10:$D$301)), 0)),"")</f>
        <v>WAIRWF</v>
      </c>
      <c r="B150" s="93">
        <f>IF($A150="","",VLOOKUP($A150,'Annex 2 EHV charges'!$D:$O,2,0))</f>
        <v>779</v>
      </c>
      <c r="C150" s="94">
        <f>IF($A150="","",VLOOKUP($A150,'Annex 2 EHV charges'!$D:$O,3,0))</f>
        <v>1050000529664</v>
      </c>
      <c r="D150" s="93" t="str">
        <f>IF($A150="","",VLOOKUP($A150,'Annex 2 EHV charges'!$D:$O,4,0))</f>
        <v>WAIRWF</v>
      </c>
      <c r="E150" s="176" t="str">
        <f>IFERROR(IF(VLOOKUP($A150,'Annex 2 EHV charges'!$D:$O,9,FALSE)=0,"",VLOOKUP($A150,'Annex 2 EHV charges'!$D:$O,9,FALSE)),"")</f>
        <v/>
      </c>
      <c r="F150" s="178">
        <f>IFERROR(IF(VLOOKUP($A150,'Annex 2 EHV charges'!$D:$O,10,FALSE)=0,"",VLOOKUP($A150,'Annex 2 EHV charges'!$D:$O,10,FALSE)),"")</f>
        <v>893.74</v>
      </c>
      <c r="G150" s="177">
        <f>IFERROR(IF(VLOOKUP($A150,'Annex 2 EHV charges'!$D:$O,11,FALSE)=0,"",VLOOKUP($A150,'Annex 2 EHV charges'!$D:$O,11,FALSE)),"")</f>
        <v>0.05</v>
      </c>
      <c r="H150" s="177">
        <f>IFERROR(IF(VLOOKUP($A150,'Annex 2 EHV charges'!$D:$O,12,FALSE)=0,"",VLOOKUP($A150,'Annex 2 EHV charges'!$D:$O,12,FALSE)),"")</f>
        <v>0.05</v>
      </c>
    </row>
    <row r="151" spans="1:8" x14ac:dyDescent="0.2">
      <c r="A151" s="94" t="str">
        <f t="array" ref="A151">IFERROR(INDEX('Annex 2 EHV charges'!$D$10:$D$301, MATCH(0, IF(ISBLANK('Annex 2 EHV charges'!$D$10:$D$301),1, COUNTIF(A$4:$A150, 'Annex 2 EHV charges'!$D$10:$D$301)), 0)),"")</f>
        <v>WDLWWF</v>
      </c>
      <c r="B151" s="93">
        <f>IF($A151="","",VLOOKUP($A151,'Annex 2 EHV charges'!$D:$O,2,0))</f>
        <v>742</v>
      </c>
      <c r="C151" s="94">
        <f>IF($A151="","",VLOOKUP($A151,'Annex 2 EHV charges'!$D:$O,3,0))</f>
        <v>1030078016924</v>
      </c>
      <c r="D151" s="93" t="str">
        <f>IF($A151="","",VLOOKUP($A151,'Annex 2 EHV charges'!$D:$O,4,0))</f>
        <v>WDLWWF</v>
      </c>
      <c r="E151" s="176" t="str">
        <f>IFERROR(IF(VLOOKUP($A151,'Annex 2 EHV charges'!$D:$O,9,FALSE)=0,"",VLOOKUP($A151,'Annex 2 EHV charges'!$D:$O,9,FALSE)),"")</f>
        <v/>
      </c>
      <c r="F151" s="178">
        <f>IFERROR(IF(VLOOKUP($A151,'Annex 2 EHV charges'!$D:$O,10,FALSE)=0,"",VLOOKUP($A151,'Annex 2 EHV charges'!$D:$O,10,FALSE)),"")</f>
        <v>669.15</v>
      </c>
      <c r="G151" s="177">
        <f>IFERROR(IF(VLOOKUP($A151,'Annex 2 EHV charges'!$D:$O,11,FALSE)=0,"",VLOOKUP($A151,'Annex 2 EHV charges'!$D:$O,11,FALSE)),"")</f>
        <v>0.05</v>
      </c>
      <c r="H151" s="177">
        <f>IFERROR(IF(VLOOKUP($A151,'Annex 2 EHV charges'!$D:$O,12,FALSE)=0,"",VLOOKUP($A151,'Annex 2 EHV charges'!$D:$O,12,FALSE)),"")</f>
        <v>0.05</v>
      </c>
    </row>
    <row r="152" spans="1:8" x14ac:dyDescent="0.2">
      <c r="A152" s="94" t="str">
        <f t="array" ref="A152">IFERROR(INDEX('Annex 2 EHV charges'!$D$10:$D$301, MATCH(0, IF(ISBLANK('Annex 2 EHV charges'!$D$10:$D$301),1, COUNTIF(A$4:$A151, 'Annex 2 EHV charges'!$D$10:$D$301)), 0)),"")</f>
        <v>WDLWWW</v>
      </c>
      <c r="B152" s="93">
        <f>IF($A152="","",VLOOKUP($A152,'Annex 2 EHV charges'!$D:$O,2,0))</f>
        <v>650</v>
      </c>
      <c r="C152" s="94">
        <f>IF($A152="","",VLOOKUP($A152,'Annex 2 EHV charges'!$D:$O,3,0))</f>
        <v>1030078017157</v>
      </c>
      <c r="D152" s="93" t="str">
        <f>IF($A152="","",VLOOKUP($A152,'Annex 2 EHV charges'!$D:$O,4,0))</f>
        <v>WDLWWW</v>
      </c>
      <c r="E152" s="176" t="str">
        <f>IFERROR(IF(VLOOKUP($A152,'Annex 2 EHV charges'!$D:$O,9,FALSE)=0,"",VLOOKUP($A152,'Annex 2 EHV charges'!$D:$O,9,FALSE)),"")</f>
        <v/>
      </c>
      <c r="F152" s="178">
        <f>IFERROR(IF(VLOOKUP($A152,'Annex 2 EHV charges'!$D:$O,10,FALSE)=0,"",VLOOKUP($A152,'Annex 2 EHV charges'!$D:$O,10,FALSE)),"")</f>
        <v>666.91</v>
      </c>
      <c r="G152" s="177">
        <f>IFERROR(IF(VLOOKUP($A152,'Annex 2 EHV charges'!$D:$O,11,FALSE)=0,"",VLOOKUP($A152,'Annex 2 EHV charges'!$D:$O,11,FALSE)),"")</f>
        <v>0.05</v>
      </c>
      <c r="H152" s="177">
        <f>IFERROR(IF(VLOOKUP($A152,'Annex 2 EHV charges'!$D:$O,12,FALSE)=0,"",VLOOKUP($A152,'Annex 2 EHV charges'!$D:$O,12,FALSE)),"")</f>
        <v>0.05</v>
      </c>
    </row>
    <row r="153" spans="1:8" x14ac:dyDescent="0.2">
      <c r="A153" s="94" t="str">
        <f t="array" ref="A153">IFERROR(INDEX('Annex 2 EHV charges'!$D$10:$D$301, MATCH(0, IF(ISBLANK('Annex 2 EHV charges'!$D$10:$D$301),1, COUNTIF(A$4:$A152, 'Annex 2 EHV charges'!$D$10:$D$301)), 0)),"")</f>
        <v>WHMLWF</v>
      </c>
      <c r="B153" s="93">
        <f>IF($A153="","",VLOOKUP($A153,'Annex 2 EHV charges'!$D:$O,2,0))</f>
        <v>743</v>
      </c>
      <c r="C153" s="94">
        <f>IF($A153="","",VLOOKUP($A153,'Annex 2 EHV charges'!$D:$O,3,0))</f>
        <v>1030079196820</v>
      </c>
      <c r="D153" s="93" t="str">
        <f>IF($A153="","",VLOOKUP($A153,'Annex 2 EHV charges'!$D:$O,4,0))</f>
        <v>WHMLWF</v>
      </c>
      <c r="E153" s="176" t="str">
        <f>IFERROR(IF(VLOOKUP($A153,'Annex 2 EHV charges'!$D:$O,9,FALSE)=0,"",VLOOKUP($A153,'Annex 2 EHV charges'!$D:$O,9,FALSE)),"")</f>
        <v/>
      </c>
      <c r="F153" s="178">
        <f>IFERROR(IF(VLOOKUP($A153,'Annex 2 EHV charges'!$D:$O,10,FALSE)=0,"",VLOOKUP($A153,'Annex 2 EHV charges'!$D:$O,10,FALSE)),"")</f>
        <v>2942.66</v>
      </c>
      <c r="G153" s="177">
        <f>IFERROR(IF(VLOOKUP($A153,'Annex 2 EHV charges'!$D:$O,11,FALSE)=0,"",VLOOKUP($A153,'Annex 2 EHV charges'!$D:$O,11,FALSE)),"")</f>
        <v>0.05</v>
      </c>
      <c r="H153" s="177">
        <f>IFERROR(IF(VLOOKUP($A153,'Annex 2 EHV charges'!$D:$O,12,FALSE)=0,"",VLOOKUP($A153,'Annex 2 EHV charges'!$D:$O,12,FALSE)),"")</f>
        <v>0.05</v>
      </c>
    </row>
    <row r="154" spans="1:8" x14ac:dyDescent="0.2">
      <c r="A154" s="94" t="str">
        <f t="array" ref="A154">IFERROR(INDEX('Annex 2 EHV charges'!$D$10:$D$301, MATCH(0, IF(ISBLANK('Annex 2 EHV charges'!$D$10:$D$301),1, COUNTIF(A$4:$A153, 'Annex 2 EHV charges'!$D$10:$D$301)), 0)),"")</f>
        <v>WIGGIN</v>
      </c>
      <c r="B154" s="93">
        <f>IF($A154="","",VLOOKUP($A154,'Annex 2 EHV charges'!$D:$O,2,0))</f>
        <v>461</v>
      </c>
      <c r="C154" s="94">
        <f>IF($A154="","",VLOOKUP($A154,'Annex 2 EHV charges'!$D:$O,3,0))</f>
        <v>1050000769154</v>
      </c>
      <c r="D154" s="93" t="str">
        <f>IF($A154="","",VLOOKUP($A154,'Annex 2 EHV charges'!$D:$O,4,0))</f>
        <v>WIGGIN</v>
      </c>
      <c r="E154" s="176" t="str">
        <f>IFERROR(IF(VLOOKUP($A154,'Annex 2 EHV charges'!$D:$O,9,FALSE)=0,"",VLOOKUP($A154,'Annex 2 EHV charges'!$D:$O,9,FALSE)),"")</f>
        <v/>
      </c>
      <c r="F154" s="178">
        <f>IFERROR(IF(VLOOKUP($A154,'Annex 2 EHV charges'!$D:$O,10,FALSE)=0,"",VLOOKUP($A154,'Annex 2 EHV charges'!$D:$O,10,FALSE)),"")</f>
        <v>1285.52</v>
      </c>
      <c r="G154" s="177">
        <f>IFERROR(IF(VLOOKUP($A154,'Annex 2 EHV charges'!$D:$O,11,FALSE)=0,"",VLOOKUP($A154,'Annex 2 EHV charges'!$D:$O,11,FALSE)),"")</f>
        <v>0.05</v>
      </c>
      <c r="H154" s="177">
        <f>IFERROR(IF(VLOOKUP($A154,'Annex 2 EHV charges'!$D:$O,12,FALSE)=0,"",VLOOKUP($A154,'Annex 2 EHV charges'!$D:$O,12,FALSE)),"")</f>
        <v>0.05</v>
      </c>
    </row>
    <row r="155" spans="1:8" x14ac:dyDescent="0.2">
      <c r="A155" s="94" t="str">
        <f t="array" ref="A155">IFERROR(INDEX('Annex 2 EHV charges'!$D$10:$D$301, MATCH(0, IF(ISBLANK('Annex 2 EHV charges'!$D$10:$D$301),1, COUNTIF(A$4:$A154, 'Annex 2 EHV charges'!$D$10:$D$301)), 0)),"")</f>
        <v>WLBRHM</v>
      </c>
      <c r="B155" s="93">
        <f>IF($A155="","",VLOOKUP($A155,'Annex 2 EHV charges'!$D:$O,2,0))</f>
        <v>462</v>
      </c>
      <c r="C155" s="94">
        <f>IF($A155="","",VLOOKUP($A155,'Annex 2 EHV charges'!$D:$O,3,0))</f>
        <v>1050000714164</v>
      </c>
      <c r="D155" s="93" t="str">
        <f>IF($A155="","",VLOOKUP($A155,'Annex 2 EHV charges'!$D:$O,4,0))</f>
        <v>WLBRHM</v>
      </c>
      <c r="E155" s="176" t="str">
        <f>IFERROR(IF(VLOOKUP($A155,'Annex 2 EHV charges'!$D:$O,9,FALSE)=0,"",VLOOKUP($A155,'Annex 2 EHV charges'!$D:$O,9,FALSE)),"")</f>
        <v/>
      </c>
      <c r="F155" s="178">
        <f>IFERROR(IF(VLOOKUP($A155,'Annex 2 EHV charges'!$D:$O,10,FALSE)=0,"",VLOOKUP($A155,'Annex 2 EHV charges'!$D:$O,10,FALSE)),"")</f>
        <v>5722.43</v>
      </c>
      <c r="G155" s="177">
        <f>IFERROR(IF(VLOOKUP($A155,'Annex 2 EHV charges'!$D:$O,11,FALSE)=0,"",VLOOKUP($A155,'Annex 2 EHV charges'!$D:$O,11,FALSE)),"")</f>
        <v>0.05</v>
      </c>
      <c r="H155" s="177">
        <f>IFERROR(IF(VLOOKUP($A155,'Annex 2 EHV charges'!$D:$O,12,FALSE)=0,"",VLOOKUP($A155,'Annex 2 EHV charges'!$D:$O,12,FALSE)),"")</f>
        <v>0.05</v>
      </c>
    </row>
    <row r="156" spans="1:8" x14ac:dyDescent="0.2">
      <c r="A156" s="94" t="str">
        <f t="array" ref="A156">IFERROR(INDEX('Annex 2 EHV charges'!$D$10:$D$301, MATCH(0, IF(ISBLANK('Annex 2 EHV charges'!$D$10:$D$301),1, COUNTIF(A$4:$A155, 'Annex 2 EHV charges'!$D$10:$D$301)), 0)),"")</f>
        <v>WOOLLY</v>
      </c>
      <c r="B156" s="93">
        <f>IF($A156="","",VLOOKUP($A156,'Annex 2 EHV charges'!$D:$O,2,0))</f>
        <v>464</v>
      </c>
      <c r="C156" s="94">
        <f>IF($A156="","",VLOOKUP($A156,'Annex 2 EHV charges'!$D:$O,3,0))</f>
        <v>1050000555910</v>
      </c>
      <c r="D156" s="93" t="str">
        <f>IF($A156="","",VLOOKUP($A156,'Annex 2 EHV charges'!$D:$O,4,0))</f>
        <v>WOOLLY</v>
      </c>
      <c r="E156" s="176" t="str">
        <f>IFERROR(IF(VLOOKUP($A156,'Annex 2 EHV charges'!$D:$O,9,FALSE)=0,"",VLOOKUP($A156,'Annex 2 EHV charges'!$D:$O,9,FALSE)),"")</f>
        <v/>
      </c>
      <c r="F156" s="178">
        <f>IFERROR(IF(VLOOKUP($A156,'Annex 2 EHV charges'!$D:$O,10,FALSE)=0,"",VLOOKUP($A156,'Annex 2 EHV charges'!$D:$O,10,FALSE)),"")</f>
        <v>5672.43</v>
      </c>
      <c r="G156" s="177">
        <f>IFERROR(IF(VLOOKUP($A156,'Annex 2 EHV charges'!$D:$O,11,FALSE)=0,"",VLOOKUP($A156,'Annex 2 EHV charges'!$D:$O,11,FALSE)),"")</f>
        <v>0.05</v>
      </c>
      <c r="H156" s="177">
        <f>IFERROR(IF(VLOOKUP($A156,'Annex 2 EHV charges'!$D:$O,12,FALSE)=0,"",VLOOKUP($A156,'Annex 2 EHV charges'!$D:$O,12,FALSE)),"")</f>
        <v>0.05</v>
      </c>
    </row>
    <row r="157" spans="1:8" x14ac:dyDescent="0.2">
      <c r="A157" s="94" t="str">
        <f t="array" ref="A157">IFERROR(INDEX('Annex 2 EHV charges'!$D$10:$D$301, MATCH(0, IF(ISBLANK('Annex 2 EHV charges'!$D$10:$D$301),1, COUNTIF(A$4:$A156, 'Annex 2 EHV charges'!$D$10:$D$301)), 0)),"")</f>
        <v>WRYDEC</v>
      </c>
      <c r="B157" s="93">
        <f>IF($A157="","",VLOOKUP($A157,'Annex 2 EHV charges'!$D:$O,2,0))</f>
        <v>682</v>
      </c>
      <c r="C157" s="94">
        <f>IF($A157="","",VLOOKUP($A157,'Annex 2 EHV charges'!$D:$O,3,0))</f>
        <v>1050000948120</v>
      </c>
      <c r="D157" s="93" t="str">
        <f>IF($A157="","",VLOOKUP($A157,'Annex 2 EHV charges'!$D:$O,4,0))</f>
        <v>WRYDEC</v>
      </c>
      <c r="E157" s="176" t="str">
        <f>IFERROR(IF(VLOOKUP($A157,'Annex 2 EHV charges'!$D:$O,9,FALSE)=0,"",VLOOKUP($A157,'Annex 2 EHV charges'!$D:$O,9,FALSE)),"")</f>
        <v/>
      </c>
      <c r="F157" s="178">
        <f>IFERROR(IF(VLOOKUP($A157,'Annex 2 EHV charges'!$D:$O,10,FALSE)=0,"",VLOOKUP($A157,'Annex 2 EHV charges'!$D:$O,10,FALSE)),"")</f>
        <v>5838.21</v>
      </c>
      <c r="G157" s="177">
        <f>IFERROR(IF(VLOOKUP($A157,'Annex 2 EHV charges'!$D:$O,11,FALSE)=0,"",VLOOKUP($A157,'Annex 2 EHV charges'!$D:$O,11,FALSE)),"")</f>
        <v>0.05</v>
      </c>
      <c r="H157" s="177">
        <f>IFERROR(IF(VLOOKUP($A157,'Annex 2 EHV charges'!$D:$O,12,FALSE)=0,"",VLOOKUP($A157,'Annex 2 EHV charges'!$D:$O,12,FALSE)),"")</f>
        <v>0.05</v>
      </c>
    </row>
    <row r="158" spans="1:8" x14ac:dyDescent="0.2">
      <c r="A158" s="94" t="str">
        <f t="array" ref="A158">IFERROR(INDEX('Annex 2 EHV charges'!$D$10:$D$301, MATCH(0, IF(ISBLANK('Annex 2 EHV charges'!$D$10:$D$301),1, COUNTIF(A$4:$A157, 'Annex 2 EHV charges'!$D$10:$D$301)), 0)),"")</f>
        <v>WSBRDG</v>
      </c>
      <c r="B158" s="93">
        <f>IF($A158="","",VLOOKUP($A158,'Annex 2 EHV charges'!$D:$O,2,0))</f>
        <v>463</v>
      </c>
      <c r="C158" s="94">
        <f>IF($A158="","",VLOOKUP($A158,'Annex 2 EHV charges'!$D:$O,3,0))</f>
        <v>1050000650680</v>
      </c>
      <c r="D158" s="93" t="str">
        <f>IF($A158="","",VLOOKUP($A158,'Annex 2 EHV charges'!$D:$O,4,0))</f>
        <v>WSBRDG</v>
      </c>
      <c r="E158" s="176" t="str">
        <f>IFERROR(IF(VLOOKUP($A158,'Annex 2 EHV charges'!$D:$O,9,FALSE)=0,"",VLOOKUP($A158,'Annex 2 EHV charges'!$D:$O,9,FALSE)),"")</f>
        <v/>
      </c>
      <c r="F158" s="178">
        <f>IFERROR(IF(VLOOKUP($A158,'Annex 2 EHV charges'!$D:$O,10,FALSE)=0,"",VLOOKUP($A158,'Annex 2 EHV charges'!$D:$O,10,FALSE)),"")</f>
        <v>679.61</v>
      </c>
      <c r="G158" s="177">
        <f>IFERROR(IF(VLOOKUP($A158,'Annex 2 EHV charges'!$D:$O,11,FALSE)=0,"",VLOOKUP($A158,'Annex 2 EHV charges'!$D:$O,11,FALSE)),"")</f>
        <v>0.05</v>
      </c>
      <c r="H158" s="177">
        <f>IFERROR(IF(VLOOKUP($A158,'Annex 2 EHV charges'!$D:$O,12,FALSE)=0,"",VLOOKUP($A158,'Annex 2 EHV charges'!$D:$O,12,FALSE)),"")</f>
        <v>0.05</v>
      </c>
    </row>
    <row r="159" spans="1:8" x14ac:dyDescent="0.2">
      <c r="A159" s="94" t="str">
        <f t="array" ref="A159">IFERROR(INDEX('Annex 2 EHV charges'!$D$10:$D$301, MATCH(0, IF(ISBLANK('Annex 2 EHV charges'!$D$10:$D$301),1, COUNTIF(A$4:$A158, 'Annex 2 EHV charges'!$D$10:$D$301)), 0)),"")</f>
        <v>WSTNLV</v>
      </c>
      <c r="B159" s="93">
        <f>IF($A159="","",VLOOKUP($A159,'Annex 2 EHV charges'!$D:$O,2,0))</f>
        <v>471</v>
      </c>
      <c r="C159" s="94">
        <f>IF($A159="","",VLOOKUP($A159,'Annex 2 EHV charges'!$D:$O,3,0))</f>
        <v>1050000811601</v>
      </c>
      <c r="D159" s="93" t="str">
        <f>IF($A159="","",VLOOKUP($A159,'Annex 2 EHV charges'!$D:$O,4,0))</f>
        <v>WSTNLV</v>
      </c>
      <c r="E159" s="176" t="str">
        <f>IFERROR(IF(VLOOKUP($A159,'Annex 2 EHV charges'!$D:$O,9,FALSE)=0,"",VLOOKUP($A159,'Annex 2 EHV charges'!$D:$O,9,FALSE)),"")</f>
        <v/>
      </c>
      <c r="F159" s="178">
        <f>IFERROR(IF(VLOOKUP($A159,'Annex 2 EHV charges'!$D:$O,10,FALSE)=0,"",VLOOKUP($A159,'Annex 2 EHV charges'!$D:$O,10,FALSE)),"")</f>
        <v>714.86</v>
      </c>
      <c r="G159" s="177">
        <f>IFERROR(IF(VLOOKUP($A159,'Annex 2 EHV charges'!$D:$O,11,FALSE)=0,"",VLOOKUP($A159,'Annex 2 EHV charges'!$D:$O,11,FALSE)),"")</f>
        <v>0.05</v>
      </c>
      <c r="H159" s="177">
        <f>IFERROR(IF(VLOOKUP($A159,'Annex 2 EHV charges'!$D:$O,12,FALSE)=0,"",VLOOKUP($A159,'Annex 2 EHV charges'!$D:$O,12,FALSE)),"")</f>
        <v>0.05</v>
      </c>
    </row>
    <row r="160" spans="1:8" x14ac:dyDescent="0.2">
      <c r="A160" s="94" t="str">
        <f t="array" ref="A160">IFERROR(INDEX('Annex 2 EHV charges'!$D$10:$D$301, MATCH(0, IF(ISBLANK('Annex 2 EHV charges'!$D$10:$D$301),1, COUNTIF(A$4:$A159, 'Annex 2 EHV charges'!$D$10:$D$301)), 0)),"")</f>
        <v>WTRLOO</v>
      </c>
      <c r="B160" s="93">
        <f>IF($A160="","",VLOOKUP($A160,'Annex 2 EHV charges'!$D:$O,2,0))</f>
        <v>465</v>
      </c>
      <c r="C160" s="94">
        <f>IF($A160="","",VLOOKUP($A160,'Annex 2 EHV charges'!$D:$O,3,0))</f>
        <v>1050000769172</v>
      </c>
      <c r="D160" s="93" t="str">
        <f>IF($A160="","",VLOOKUP($A160,'Annex 2 EHV charges'!$D:$O,4,0))</f>
        <v>WTRLOO</v>
      </c>
      <c r="E160" s="176" t="str">
        <f>IFERROR(IF(VLOOKUP($A160,'Annex 2 EHV charges'!$D:$O,9,FALSE)=0,"",VLOOKUP($A160,'Annex 2 EHV charges'!$D:$O,9,FALSE)),"")</f>
        <v/>
      </c>
      <c r="F160" s="178">
        <f>IFERROR(IF(VLOOKUP($A160,'Annex 2 EHV charges'!$D:$O,10,FALSE)=0,"",VLOOKUP($A160,'Annex 2 EHV charges'!$D:$O,10,FALSE)),"")</f>
        <v>691.62</v>
      </c>
      <c r="G160" s="177">
        <f>IFERROR(IF(VLOOKUP($A160,'Annex 2 EHV charges'!$D:$O,11,FALSE)=0,"",VLOOKUP($A160,'Annex 2 EHV charges'!$D:$O,11,FALSE)),"")</f>
        <v>0.05</v>
      </c>
      <c r="H160" s="177">
        <f>IFERROR(IF(VLOOKUP($A160,'Annex 2 EHV charges'!$D:$O,12,FALSE)=0,"",VLOOKUP($A160,'Annex 2 EHV charges'!$D:$O,12,FALSE)),"")</f>
        <v>0.05</v>
      </c>
    </row>
    <row r="161" spans="1:8" x14ac:dyDescent="0.2">
      <c r="A161" s="94" t="str">
        <f t="array" ref="A161">IFERROR(INDEX('Annex 2 EHV charges'!$D$10:$D$301, MATCH(0, IF(ISBLANK('Annex 2 EHV charges'!$D$10:$D$301),1, COUNTIF(A$4:$A160, 'Annex 2 EHV charges'!$D$10:$D$301)), 0)),"")</f>
        <v/>
      </c>
      <c r="B161" s="93" t="str">
        <f>IF($A161="","",VLOOKUP($A161,'Annex 2 EHV charges'!$D:$O,2,0))</f>
        <v/>
      </c>
      <c r="C161" s="94" t="str">
        <f>IF($A161="","",VLOOKUP($A161,'Annex 2 EHV charges'!$D:$O,3,0))</f>
        <v/>
      </c>
      <c r="D161" s="93" t="str">
        <f>IF($A161="","",VLOOKUP($A161,'Annex 2 EHV charges'!$D:$O,4,0))</f>
        <v/>
      </c>
      <c r="E161" s="176" t="str">
        <f>IFERROR(IF(VLOOKUP($A161,'Annex 2 EHV charges'!$D:$O,9,FALSE)=0,"",VLOOKUP($A161,'Annex 2 EHV charges'!$D:$O,9,FALSE)),"")</f>
        <v/>
      </c>
      <c r="F161" s="178" t="str">
        <f>IFERROR(IF(VLOOKUP($A161,'Annex 2 EHV charges'!$D:$O,10,FALSE)=0,"",VLOOKUP($A161,'Annex 2 EHV charges'!$D:$O,10,FALSE)),"")</f>
        <v/>
      </c>
      <c r="G161" s="177" t="str">
        <f>IFERROR(IF(VLOOKUP($A161,'Annex 2 EHV charges'!$D:$O,11,FALSE)=0,"",VLOOKUP($A161,'Annex 2 EHV charges'!$D:$O,11,FALSE)),"")</f>
        <v/>
      </c>
      <c r="H161" s="177" t="str">
        <f>IFERROR(IF(VLOOKUP($A161,'Annex 2 EHV charges'!$D:$O,12,FALSE)=0,"",VLOOKUP($A161,'Annex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61"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6"/>
  <sheetViews>
    <sheetView zoomScale="85" zoomScaleNormal="85" zoomScaleSheetLayoutView="100" workbookViewId="0">
      <selection activeCell="L29" sqref="L29"/>
    </sheetView>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2" t="s">
        <v>86</v>
      </c>
      <c r="B1" s="2"/>
      <c r="D1" s="2"/>
      <c r="E1" s="2"/>
      <c r="F1" s="2"/>
      <c r="G1" s="7"/>
      <c r="H1" s="3"/>
      <c r="I1" s="3"/>
    </row>
    <row r="2" spans="1:12" s="1" customFormat="1" ht="27" customHeight="1" x14ac:dyDescent="0.2">
      <c r="A2" s="237" t="str">
        <f>Overview!B4&amp; " - Effective from "&amp;Overview!D4&amp;" - "&amp;Overview!E4&amp;" LV and HV tariffs"</f>
        <v>Eastern Power Networks - Effective from 1 April 2020 - Final LV and HV tariffs</v>
      </c>
      <c r="B2" s="237"/>
      <c r="C2" s="237"/>
      <c r="D2" s="237"/>
      <c r="E2" s="237"/>
      <c r="F2" s="237"/>
      <c r="G2" s="237"/>
      <c r="H2" s="237"/>
      <c r="I2" s="237"/>
      <c r="J2" s="237"/>
      <c r="K2" s="3"/>
      <c r="L2" s="3"/>
    </row>
    <row r="3" spans="1:12" s="1" customFormat="1" ht="27" customHeight="1" x14ac:dyDescent="0.2">
      <c r="A3" s="277" t="s">
        <v>453</v>
      </c>
      <c r="B3" s="277"/>
      <c r="C3" s="277"/>
      <c r="D3" s="277"/>
      <c r="E3" s="277"/>
      <c r="F3" s="277"/>
      <c r="G3" s="277"/>
      <c r="H3" s="277"/>
      <c r="I3" s="277"/>
      <c r="J3" s="277"/>
      <c r="K3" s="3"/>
      <c r="L3" s="3"/>
    </row>
    <row r="4" spans="1:12" s="1" customFormat="1" ht="71.25" customHeight="1" x14ac:dyDescent="0.2">
      <c r="A4" s="14"/>
      <c r="B4" s="28" t="s">
        <v>50</v>
      </c>
      <c r="C4" s="13" t="s">
        <v>91</v>
      </c>
      <c r="D4" s="13" t="s">
        <v>617</v>
      </c>
      <c r="E4" s="129" t="s">
        <v>618</v>
      </c>
      <c r="F4" s="129" t="s">
        <v>92</v>
      </c>
      <c r="G4" s="13"/>
      <c r="H4" s="13"/>
      <c r="I4" s="13"/>
      <c r="J4" s="13"/>
      <c r="K4" s="3"/>
      <c r="L4" s="3"/>
    </row>
    <row r="5" spans="1:12" s="1" customFormat="1" ht="32.25" customHeight="1" x14ac:dyDescent="0.2">
      <c r="A5" s="15"/>
      <c r="B5" s="27"/>
      <c r="C5" s="16"/>
      <c r="D5" s="17"/>
      <c r="E5" s="17"/>
      <c r="F5" s="18"/>
      <c r="G5" s="26"/>
      <c r="H5" s="26"/>
      <c r="I5" s="26"/>
      <c r="J5" s="26"/>
      <c r="K5" s="3"/>
      <c r="L5" s="3"/>
    </row>
    <row r="6" spans="1:12" ht="12.75" customHeight="1" x14ac:dyDescent="0.2">
      <c r="A6" s="278" t="s">
        <v>52</v>
      </c>
      <c r="B6" s="262" t="s">
        <v>701</v>
      </c>
      <c r="C6" s="263"/>
      <c r="D6" s="263"/>
      <c r="E6" s="263"/>
      <c r="F6" s="263"/>
      <c r="G6" s="263"/>
      <c r="H6" s="263"/>
      <c r="I6" s="263"/>
      <c r="J6" s="264"/>
    </row>
    <row r="7" spans="1:12" ht="12.75" customHeight="1" x14ac:dyDescent="0.2">
      <c r="A7" s="278"/>
      <c r="B7" s="265"/>
      <c r="C7" s="266"/>
      <c r="D7" s="266"/>
      <c r="E7" s="266"/>
      <c r="F7" s="266"/>
      <c r="G7" s="266"/>
      <c r="H7" s="266"/>
      <c r="I7" s="266"/>
      <c r="J7" s="267"/>
    </row>
    <row r="8" spans="1:12" x14ac:dyDescent="0.2">
      <c r="A8" s="278"/>
      <c r="B8" s="268"/>
      <c r="C8" s="269"/>
      <c r="D8" s="269"/>
      <c r="E8" s="269"/>
      <c r="F8" s="269"/>
      <c r="G8" s="269"/>
      <c r="H8" s="269"/>
      <c r="I8" s="269"/>
      <c r="J8" s="270"/>
    </row>
    <row r="9" spans="1:12" x14ac:dyDescent="0.2">
      <c r="A9" s="43"/>
      <c r="B9" s="43"/>
      <c r="C9" s="43"/>
      <c r="D9" s="43"/>
      <c r="E9" s="43"/>
      <c r="F9" s="43"/>
      <c r="G9" s="43"/>
      <c r="H9" s="43"/>
      <c r="I9" s="43"/>
      <c r="J9" s="43"/>
    </row>
    <row r="10" spans="1:12" x14ac:dyDescent="0.2">
      <c r="A10" s="43"/>
      <c r="B10" s="43"/>
      <c r="C10" s="43"/>
      <c r="D10" s="43"/>
      <c r="E10" s="43"/>
      <c r="F10" s="43"/>
      <c r="G10" s="43"/>
      <c r="H10" s="43"/>
      <c r="I10" s="43"/>
      <c r="J10" s="43"/>
    </row>
    <row r="11" spans="1:12" s="1" customFormat="1" ht="27" customHeight="1" x14ac:dyDescent="0.2">
      <c r="A11" s="277" t="s">
        <v>454</v>
      </c>
      <c r="B11" s="277"/>
      <c r="C11" s="277"/>
      <c r="D11" s="277"/>
      <c r="E11" s="277"/>
      <c r="F11" s="277"/>
      <c r="G11" s="277"/>
      <c r="H11" s="277"/>
      <c r="I11" s="277"/>
      <c r="J11" s="277"/>
      <c r="K11" s="3"/>
      <c r="L11" s="3"/>
    </row>
    <row r="12" spans="1:12" s="1" customFormat="1" ht="58.5" customHeight="1" x14ac:dyDescent="0.2">
      <c r="A12" s="14"/>
      <c r="B12" s="28" t="s">
        <v>50</v>
      </c>
      <c r="C12" s="13" t="s">
        <v>91</v>
      </c>
      <c r="D12" s="28" t="s">
        <v>624</v>
      </c>
      <c r="E12" s="28" t="s">
        <v>625</v>
      </c>
      <c r="F12" s="28" t="s">
        <v>626</v>
      </c>
      <c r="G12" s="129" t="s">
        <v>92</v>
      </c>
      <c r="H12" s="129" t="s">
        <v>93</v>
      </c>
      <c r="I12" s="28" t="s">
        <v>676</v>
      </c>
      <c r="J12" s="129" t="s">
        <v>452</v>
      </c>
      <c r="K12" s="3"/>
      <c r="L12" s="3"/>
    </row>
    <row r="13" spans="1:12" s="1" customFormat="1" ht="32.25" customHeight="1" x14ac:dyDescent="0.2">
      <c r="A13" s="15"/>
      <c r="B13" s="27"/>
      <c r="C13" s="16"/>
      <c r="D13" s="17"/>
      <c r="E13" s="17"/>
      <c r="F13" s="17"/>
      <c r="G13" s="18"/>
      <c r="H13" s="18"/>
      <c r="I13" s="18"/>
      <c r="J13" s="17"/>
      <c r="K13" s="3"/>
      <c r="L13" s="3"/>
    </row>
    <row r="14" spans="1:12" ht="12.75" customHeight="1" x14ac:dyDescent="0.2">
      <c r="A14" s="271" t="s">
        <v>52</v>
      </c>
      <c r="B14" s="262" t="s">
        <v>702</v>
      </c>
      <c r="C14" s="263"/>
      <c r="D14" s="263"/>
      <c r="E14" s="263"/>
      <c r="F14" s="263"/>
      <c r="G14" s="263"/>
      <c r="H14" s="263"/>
      <c r="I14" s="263"/>
      <c r="J14" s="274"/>
    </row>
    <row r="15" spans="1:12" x14ac:dyDescent="0.2">
      <c r="A15" s="272"/>
      <c r="B15" s="265"/>
      <c r="C15" s="266"/>
      <c r="D15" s="266"/>
      <c r="E15" s="266"/>
      <c r="F15" s="266"/>
      <c r="G15" s="266"/>
      <c r="H15" s="266"/>
      <c r="I15" s="266"/>
      <c r="J15" s="275"/>
    </row>
    <row r="16" spans="1:12" x14ac:dyDescent="0.2">
      <c r="A16" s="273"/>
      <c r="B16" s="268"/>
      <c r="C16" s="269"/>
      <c r="D16" s="269"/>
      <c r="E16" s="269"/>
      <c r="F16" s="269"/>
      <c r="G16" s="269"/>
      <c r="H16" s="269"/>
      <c r="I16" s="269"/>
      <c r="J16" s="276"/>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9"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189"/>
  <sheetViews>
    <sheetView zoomScale="70" zoomScaleNormal="70" zoomScaleSheetLayoutView="70" workbookViewId="0">
      <selection activeCell="C6" sqref="C6"/>
    </sheetView>
  </sheetViews>
  <sheetFormatPr defaultRowHeight="27.75" customHeight="1" x14ac:dyDescent="0.2"/>
  <cols>
    <col min="1" max="1" width="58" style="1" bestFit="1" customWidth="1"/>
    <col min="2" max="2" width="17.7109375" style="2" customWidth="1"/>
    <col min="3" max="3" width="19.85546875" style="1" customWidth="1"/>
    <col min="4" max="4" width="17.7109375" style="1" customWidth="1"/>
    <col min="5" max="7" width="17.7109375" style="2" customWidth="1"/>
    <col min="8" max="9" width="17.7109375" style="6"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2" t="s">
        <v>86</v>
      </c>
      <c r="B1" s="279" t="s">
        <v>2431</v>
      </c>
      <c r="C1" s="280"/>
      <c r="D1" s="280"/>
      <c r="F1" s="281" t="s">
        <v>2432</v>
      </c>
      <c r="G1" s="282"/>
      <c r="H1" s="283"/>
      <c r="I1" s="3"/>
      <c r="J1" s="1"/>
      <c r="K1" s="1"/>
    </row>
    <row r="2" spans="1:13" ht="31.5" customHeight="1" x14ac:dyDescent="0.2">
      <c r="A2" s="284" t="str">
        <f>Overview!B4&amp; " - Effective from "&amp;Overview!D4&amp;" - "&amp;Overview!E4&amp;" LDNO tariffs"</f>
        <v>Eastern Power Networks - Effective from 1 April 2020 - Final LDNO tariffs</v>
      </c>
      <c r="B2" s="284"/>
      <c r="C2" s="284"/>
      <c r="D2" s="284"/>
      <c r="E2" s="284"/>
      <c r="F2" s="284"/>
      <c r="G2" s="284"/>
      <c r="H2" s="284"/>
      <c r="I2" s="284"/>
      <c r="J2" s="284"/>
    </row>
    <row r="3" spans="1:13" ht="8.25" customHeight="1" x14ac:dyDescent="0.2">
      <c r="A3" s="79"/>
      <c r="B3" s="79"/>
      <c r="C3" s="79"/>
      <c r="D3" s="79"/>
      <c r="E3" s="79"/>
      <c r="F3" s="79"/>
      <c r="G3" s="79"/>
      <c r="H3" s="79"/>
      <c r="I3" s="79"/>
      <c r="J3" s="79"/>
    </row>
    <row r="4" spans="1:13" ht="27" customHeight="1" x14ac:dyDescent="0.2">
      <c r="A4" s="237" t="s">
        <v>494</v>
      </c>
      <c r="B4" s="237"/>
      <c r="C4" s="237"/>
      <c r="D4" s="237"/>
      <c r="E4" s="83"/>
      <c r="F4" s="237" t="s">
        <v>493</v>
      </c>
      <c r="G4" s="237"/>
      <c r="H4" s="237"/>
      <c r="I4" s="237"/>
      <c r="J4" s="237"/>
      <c r="L4" s="3"/>
    </row>
    <row r="5" spans="1:13" ht="32.25" customHeight="1" x14ac:dyDescent="0.2">
      <c r="A5" s="67" t="s">
        <v>80</v>
      </c>
      <c r="B5" s="71" t="s">
        <v>485</v>
      </c>
      <c r="C5" s="159" t="s">
        <v>486</v>
      </c>
      <c r="D5" s="68" t="s">
        <v>487</v>
      </c>
      <c r="E5" s="75"/>
      <c r="F5" s="241"/>
      <c r="G5" s="242"/>
      <c r="H5" s="72" t="s">
        <v>491</v>
      </c>
      <c r="I5" s="73" t="s">
        <v>492</v>
      </c>
      <c r="J5" s="68" t="s">
        <v>487</v>
      </c>
      <c r="K5" s="75"/>
      <c r="L5" s="3"/>
      <c r="M5" s="3"/>
    </row>
    <row r="6" spans="1:13" ht="56.25" customHeight="1" x14ac:dyDescent="0.2">
      <c r="A6" s="69" t="s">
        <v>488</v>
      </c>
      <c r="B6" s="150" t="s">
        <v>694</v>
      </c>
      <c r="C6" s="150" t="s">
        <v>695</v>
      </c>
      <c r="D6" s="147" t="s">
        <v>696</v>
      </c>
      <c r="E6" s="75"/>
      <c r="F6" s="245" t="s">
        <v>489</v>
      </c>
      <c r="G6" s="247"/>
      <c r="H6" s="148" t="s">
        <v>694</v>
      </c>
      <c r="I6" s="74" t="s">
        <v>695</v>
      </c>
      <c r="J6" s="147" t="s">
        <v>696</v>
      </c>
      <c r="K6" s="75"/>
      <c r="L6" s="3"/>
      <c r="M6" s="3"/>
    </row>
    <row r="7" spans="1:13" ht="56.25" customHeight="1" x14ac:dyDescent="0.2">
      <c r="A7" s="69" t="s">
        <v>82</v>
      </c>
      <c r="B7" s="151"/>
      <c r="C7" s="154"/>
      <c r="D7" s="74" t="s">
        <v>699</v>
      </c>
      <c r="E7" s="75"/>
      <c r="F7" s="245" t="s">
        <v>697</v>
      </c>
      <c r="G7" s="247"/>
      <c r="H7" s="149"/>
      <c r="I7" s="74" t="s">
        <v>698</v>
      </c>
      <c r="J7" s="147" t="s">
        <v>696</v>
      </c>
      <c r="K7" s="75"/>
      <c r="L7" s="3"/>
      <c r="M7" s="3"/>
    </row>
    <row r="8" spans="1:13" ht="55.5" customHeight="1" x14ac:dyDescent="0.2">
      <c r="A8" s="70" t="s">
        <v>81</v>
      </c>
      <c r="B8" s="245" t="s">
        <v>715</v>
      </c>
      <c r="C8" s="246"/>
      <c r="D8" s="247"/>
      <c r="E8" s="75"/>
      <c r="F8" s="245" t="s">
        <v>82</v>
      </c>
      <c r="G8" s="247"/>
      <c r="H8" s="149"/>
      <c r="I8" s="149"/>
      <c r="J8" s="74" t="s">
        <v>699</v>
      </c>
      <c r="K8" s="75"/>
      <c r="L8" s="3"/>
      <c r="M8" s="3"/>
    </row>
    <row r="9" spans="1:13" s="77" customFormat="1" ht="55.5" customHeight="1" x14ac:dyDescent="0.2">
      <c r="B9" s="75"/>
      <c r="C9" s="75"/>
      <c r="D9" s="75"/>
      <c r="E9" s="80"/>
      <c r="F9" s="236" t="s">
        <v>81</v>
      </c>
      <c r="G9" s="236"/>
      <c r="H9" s="245" t="s">
        <v>715</v>
      </c>
      <c r="I9" s="246"/>
      <c r="J9" s="247"/>
      <c r="K9" s="76"/>
      <c r="L9" s="76"/>
    </row>
    <row r="10" spans="1:13" s="77" customFormat="1" ht="12" customHeight="1" x14ac:dyDescent="0.2">
      <c r="A10" s="75"/>
      <c r="B10" s="75"/>
      <c r="C10" s="75"/>
      <c r="D10" s="75"/>
      <c r="E10" s="75"/>
      <c r="F10" s="81"/>
      <c r="G10" s="81"/>
      <c r="H10" s="82"/>
      <c r="I10" s="82"/>
      <c r="J10" s="82"/>
      <c r="K10" s="76"/>
      <c r="L10" s="76"/>
    </row>
    <row r="11" spans="1:13" ht="66" customHeight="1" x14ac:dyDescent="0.2">
      <c r="A11" s="30" t="s">
        <v>675</v>
      </c>
      <c r="B11" s="30" t="s">
        <v>193</v>
      </c>
      <c r="C11" s="24" t="s">
        <v>91</v>
      </c>
      <c r="D11" s="65" t="str">
        <f>'Annex 1 LV and HV charges'!D11</f>
        <v>Unit charge 1 (NHH)
or red/black charge (HH)
p/kWh</v>
      </c>
      <c r="E11" s="65" t="str">
        <f>'Annex 1 LV and HV charges'!E11</f>
        <v>Unit charge 2 (NHH)
or amber/yellow charge (HH)
p/kWh</v>
      </c>
      <c r="F11" s="65" t="str">
        <f>'Annex 1 LV and HV charges'!F11</f>
        <v>Green charge(HH)
p/kWh</v>
      </c>
      <c r="G11" s="24" t="str">
        <f>'Annex 1 LV and HV charges'!G11</f>
        <v>Fixed charge p/MPAN/day</v>
      </c>
      <c r="H11" s="24" t="str">
        <f>'Annex 1 LV and HV charges'!H11</f>
        <v>Capacity charge p/kVA/day</v>
      </c>
      <c r="I11" s="24" t="str">
        <f>'Annex 1 LV and HV charges'!I11</f>
        <v>Exceeded capacity charge
p/kVA/day</v>
      </c>
      <c r="J11" s="24" t="str">
        <f>'Annex 1 LV and HV charges'!J11</f>
        <v>Reactive power charge
p/kVArh</v>
      </c>
      <c r="K11" s="1"/>
    </row>
    <row r="12" spans="1:13" ht="27" customHeight="1" x14ac:dyDescent="0.2">
      <c r="A12" s="25" t="s">
        <v>21</v>
      </c>
      <c r="B12" s="27">
        <v>101</v>
      </c>
      <c r="C12" s="41">
        <v>1</v>
      </c>
      <c r="D12" s="36">
        <v>1.51</v>
      </c>
      <c r="E12" s="37"/>
      <c r="F12" s="37"/>
      <c r="G12" s="38">
        <v>3.33</v>
      </c>
      <c r="H12" s="141"/>
      <c r="I12" s="142"/>
      <c r="J12" s="37"/>
      <c r="K12" s="1"/>
    </row>
    <row r="13" spans="1:13" ht="27" customHeight="1" x14ac:dyDescent="0.2">
      <c r="A13" s="25" t="s">
        <v>22</v>
      </c>
      <c r="B13" s="27">
        <v>111</v>
      </c>
      <c r="C13" s="41">
        <v>2</v>
      </c>
      <c r="D13" s="36">
        <v>1.9470000000000001</v>
      </c>
      <c r="E13" s="36">
        <v>0.124</v>
      </c>
      <c r="F13" s="37"/>
      <c r="G13" s="38">
        <v>3.33</v>
      </c>
      <c r="H13" s="141"/>
      <c r="I13" s="142"/>
      <c r="J13" s="37"/>
      <c r="K13" s="1"/>
    </row>
    <row r="14" spans="1:13" ht="27" customHeight="1" x14ac:dyDescent="0.2">
      <c r="A14" s="25" t="s">
        <v>23</v>
      </c>
      <c r="B14" s="27">
        <v>121</v>
      </c>
      <c r="C14" s="41">
        <v>2</v>
      </c>
      <c r="D14" s="36">
        <v>0.16700000000000001</v>
      </c>
      <c r="E14" s="37"/>
      <c r="F14" s="37"/>
      <c r="G14" s="141"/>
      <c r="H14" s="141"/>
      <c r="I14" s="142"/>
      <c r="J14" s="37"/>
      <c r="K14" s="1"/>
    </row>
    <row r="15" spans="1:13" ht="27" customHeight="1" x14ac:dyDescent="0.2">
      <c r="A15" s="25" t="s">
        <v>24</v>
      </c>
      <c r="B15" s="27">
        <v>131</v>
      </c>
      <c r="C15" s="41">
        <v>3</v>
      </c>
      <c r="D15" s="36">
        <v>1.163</v>
      </c>
      <c r="E15" s="37"/>
      <c r="F15" s="37"/>
      <c r="G15" s="38">
        <v>3.33</v>
      </c>
      <c r="H15" s="141"/>
      <c r="I15" s="142"/>
      <c r="J15" s="37"/>
      <c r="K15" s="1"/>
    </row>
    <row r="16" spans="1:13" ht="27" customHeight="1" x14ac:dyDescent="0.2">
      <c r="A16" s="25" t="s">
        <v>25</v>
      </c>
      <c r="B16" s="27">
        <v>141</v>
      </c>
      <c r="C16" s="41">
        <v>4</v>
      </c>
      <c r="D16" s="36">
        <v>1.4119999999999999</v>
      </c>
      <c r="E16" s="36">
        <v>0.11</v>
      </c>
      <c r="F16" s="37"/>
      <c r="G16" s="38">
        <v>3.33</v>
      </c>
      <c r="H16" s="141"/>
      <c r="I16" s="142"/>
      <c r="J16" s="37"/>
      <c r="K16" s="1"/>
    </row>
    <row r="17" spans="1:11" ht="27" customHeight="1" x14ac:dyDescent="0.2">
      <c r="A17" s="25" t="s">
        <v>26</v>
      </c>
      <c r="B17" s="27">
        <v>151</v>
      </c>
      <c r="C17" s="41">
        <v>4</v>
      </c>
      <c r="D17" s="36">
        <v>0.21299999999999999</v>
      </c>
      <c r="E17" s="37"/>
      <c r="F17" s="37"/>
      <c r="G17" s="141"/>
      <c r="H17" s="141"/>
      <c r="I17" s="142"/>
      <c r="J17" s="37"/>
      <c r="K17" s="1"/>
    </row>
    <row r="18" spans="1:11" ht="27" customHeight="1" x14ac:dyDescent="0.2">
      <c r="A18" s="25" t="s">
        <v>27</v>
      </c>
      <c r="B18" s="27">
        <v>161</v>
      </c>
      <c r="C18" s="41" t="s">
        <v>20</v>
      </c>
      <c r="D18" s="36">
        <v>1.5289999999999999</v>
      </c>
      <c r="E18" s="36">
        <v>9.8000000000000004E-2</v>
      </c>
      <c r="F18" s="37"/>
      <c r="G18" s="38">
        <v>35.47</v>
      </c>
      <c r="H18" s="141"/>
      <c r="I18" s="142"/>
      <c r="J18" s="37"/>
      <c r="K18" s="1"/>
    </row>
    <row r="19" spans="1:11" ht="27" customHeight="1" x14ac:dyDescent="0.2">
      <c r="A19" s="25" t="s">
        <v>561</v>
      </c>
      <c r="B19" s="27">
        <v>318</v>
      </c>
      <c r="C19" s="41">
        <v>0</v>
      </c>
      <c r="D19" s="163">
        <v>10.516999999999999</v>
      </c>
      <c r="E19" s="165">
        <v>0.33400000000000002</v>
      </c>
      <c r="F19" s="166">
        <v>9.2999999999999999E-2</v>
      </c>
      <c r="G19" s="38">
        <v>3.33</v>
      </c>
      <c r="H19" s="141"/>
      <c r="I19" s="142"/>
      <c r="J19" s="37"/>
      <c r="K19" s="1"/>
    </row>
    <row r="20" spans="1:11" ht="27" customHeight="1" x14ac:dyDescent="0.2">
      <c r="A20" s="25" t="s">
        <v>562</v>
      </c>
      <c r="B20" s="27">
        <v>325</v>
      </c>
      <c r="C20" s="41">
        <v>0</v>
      </c>
      <c r="D20" s="163">
        <v>9.0350000000000001</v>
      </c>
      <c r="E20" s="165">
        <v>0.29499999999999998</v>
      </c>
      <c r="F20" s="166">
        <v>8.6999999999999994E-2</v>
      </c>
      <c r="G20" s="38">
        <v>3.73</v>
      </c>
      <c r="H20" s="141"/>
      <c r="I20" s="142"/>
      <c r="J20" s="37"/>
      <c r="K20" s="1"/>
    </row>
    <row r="21" spans="1:11" ht="27" customHeight="1" x14ac:dyDescent="0.2">
      <c r="A21" s="25" t="s">
        <v>28</v>
      </c>
      <c r="B21" s="27">
        <v>181</v>
      </c>
      <c r="C21" s="41">
        <v>0</v>
      </c>
      <c r="D21" s="163">
        <v>6.7439999999999998</v>
      </c>
      <c r="E21" s="165">
        <v>0.216</v>
      </c>
      <c r="F21" s="166">
        <v>7.5999999999999998E-2</v>
      </c>
      <c r="G21" s="38">
        <v>8.7799999999999994</v>
      </c>
      <c r="H21" s="38">
        <v>2.5</v>
      </c>
      <c r="I21" s="143">
        <v>5.2</v>
      </c>
      <c r="J21" s="36">
        <v>0.217</v>
      </c>
      <c r="K21" s="1"/>
    </row>
    <row r="22" spans="1:11" ht="27" customHeight="1" x14ac:dyDescent="0.2">
      <c r="A22" s="25" t="s">
        <v>185</v>
      </c>
      <c r="B22" s="27" t="s">
        <v>2528</v>
      </c>
      <c r="C22" s="41">
        <v>8</v>
      </c>
      <c r="D22" s="36">
        <v>1.458</v>
      </c>
      <c r="E22" s="37"/>
      <c r="F22" s="37"/>
      <c r="G22" s="141"/>
      <c r="H22" s="141"/>
      <c r="I22" s="142"/>
      <c r="J22" s="37"/>
      <c r="K22" s="1"/>
    </row>
    <row r="23" spans="1:11" ht="27" customHeight="1" x14ac:dyDescent="0.2">
      <c r="A23" s="25" t="s">
        <v>186</v>
      </c>
      <c r="B23" s="27" t="s">
        <v>2528</v>
      </c>
      <c r="C23" s="41">
        <v>1</v>
      </c>
      <c r="D23" s="36">
        <v>2.0249999999999999</v>
      </c>
      <c r="E23" s="37"/>
      <c r="F23" s="37"/>
      <c r="G23" s="141"/>
      <c r="H23" s="141"/>
      <c r="I23" s="142"/>
      <c r="J23" s="37"/>
      <c r="K23" s="1"/>
    </row>
    <row r="24" spans="1:11" ht="27" customHeight="1" x14ac:dyDescent="0.2">
      <c r="A24" s="25" t="s">
        <v>187</v>
      </c>
      <c r="B24" s="27" t="s">
        <v>2528</v>
      </c>
      <c r="C24" s="41">
        <v>1</v>
      </c>
      <c r="D24" s="36">
        <v>3.351</v>
      </c>
      <c r="E24" s="37"/>
      <c r="F24" s="37"/>
      <c r="G24" s="141"/>
      <c r="H24" s="141"/>
      <c r="I24" s="142"/>
      <c r="J24" s="37"/>
      <c r="K24" s="1"/>
    </row>
    <row r="25" spans="1:11" ht="27" customHeight="1" x14ac:dyDescent="0.2">
      <c r="A25" s="25" t="s">
        <v>188</v>
      </c>
      <c r="B25" s="27" t="s">
        <v>2528</v>
      </c>
      <c r="C25" s="41">
        <v>1</v>
      </c>
      <c r="D25" s="36">
        <v>1.0880000000000001</v>
      </c>
      <c r="E25" s="37"/>
      <c r="F25" s="37"/>
      <c r="G25" s="141"/>
      <c r="H25" s="141"/>
      <c r="I25" s="142"/>
      <c r="J25" s="37"/>
      <c r="K25" s="1"/>
    </row>
    <row r="26" spans="1:11" ht="27" customHeight="1" x14ac:dyDescent="0.2">
      <c r="A26" s="25" t="s">
        <v>29</v>
      </c>
      <c r="B26" s="27">
        <v>211</v>
      </c>
      <c r="C26" s="42">
        <v>0</v>
      </c>
      <c r="D26" s="164">
        <v>28.202000000000002</v>
      </c>
      <c r="E26" s="167">
        <v>0.77400000000000002</v>
      </c>
      <c r="F26" s="166">
        <v>0.53700000000000003</v>
      </c>
      <c r="G26" s="141"/>
      <c r="H26" s="141"/>
      <c r="I26" s="142"/>
      <c r="J26" s="37"/>
      <c r="K26" s="1"/>
    </row>
    <row r="27" spans="1:11" ht="27" customHeight="1" x14ac:dyDescent="0.2">
      <c r="A27" s="25" t="s">
        <v>563</v>
      </c>
      <c r="B27" s="27">
        <v>221</v>
      </c>
      <c r="C27" s="42" t="s">
        <v>1051</v>
      </c>
      <c r="D27" s="36">
        <v>-0.98299999999999998</v>
      </c>
      <c r="E27" s="37"/>
      <c r="F27" s="37"/>
      <c r="G27" s="38">
        <v>0</v>
      </c>
      <c r="H27" s="141"/>
      <c r="I27" s="142"/>
      <c r="J27" s="37"/>
      <c r="K27" s="1"/>
    </row>
    <row r="28" spans="1:11" ht="27" customHeight="1" x14ac:dyDescent="0.2">
      <c r="A28" s="25" t="s">
        <v>30</v>
      </c>
      <c r="B28" s="27">
        <v>231</v>
      </c>
      <c r="C28" s="42">
        <v>0</v>
      </c>
      <c r="D28" s="36">
        <v>-0.98299999999999998</v>
      </c>
      <c r="E28" s="37"/>
      <c r="F28" s="37"/>
      <c r="G28" s="38">
        <v>0</v>
      </c>
      <c r="H28" s="141"/>
      <c r="I28" s="142"/>
      <c r="J28" s="36">
        <v>0.28899999999999998</v>
      </c>
      <c r="K28" s="1"/>
    </row>
    <row r="29" spans="1:11" ht="27" customHeight="1" x14ac:dyDescent="0.2">
      <c r="A29" s="25" t="s">
        <v>31</v>
      </c>
      <c r="B29" s="27">
        <v>241</v>
      </c>
      <c r="C29" s="42">
        <v>0</v>
      </c>
      <c r="D29" s="181">
        <v>-9.6669999999999998</v>
      </c>
      <c r="E29" s="168">
        <v>-0.25900000000000001</v>
      </c>
      <c r="F29" s="182">
        <v>-3.5999999999999997E-2</v>
      </c>
      <c r="G29" s="38">
        <v>0</v>
      </c>
      <c r="H29" s="141"/>
      <c r="I29" s="142"/>
      <c r="J29" s="36">
        <v>0.28899999999999998</v>
      </c>
      <c r="K29" s="1"/>
    </row>
    <row r="30" spans="1:11" ht="27" customHeight="1" x14ac:dyDescent="0.2">
      <c r="A30" s="25" t="s">
        <v>32</v>
      </c>
      <c r="B30" s="27">
        <v>102</v>
      </c>
      <c r="C30" s="42">
        <v>1</v>
      </c>
      <c r="D30" s="36">
        <v>1.1499999999999999</v>
      </c>
      <c r="E30" s="37"/>
      <c r="F30" s="37"/>
      <c r="G30" s="38">
        <v>2.54</v>
      </c>
      <c r="H30" s="141"/>
      <c r="I30" s="142"/>
      <c r="J30" s="37"/>
      <c r="K30" s="1"/>
    </row>
    <row r="31" spans="1:11" ht="27" customHeight="1" x14ac:dyDescent="0.2">
      <c r="A31" s="25" t="s">
        <v>33</v>
      </c>
      <c r="B31" s="27">
        <v>112</v>
      </c>
      <c r="C31" s="42">
        <v>2</v>
      </c>
      <c r="D31" s="36">
        <v>1.4830000000000001</v>
      </c>
      <c r="E31" s="36">
        <v>9.4E-2</v>
      </c>
      <c r="F31" s="37"/>
      <c r="G31" s="38">
        <v>2.54</v>
      </c>
      <c r="H31" s="141"/>
      <c r="I31" s="142"/>
      <c r="J31" s="37"/>
      <c r="K31" s="1"/>
    </row>
    <row r="32" spans="1:11" ht="27" customHeight="1" x14ac:dyDescent="0.2">
      <c r="A32" s="25" t="s">
        <v>34</v>
      </c>
      <c r="B32" s="27">
        <v>122</v>
      </c>
      <c r="C32" s="42">
        <v>2</v>
      </c>
      <c r="D32" s="36">
        <v>0.127</v>
      </c>
      <c r="E32" s="37"/>
      <c r="F32" s="37"/>
      <c r="G32" s="141"/>
      <c r="H32" s="141"/>
      <c r="I32" s="142"/>
      <c r="J32" s="37"/>
      <c r="K32" s="1"/>
    </row>
    <row r="33" spans="1:11" ht="27" customHeight="1" x14ac:dyDescent="0.2">
      <c r="A33" s="25" t="s">
        <v>35</v>
      </c>
      <c r="B33" s="27">
        <v>132</v>
      </c>
      <c r="C33" s="42">
        <v>3</v>
      </c>
      <c r="D33" s="36">
        <v>0.88600000000000001</v>
      </c>
      <c r="E33" s="37"/>
      <c r="F33" s="37"/>
      <c r="G33" s="38">
        <v>2.54</v>
      </c>
      <c r="H33" s="141"/>
      <c r="I33" s="142"/>
      <c r="J33" s="37"/>
      <c r="K33" s="1"/>
    </row>
    <row r="34" spans="1:11" ht="27" customHeight="1" x14ac:dyDescent="0.2">
      <c r="A34" s="25" t="s">
        <v>36</v>
      </c>
      <c r="B34" s="27">
        <v>142</v>
      </c>
      <c r="C34" s="42">
        <v>4</v>
      </c>
      <c r="D34" s="36">
        <v>1.0760000000000001</v>
      </c>
      <c r="E34" s="36">
        <v>8.4000000000000005E-2</v>
      </c>
      <c r="F34" s="37"/>
      <c r="G34" s="38">
        <v>2.54</v>
      </c>
      <c r="H34" s="141"/>
      <c r="I34" s="142"/>
      <c r="J34" s="37"/>
      <c r="K34" s="1"/>
    </row>
    <row r="35" spans="1:11" ht="27" customHeight="1" x14ac:dyDescent="0.2">
      <c r="A35" s="25" t="s">
        <v>37</v>
      </c>
      <c r="B35" s="27">
        <v>152</v>
      </c>
      <c r="C35" s="42">
        <v>4</v>
      </c>
      <c r="D35" s="36">
        <v>0.16300000000000001</v>
      </c>
      <c r="E35" s="37"/>
      <c r="F35" s="37"/>
      <c r="G35" s="141"/>
      <c r="H35" s="141"/>
      <c r="I35" s="142"/>
      <c r="J35" s="37"/>
      <c r="K35" s="1"/>
    </row>
    <row r="36" spans="1:11" ht="27" customHeight="1" x14ac:dyDescent="0.2">
      <c r="A36" s="25" t="s">
        <v>38</v>
      </c>
      <c r="B36" s="27">
        <v>162</v>
      </c>
      <c r="C36" s="42" t="s">
        <v>20</v>
      </c>
      <c r="D36" s="36">
        <v>1.165</v>
      </c>
      <c r="E36" s="36">
        <v>7.3999999999999996E-2</v>
      </c>
      <c r="F36" s="37"/>
      <c r="G36" s="38">
        <v>27.03</v>
      </c>
      <c r="H36" s="141"/>
      <c r="I36" s="142"/>
      <c r="J36" s="37"/>
      <c r="K36" s="1"/>
    </row>
    <row r="37" spans="1:11" ht="27" customHeight="1" x14ac:dyDescent="0.2">
      <c r="A37" s="25" t="s">
        <v>564</v>
      </c>
      <c r="B37" s="27">
        <v>319</v>
      </c>
      <c r="C37" s="42">
        <v>0</v>
      </c>
      <c r="D37" s="163">
        <v>8.0129999999999999</v>
      </c>
      <c r="E37" s="165">
        <v>0.255</v>
      </c>
      <c r="F37" s="166">
        <v>7.0999999999999994E-2</v>
      </c>
      <c r="G37" s="38">
        <v>2.54</v>
      </c>
      <c r="H37" s="141"/>
      <c r="I37" s="142"/>
      <c r="J37" s="37"/>
      <c r="K37" s="1"/>
    </row>
    <row r="38" spans="1:11" ht="27" customHeight="1" x14ac:dyDescent="0.2">
      <c r="A38" s="25" t="s">
        <v>565</v>
      </c>
      <c r="B38" s="27">
        <v>326</v>
      </c>
      <c r="C38" s="42">
        <v>0</v>
      </c>
      <c r="D38" s="163">
        <v>6.8840000000000003</v>
      </c>
      <c r="E38" s="165">
        <v>0.224</v>
      </c>
      <c r="F38" s="166">
        <v>6.7000000000000004E-2</v>
      </c>
      <c r="G38" s="38">
        <v>2.84</v>
      </c>
      <c r="H38" s="141"/>
      <c r="I38" s="142"/>
      <c r="J38" s="37"/>
      <c r="K38" s="1"/>
    </row>
    <row r="39" spans="1:11" ht="27" customHeight="1" x14ac:dyDescent="0.2">
      <c r="A39" s="25" t="s">
        <v>39</v>
      </c>
      <c r="B39" s="27">
        <v>182</v>
      </c>
      <c r="C39" s="42">
        <v>0</v>
      </c>
      <c r="D39" s="163">
        <v>5.1379999999999999</v>
      </c>
      <c r="E39" s="165">
        <v>0.16500000000000001</v>
      </c>
      <c r="F39" s="166">
        <v>5.8000000000000003E-2</v>
      </c>
      <c r="G39" s="38">
        <v>6.69</v>
      </c>
      <c r="H39" s="38">
        <v>1.91</v>
      </c>
      <c r="I39" s="143">
        <v>3.96</v>
      </c>
      <c r="J39" s="36">
        <v>0.16500000000000001</v>
      </c>
      <c r="K39" s="1"/>
    </row>
    <row r="40" spans="1:11" ht="27" customHeight="1" x14ac:dyDescent="0.2">
      <c r="A40" s="25" t="s">
        <v>40</v>
      </c>
      <c r="B40" s="27">
        <v>172</v>
      </c>
      <c r="C40" s="42">
        <v>0</v>
      </c>
      <c r="D40" s="163">
        <v>5.5620000000000003</v>
      </c>
      <c r="E40" s="165">
        <v>0.16800000000000001</v>
      </c>
      <c r="F40" s="166">
        <v>7.3999999999999996E-2</v>
      </c>
      <c r="G40" s="38">
        <v>5.86</v>
      </c>
      <c r="H40" s="38">
        <v>4.0599999999999996</v>
      </c>
      <c r="I40" s="143">
        <v>5.32</v>
      </c>
      <c r="J40" s="36">
        <v>0.16300000000000001</v>
      </c>
      <c r="K40" s="1"/>
    </row>
    <row r="41" spans="1:11" ht="27" customHeight="1" x14ac:dyDescent="0.2">
      <c r="A41" s="25" t="s">
        <v>41</v>
      </c>
      <c r="B41" s="27">
        <v>192</v>
      </c>
      <c r="C41" s="42">
        <v>0</v>
      </c>
      <c r="D41" s="163">
        <v>5.0190000000000001</v>
      </c>
      <c r="E41" s="165">
        <v>0.152</v>
      </c>
      <c r="F41" s="166">
        <v>7.8E-2</v>
      </c>
      <c r="G41" s="38">
        <v>89.57</v>
      </c>
      <c r="H41" s="38">
        <v>3.73</v>
      </c>
      <c r="I41" s="143">
        <v>5.24</v>
      </c>
      <c r="J41" s="36">
        <v>0.14499999999999999</v>
      </c>
      <c r="K41" s="1"/>
    </row>
    <row r="42" spans="1:11" ht="27" customHeight="1" x14ac:dyDescent="0.2">
      <c r="A42" s="25" t="s">
        <v>189</v>
      </c>
      <c r="B42" s="27" t="s">
        <v>2529</v>
      </c>
      <c r="C42" s="42">
        <v>8</v>
      </c>
      <c r="D42" s="36">
        <v>1.111</v>
      </c>
      <c r="E42" s="37"/>
      <c r="F42" s="37"/>
      <c r="G42" s="141"/>
      <c r="H42" s="141"/>
      <c r="I42" s="142"/>
      <c r="J42" s="37"/>
      <c r="K42" s="1"/>
    </row>
    <row r="43" spans="1:11" ht="27" customHeight="1" x14ac:dyDescent="0.2">
      <c r="A43" s="25" t="s">
        <v>190</v>
      </c>
      <c r="B43" s="27" t="s">
        <v>2529</v>
      </c>
      <c r="C43" s="42">
        <v>1</v>
      </c>
      <c r="D43" s="36">
        <v>1.5429999999999999</v>
      </c>
      <c r="E43" s="37"/>
      <c r="F43" s="37"/>
      <c r="G43" s="141"/>
      <c r="H43" s="141"/>
      <c r="I43" s="142"/>
      <c r="J43" s="37"/>
      <c r="K43" s="1"/>
    </row>
    <row r="44" spans="1:11" ht="27" customHeight="1" x14ac:dyDescent="0.2">
      <c r="A44" s="25" t="s">
        <v>191</v>
      </c>
      <c r="B44" s="27" t="s">
        <v>2529</v>
      </c>
      <c r="C44" s="42">
        <v>1</v>
      </c>
      <c r="D44" s="36">
        <v>2.5529999999999999</v>
      </c>
      <c r="E44" s="37"/>
      <c r="F44" s="37"/>
      <c r="G44" s="141"/>
      <c r="H44" s="141"/>
      <c r="I44" s="142"/>
      <c r="J44" s="37"/>
      <c r="K44" s="1"/>
    </row>
    <row r="45" spans="1:11" ht="27" customHeight="1" x14ac:dyDescent="0.2">
      <c r="A45" s="25" t="s">
        <v>192</v>
      </c>
      <c r="B45" s="27" t="s">
        <v>2529</v>
      </c>
      <c r="C45" s="42">
        <v>1</v>
      </c>
      <c r="D45" s="36">
        <v>0.82899999999999996</v>
      </c>
      <c r="E45" s="37"/>
      <c r="F45" s="37"/>
      <c r="G45" s="141"/>
      <c r="H45" s="141"/>
      <c r="I45" s="142"/>
      <c r="J45" s="37"/>
      <c r="K45" s="1"/>
    </row>
    <row r="46" spans="1:11" ht="27" customHeight="1" x14ac:dyDescent="0.2">
      <c r="A46" s="25" t="s">
        <v>42</v>
      </c>
      <c r="B46" s="27">
        <v>212</v>
      </c>
      <c r="C46" s="42">
        <v>0</v>
      </c>
      <c r="D46" s="164">
        <v>21.488</v>
      </c>
      <c r="E46" s="167">
        <v>0.59</v>
      </c>
      <c r="F46" s="166">
        <v>0.41</v>
      </c>
      <c r="G46" s="141"/>
      <c r="H46" s="141"/>
      <c r="I46" s="142"/>
      <c r="J46" s="37"/>
      <c r="K46" s="1"/>
    </row>
    <row r="47" spans="1:11" ht="27" customHeight="1" x14ac:dyDescent="0.2">
      <c r="A47" s="25" t="s">
        <v>566</v>
      </c>
      <c r="B47" s="27">
        <v>222</v>
      </c>
      <c r="C47" s="42" t="s">
        <v>1051</v>
      </c>
      <c r="D47" s="36">
        <v>-0.98299999999999998</v>
      </c>
      <c r="E47" s="37"/>
      <c r="F47" s="37"/>
      <c r="G47" s="38">
        <v>0</v>
      </c>
      <c r="H47" s="141"/>
      <c r="I47" s="142"/>
      <c r="J47" s="37"/>
      <c r="K47" s="1"/>
    </row>
    <row r="48" spans="1:11" ht="27" customHeight="1" x14ac:dyDescent="0.2">
      <c r="A48" s="25" t="s">
        <v>43</v>
      </c>
      <c r="B48" s="27"/>
      <c r="C48" s="42">
        <v>8</v>
      </c>
      <c r="D48" s="36">
        <v>-0.86899999999999999</v>
      </c>
      <c r="E48" s="37"/>
      <c r="F48" s="37"/>
      <c r="G48" s="38">
        <v>0</v>
      </c>
      <c r="H48" s="141"/>
      <c r="I48" s="142"/>
      <c r="J48" s="37"/>
      <c r="K48" s="1"/>
    </row>
    <row r="49" spans="1:11" ht="27" customHeight="1" x14ac:dyDescent="0.2">
      <c r="A49" s="25" t="s">
        <v>44</v>
      </c>
      <c r="B49" s="27">
        <v>232</v>
      </c>
      <c r="C49" s="42">
        <v>0</v>
      </c>
      <c r="D49" s="36">
        <v>-0.98299999999999998</v>
      </c>
      <c r="E49" s="37"/>
      <c r="F49" s="37"/>
      <c r="G49" s="38">
        <v>0</v>
      </c>
      <c r="H49" s="141"/>
      <c r="I49" s="142"/>
      <c r="J49" s="36">
        <v>0.28899999999999998</v>
      </c>
      <c r="K49" s="1"/>
    </row>
    <row r="50" spans="1:11" ht="27" customHeight="1" x14ac:dyDescent="0.2">
      <c r="A50" s="25" t="s">
        <v>45</v>
      </c>
      <c r="B50" s="27">
        <v>242</v>
      </c>
      <c r="C50" s="42">
        <v>0</v>
      </c>
      <c r="D50" s="181">
        <v>-9.6669999999999998</v>
      </c>
      <c r="E50" s="168">
        <v>-0.25900000000000001</v>
      </c>
      <c r="F50" s="182">
        <v>-3.5999999999999997E-2</v>
      </c>
      <c r="G50" s="38">
        <v>0</v>
      </c>
      <c r="H50" s="141"/>
      <c r="I50" s="142"/>
      <c r="J50" s="36">
        <v>0.28899999999999998</v>
      </c>
      <c r="K50" s="1"/>
    </row>
    <row r="51" spans="1:11" ht="27" customHeight="1" x14ac:dyDescent="0.2">
      <c r="A51" s="25" t="s">
        <v>46</v>
      </c>
      <c r="B51" s="27">
        <v>252</v>
      </c>
      <c r="C51" s="42">
        <v>0</v>
      </c>
      <c r="D51" s="36">
        <v>-0.86899999999999999</v>
      </c>
      <c r="E51" s="37"/>
      <c r="F51" s="37"/>
      <c r="G51" s="38">
        <v>0</v>
      </c>
      <c r="H51" s="141"/>
      <c r="I51" s="142"/>
      <c r="J51" s="36">
        <v>0.255</v>
      </c>
      <c r="K51" s="1"/>
    </row>
    <row r="52" spans="1:11" ht="27" customHeight="1" x14ac:dyDescent="0.2">
      <c r="A52" s="25" t="s">
        <v>47</v>
      </c>
      <c r="B52" s="27">
        <v>262</v>
      </c>
      <c r="C52" s="42">
        <v>0</v>
      </c>
      <c r="D52" s="181">
        <v>-8.6180000000000003</v>
      </c>
      <c r="E52" s="168">
        <v>-0.217</v>
      </c>
      <c r="F52" s="182">
        <v>-2.9000000000000001E-2</v>
      </c>
      <c r="G52" s="38">
        <v>0</v>
      </c>
      <c r="H52" s="141"/>
      <c r="I52" s="142"/>
      <c r="J52" s="36">
        <v>0.255</v>
      </c>
      <c r="K52" s="1"/>
    </row>
    <row r="53" spans="1:11" ht="27" customHeight="1" x14ac:dyDescent="0.2">
      <c r="A53" s="25" t="s">
        <v>48</v>
      </c>
      <c r="B53" s="27">
        <v>272</v>
      </c>
      <c r="C53" s="42">
        <v>0</v>
      </c>
      <c r="D53" s="36">
        <v>-0.621</v>
      </c>
      <c r="E53" s="37"/>
      <c r="F53" s="37"/>
      <c r="G53" s="38">
        <v>0</v>
      </c>
      <c r="H53" s="141"/>
      <c r="I53" s="142"/>
      <c r="J53" s="36">
        <v>0.20699999999999999</v>
      </c>
      <c r="K53" s="1"/>
    </row>
    <row r="54" spans="1:11" ht="27" customHeight="1" x14ac:dyDescent="0.2">
      <c r="A54" s="25" t="s">
        <v>49</v>
      </c>
      <c r="B54" s="27">
        <v>282</v>
      </c>
      <c r="C54" s="42">
        <v>0</v>
      </c>
      <c r="D54" s="181">
        <v>-6.343</v>
      </c>
      <c r="E54" s="168">
        <v>-0.12</v>
      </c>
      <c r="F54" s="182">
        <v>-1.4E-2</v>
      </c>
      <c r="G54" s="38">
        <v>0</v>
      </c>
      <c r="H54" s="141"/>
      <c r="I54" s="142"/>
      <c r="J54" s="36">
        <v>0.20699999999999999</v>
      </c>
      <c r="K54" s="1"/>
    </row>
    <row r="55" spans="1:11" ht="27" customHeight="1" x14ac:dyDescent="0.2">
      <c r="A55" s="25" t="s">
        <v>96</v>
      </c>
      <c r="B55" s="27">
        <v>103</v>
      </c>
      <c r="C55" s="42">
        <v>1</v>
      </c>
      <c r="D55" s="36">
        <v>0.996</v>
      </c>
      <c r="E55" s="37"/>
      <c r="F55" s="37"/>
      <c r="G55" s="38">
        <v>2.2000000000000002</v>
      </c>
      <c r="H55" s="141"/>
      <c r="I55" s="142"/>
      <c r="J55" s="37"/>
      <c r="K55" s="1"/>
    </row>
    <row r="56" spans="1:11" ht="27" customHeight="1" x14ac:dyDescent="0.2">
      <c r="A56" s="25" t="s">
        <v>97</v>
      </c>
      <c r="B56" s="27">
        <v>113</v>
      </c>
      <c r="C56" s="42">
        <v>2</v>
      </c>
      <c r="D56" s="36">
        <v>1.284</v>
      </c>
      <c r="E56" s="36">
        <v>8.2000000000000003E-2</v>
      </c>
      <c r="F56" s="37"/>
      <c r="G56" s="38">
        <v>2.2000000000000002</v>
      </c>
      <c r="H56" s="141"/>
      <c r="I56" s="142"/>
      <c r="J56" s="37"/>
      <c r="K56" s="1"/>
    </row>
    <row r="57" spans="1:11" ht="27" customHeight="1" x14ac:dyDescent="0.2">
      <c r="A57" s="25" t="s">
        <v>98</v>
      </c>
      <c r="B57" s="27">
        <v>123</v>
      </c>
      <c r="C57" s="42">
        <v>2</v>
      </c>
      <c r="D57" s="36">
        <v>0.11</v>
      </c>
      <c r="E57" s="37"/>
      <c r="F57" s="37"/>
      <c r="G57" s="141"/>
      <c r="H57" s="141"/>
      <c r="I57" s="142"/>
      <c r="J57" s="37"/>
      <c r="K57" s="1"/>
    </row>
    <row r="58" spans="1:11" ht="27" customHeight="1" x14ac:dyDescent="0.2">
      <c r="A58" s="25" t="s">
        <v>99</v>
      </c>
      <c r="B58" s="27">
        <v>133</v>
      </c>
      <c r="C58" s="42">
        <v>3</v>
      </c>
      <c r="D58" s="36">
        <v>0.76700000000000002</v>
      </c>
      <c r="E58" s="37"/>
      <c r="F58" s="37"/>
      <c r="G58" s="38">
        <v>2.2000000000000002</v>
      </c>
      <c r="H58" s="141"/>
      <c r="I58" s="142"/>
      <c r="J58" s="37"/>
      <c r="K58" s="1"/>
    </row>
    <row r="59" spans="1:11" ht="27" customHeight="1" x14ac:dyDescent="0.2">
      <c r="A59" s="25" t="s">
        <v>100</v>
      </c>
      <c r="B59" s="27">
        <v>143</v>
      </c>
      <c r="C59" s="42">
        <v>4</v>
      </c>
      <c r="D59" s="36">
        <v>0.93100000000000005</v>
      </c>
      <c r="E59" s="36">
        <v>7.2999999999999995E-2</v>
      </c>
      <c r="F59" s="37"/>
      <c r="G59" s="38">
        <v>2.2000000000000002</v>
      </c>
      <c r="H59" s="141"/>
      <c r="I59" s="142"/>
      <c r="J59" s="37"/>
      <c r="K59" s="1"/>
    </row>
    <row r="60" spans="1:11" ht="27" customHeight="1" x14ac:dyDescent="0.2">
      <c r="A60" s="25" t="s">
        <v>101</v>
      </c>
      <c r="B60" s="27">
        <v>153</v>
      </c>
      <c r="C60" s="42">
        <v>4</v>
      </c>
      <c r="D60" s="36">
        <v>0.14099999999999999</v>
      </c>
      <c r="E60" s="37"/>
      <c r="F60" s="37"/>
      <c r="G60" s="141"/>
      <c r="H60" s="141"/>
      <c r="I60" s="142"/>
      <c r="J60" s="37"/>
      <c r="K60" s="1"/>
    </row>
    <row r="61" spans="1:11" ht="27" customHeight="1" x14ac:dyDescent="0.2">
      <c r="A61" s="25" t="s">
        <v>102</v>
      </c>
      <c r="B61" s="27">
        <v>163</v>
      </c>
      <c r="C61" s="42" t="s">
        <v>20</v>
      </c>
      <c r="D61" s="36">
        <v>1.0089999999999999</v>
      </c>
      <c r="E61" s="36">
        <v>6.4000000000000001E-2</v>
      </c>
      <c r="F61" s="37"/>
      <c r="G61" s="38">
        <v>23.4</v>
      </c>
      <c r="H61" s="141"/>
      <c r="I61" s="142"/>
      <c r="J61" s="37"/>
      <c r="K61" s="1"/>
    </row>
    <row r="62" spans="1:11" ht="27" customHeight="1" x14ac:dyDescent="0.2">
      <c r="A62" s="25" t="s">
        <v>103</v>
      </c>
      <c r="B62" s="27"/>
      <c r="C62" s="42" t="s">
        <v>20</v>
      </c>
      <c r="D62" s="36">
        <v>0.76100000000000001</v>
      </c>
      <c r="E62" s="36">
        <v>7.1999999999999995E-2</v>
      </c>
      <c r="F62" s="37"/>
      <c r="G62" s="38">
        <v>4.96</v>
      </c>
      <c r="H62" s="141"/>
      <c r="I62" s="142"/>
      <c r="J62" s="37"/>
      <c r="K62" s="1"/>
    </row>
    <row r="63" spans="1:11" ht="27" customHeight="1" x14ac:dyDescent="0.2">
      <c r="A63" s="25" t="s">
        <v>104</v>
      </c>
      <c r="B63" s="27"/>
      <c r="C63" s="42" t="s">
        <v>20</v>
      </c>
      <c r="D63" s="36">
        <v>0.54800000000000004</v>
      </c>
      <c r="E63" s="36">
        <v>6.6000000000000003E-2</v>
      </c>
      <c r="F63" s="37"/>
      <c r="G63" s="38">
        <v>75.430000000000007</v>
      </c>
      <c r="H63" s="141"/>
      <c r="I63" s="142"/>
      <c r="J63" s="37"/>
      <c r="K63" s="1"/>
    </row>
    <row r="64" spans="1:11" ht="27" customHeight="1" x14ac:dyDescent="0.2">
      <c r="A64" s="25" t="s">
        <v>567</v>
      </c>
      <c r="B64" s="27">
        <v>320</v>
      </c>
      <c r="C64" s="42">
        <v>0</v>
      </c>
      <c r="D64" s="163">
        <v>6.9370000000000003</v>
      </c>
      <c r="E64" s="165">
        <v>0.221</v>
      </c>
      <c r="F64" s="166">
        <v>6.0999999999999999E-2</v>
      </c>
      <c r="G64" s="38">
        <v>2.2000000000000002</v>
      </c>
      <c r="H64" s="141"/>
      <c r="I64" s="142"/>
      <c r="J64" s="37"/>
      <c r="K64" s="1"/>
    </row>
    <row r="65" spans="1:11" ht="27" customHeight="1" x14ac:dyDescent="0.2">
      <c r="A65" s="25" t="s">
        <v>568</v>
      </c>
      <c r="B65" s="27">
        <v>327</v>
      </c>
      <c r="C65" s="42">
        <v>0</v>
      </c>
      <c r="D65" s="163">
        <v>5.96</v>
      </c>
      <c r="E65" s="165">
        <v>0.19500000000000001</v>
      </c>
      <c r="F65" s="166">
        <v>5.8000000000000003E-2</v>
      </c>
      <c r="G65" s="38">
        <v>2.46</v>
      </c>
      <c r="H65" s="141"/>
      <c r="I65" s="142"/>
      <c r="J65" s="37"/>
      <c r="K65" s="1"/>
    </row>
    <row r="66" spans="1:11" ht="27" customHeight="1" x14ac:dyDescent="0.2">
      <c r="A66" s="25" t="s">
        <v>105</v>
      </c>
      <c r="B66" s="27">
        <v>183</v>
      </c>
      <c r="C66" s="42">
        <v>0</v>
      </c>
      <c r="D66" s="163">
        <v>4.4480000000000004</v>
      </c>
      <c r="E66" s="165">
        <v>0.14299999999999999</v>
      </c>
      <c r="F66" s="166">
        <v>0.05</v>
      </c>
      <c r="G66" s="38">
        <v>5.79</v>
      </c>
      <c r="H66" s="38">
        <v>1.65</v>
      </c>
      <c r="I66" s="143">
        <v>3.43</v>
      </c>
      <c r="J66" s="36">
        <v>0.14299999999999999</v>
      </c>
      <c r="K66" s="1"/>
    </row>
    <row r="67" spans="1:11" ht="27" customHeight="1" x14ac:dyDescent="0.2">
      <c r="A67" s="25" t="s">
        <v>106</v>
      </c>
      <c r="B67" s="27">
        <v>173</v>
      </c>
      <c r="C67" s="42">
        <v>0</v>
      </c>
      <c r="D67" s="163">
        <v>4.7149999999999999</v>
      </c>
      <c r="E67" s="165">
        <v>0.14299999999999999</v>
      </c>
      <c r="F67" s="166">
        <v>6.4000000000000001E-2</v>
      </c>
      <c r="G67" s="38">
        <v>4.96</v>
      </c>
      <c r="H67" s="38">
        <v>3.44</v>
      </c>
      <c r="I67" s="143">
        <v>4.51</v>
      </c>
      <c r="J67" s="36">
        <v>0.13800000000000001</v>
      </c>
      <c r="K67" s="1"/>
    </row>
    <row r="68" spans="1:11" ht="27" customHeight="1" x14ac:dyDescent="0.2">
      <c r="A68" s="25" t="s">
        <v>107</v>
      </c>
      <c r="B68" s="27">
        <v>193</v>
      </c>
      <c r="C68" s="42">
        <v>0</v>
      </c>
      <c r="D68" s="163">
        <v>4.226</v>
      </c>
      <c r="E68" s="165">
        <v>0.128</v>
      </c>
      <c r="F68" s="166">
        <v>6.6000000000000003E-2</v>
      </c>
      <c r="G68" s="38">
        <v>75.430000000000007</v>
      </c>
      <c r="H68" s="38">
        <v>3.14</v>
      </c>
      <c r="I68" s="143">
        <v>4.41</v>
      </c>
      <c r="J68" s="36">
        <v>0.122</v>
      </c>
      <c r="K68" s="1"/>
    </row>
    <row r="69" spans="1:11" ht="27" customHeight="1" x14ac:dyDescent="0.2">
      <c r="A69" s="25" t="s">
        <v>194</v>
      </c>
      <c r="B69" s="27" t="s">
        <v>2530</v>
      </c>
      <c r="C69" s="42">
        <v>8</v>
      </c>
      <c r="D69" s="36">
        <v>0.96199999999999997</v>
      </c>
      <c r="E69" s="37"/>
      <c r="F69" s="37"/>
      <c r="G69" s="141"/>
      <c r="H69" s="141"/>
      <c r="I69" s="144"/>
      <c r="J69" s="37"/>
      <c r="K69" s="1"/>
    </row>
    <row r="70" spans="1:11" ht="27" customHeight="1" x14ac:dyDescent="0.2">
      <c r="A70" s="25" t="s">
        <v>195</v>
      </c>
      <c r="B70" s="27" t="s">
        <v>2530</v>
      </c>
      <c r="C70" s="42">
        <v>1</v>
      </c>
      <c r="D70" s="36">
        <v>1.3360000000000001</v>
      </c>
      <c r="E70" s="37"/>
      <c r="F70" s="37"/>
      <c r="G70" s="141"/>
      <c r="H70" s="141"/>
      <c r="I70" s="144"/>
      <c r="J70" s="37"/>
      <c r="K70" s="1"/>
    </row>
    <row r="71" spans="1:11" ht="27" customHeight="1" x14ac:dyDescent="0.2">
      <c r="A71" s="25" t="s">
        <v>196</v>
      </c>
      <c r="B71" s="27" t="s">
        <v>2530</v>
      </c>
      <c r="C71" s="42">
        <v>1</v>
      </c>
      <c r="D71" s="36">
        <v>2.21</v>
      </c>
      <c r="E71" s="37"/>
      <c r="F71" s="37"/>
      <c r="G71" s="141"/>
      <c r="H71" s="141"/>
      <c r="I71" s="144"/>
      <c r="J71" s="37"/>
      <c r="K71" s="1"/>
    </row>
    <row r="72" spans="1:11" ht="27" customHeight="1" x14ac:dyDescent="0.2">
      <c r="A72" s="25" t="s">
        <v>197</v>
      </c>
      <c r="B72" s="27" t="s">
        <v>2530</v>
      </c>
      <c r="C72" s="42">
        <v>1</v>
      </c>
      <c r="D72" s="36">
        <v>0.71799999999999997</v>
      </c>
      <c r="E72" s="37"/>
      <c r="F72" s="37"/>
      <c r="G72" s="141"/>
      <c r="H72" s="141"/>
      <c r="I72" s="144"/>
      <c r="J72" s="37"/>
      <c r="K72" s="1"/>
    </row>
    <row r="73" spans="1:11" ht="27" customHeight="1" x14ac:dyDescent="0.2">
      <c r="A73" s="25" t="s">
        <v>108</v>
      </c>
      <c r="B73" s="27">
        <v>213</v>
      </c>
      <c r="C73" s="42">
        <v>0</v>
      </c>
      <c r="D73" s="164">
        <v>18.602</v>
      </c>
      <c r="E73" s="167">
        <v>0.51100000000000001</v>
      </c>
      <c r="F73" s="166">
        <v>0.35399999999999998</v>
      </c>
      <c r="G73" s="141"/>
      <c r="H73" s="141"/>
      <c r="I73" s="142"/>
      <c r="J73" s="37"/>
      <c r="K73" s="1"/>
    </row>
    <row r="74" spans="1:11" ht="27" customHeight="1" x14ac:dyDescent="0.2">
      <c r="A74" s="25" t="s">
        <v>569</v>
      </c>
      <c r="B74" s="27">
        <v>223</v>
      </c>
      <c r="C74" s="42">
        <v>8</v>
      </c>
      <c r="D74" s="36">
        <v>-0.65200000000000002</v>
      </c>
      <c r="E74" s="37"/>
      <c r="F74" s="37"/>
      <c r="G74" s="38">
        <v>0</v>
      </c>
      <c r="H74" s="141"/>
      <c r="I74" s="142"/>
      <c r="J74" s="37"/>
      <c r="K74" s="1"/>
    </row>
    <row r="75" spans="1:11" ht="27" customHeight="1" x14ac:dyDescent="0.2">
      <c r="A75" s="25" t="s">
        <v>109</v>
      </c>
      <c r="B75" s="27"/>
      <c r="C75" s="42">
        <v>8</v>
      </c>
      <c r="D75" s="36">
        <v>-0.63700000000000001</v>
      </c>
      <c r="E75" s="37"/>
      <c r="F75" s="37"/>
      <c r="G75" s="38">
        <v>0</v>
      </c>
      <c r="H75" s="141"/>
      <c r="I75" s="142"/>
      <c r="J75" s="37"/>
      <c r="K75" s="1"/>
    </row>
    <row r="76" spans="1:11" ht="27" customHeight="1" x14ac:dyDescent="0.2">
      <c r="A76" s="25" t="s">
        <v>110</v>
      </c>
      <c r="B76" s="27">
        <v>233</v>
      </c>
      <c r="C76" s="42">
        <v>0</v>
      </c>
      <c r="D76" s="36">
        <v>-0.65200000000000002</v>
      </c>
      <c r="E76" s="37"/>
      <c r="F76" s="37"/>
      <c r="G76" s="38">
        <v>0</v>
      </c>
      <c r="H76" s="141"/>
      <c r="I76" s="142"/>
      <c r="J76" s="36">
        <v>0.192</v>
      </c>
      <c r="K76" s="1"/>
    </row>
    <row r="77" spans="1:11" ht="27" customHeight="1" x14ac:dyDescent="0.2">
      <c r="A77" s="25" t="s">
        <v>111</v>
      </c>
      <c r="B77" s="27">
        <v>243</v>
      </c>
      <c r="C77" s="42">
        <v>0</v>
      </c>
      <c r="D77" s="181">
        <v>-6.4160000000000004</v>
      </c>
      <c r="E77" s="168">
        <v>-0.17199999999999999</v>
      </c>
      <c r="F77" s="182">
        <v>-2.4E-2</v>
      </c>
      <c r="G77" s="38">
        <v>0</v>
      </c>
      <c r="H77" s="141"/>
      <c r="I77" s="142"/>
      <c r="J77" s="36">
        <v>0.192</v>
      </c>
      <c r="K77" s="1"/>
    </row>
    <row r="78" spans="1:11" ht="27" customHeight="1" x14ac:dyDescent="0.2">
      <c r="A78" s="25" t="s">
        <v>112</v>
      </c>
      <c r="B78" s="27">
        <v>253</v>
      </c>
      <c r="C78" s="42">
        <v>0</v>
      </c>
      <c r="D78" s="36">
        <v>-0.63700000000000001</v>
      </c>
      <c r="E78" s="37"/>
      <c r="F78" s="37"/>
      <c r="G78" s="38">
        <v>0</v>
      </c>
      <c r="H78" s="141"/>
      <c r="I78" s="142"/>
      <c r="J78" s="36">
        <v>0.187</v>
      </c>
      <c r="K78" s="1"/>
    </row>
    <row r="79" spans="1:11" ht="27" customHeight="1" x14ac:dyDescent="0.2">
      <c r="A79" s="25" t="s">
        <v>113</v>
      </c>
      <c r="B79" s="27">
        <v>263</v>
      </c>
      <c r="C79" s="42">
        <v>0</v>
      </c>
      <c r="D79" s="181">
        <v>-6.3179999999999996</v>
      </c>
      <c r="E79" s="168">
        <v>-0.159</v>
      </c>
      <c r="F79" s="182">
        <v>-2.1000000000000001E-2</v>
      </c>
      <c r="G79" s="38">
        <v>0</v>
      </c>
      <c r="H79" s="141"/>
      <c r="I79" s="142"/>
      <c r="J79" s="36">
        <v>0.187</v>
      </c>
      <c r="K79" s="1"/>
    </row>
    <row r="80" spans="1:11" ht="27" customHeight="1" x14ac:dyDescent="0.2">
      <c r="A80" s="25" t="s">
        <v>114</v>
      </c>
      <c r="B80" s="27">
        <v>273</v>
      </c>
      <c r="C80" s="42">
        <v>0</v>
      </c>
      <c r="D80" s="36">
        <v>-0.621</v>
      </c>
      <c r="E80" s="37"/>
      <c r="F80" s="37"/>
      <c r="G80" s="38">
        <v>9.02</v>
      </c>
      <c r="H80" s="141"/>
      <c r="I80" s="142"/>
      <c r="J80" s="36">
        <v>0.20699999999999999</v>
      </c>
      <c r="K80" s="1"/>
    </row>
    <row r="81" spans="1:11" ht="27" customHeight="1" x14ac:dyDescent="0.2">
      <c r="A81" s="25" t="s">
        <v>115</v>
      </c>
      <c r="B81" s="27">
        <v>283</v>
      </c>
      <c r="C81" s="42">
        <v>0</v>
      </c>
      <c r="D81" s="181">
        <v>-6.343</v>
      </c>
      <c r="E81" s="168">
        <v>-0.12</v>
      </c>
      <c r="F81" s="182">
        <v>-1.4E-2</v>
      </c>
      <c r="G81" s="38">
        <v>9.02</v>
      </c>
      <c r="H81" s="141"/>
      <c r="I81" s="142"/>
      <c r="J81" s="36">
        <v>0.20699999999999999</v>
      </c>
      <c r="K81" s="1"/>
    </row>
    <row r="82" spans="1:11" ht="27" customHeight="1" x14ac:dyDescent="0.2">
      <c r="A82" s="25" t="s">
        <v>62</v>
      </c>
      <c r="B82" s="27">
        <v>104</v>
      </c>
      <c r="C82" s="42">
        <v>1</v>
      </c>
      <c r="D82" s="36">
        <v>0.77300000000000002</v>
      </c>
      <c r="E82" s="37"/>
      <c r="F82" s="37"/>
      <c r="G82" s="38">
        <v>1.71</v>
      </c>
      <c r="H82" s="141"/>
      <c r="I82" s="142"/>
      <c r="J82" s="37"/>
      <c r="K82" s="1"/>
    </row>
    <row r="83" spans="1:11" ht="27" customHeight="1" x14ac:dyDescent="0.2">
      <c r="A83" s="25" t="s">
        <v>63</v>
      </c>
      <c r="B83" s="27">
        <v>114</v>
      </c>
      <c r="C83" s="42">
        <v>2</v>
      </c>
      <c r="D83" s="36">
        <v>0.997</v>
      </c>
      <c r="E83" s="36">
        <v>6.3E-2</v>
      </c>
      <c r="F83" s="37"/>
      <c r="G83" s="38">
        <v>1.71</v>
      </c>
      <c r="H83" s="141"/>
      <c r="I83" s="142"/>
      <c r="J83" s="37"/>
      <c r="K83" s="1"/>
    </row>
    <row r="84" spans="1:11" ht="27" customHeight="1" x14ac:dyDescent="0.2">
      <c r="A84" s="25" t="s">
        <v>64</v>
      </c>
      <c r="B84" s="27">
        <v>124</v>
      </c>
      <c r="C84" s="42">
        <v>2</v>
      </c>
      <c r="D84" s="36">
        <v>8.5000000000000006E-2</v>
      </c>
      <c r="E84" s="37"/>
      <c r="F84" s="37"/>
      <c r="G84" s="141"/>
      <c r="H84" s="141"/>
      <c r="I84" s="142"/>
      <c r="J84" s="37"/>
      <c r="K84" s="1"/>
    </row>
    <row r="85" spans="1:11" ht="27" customHeight="1" x14ac:dyDescent="0.2">
      <c r="A85" s="25" t="s">
        <v>65</v>
      </c>
      <c r="B85" s="27">
        <v>134</v>
      </c>
      <c r="C85" s="42">
        <v>3</v>
      </c>
      <c r="D85" s="36">
        <v>0.59599999999999997</v>
      </c>
      <c r="E85" s="37"/>
      <c r="F85" s="37"/>
      <c r="G85" s="38">
        <v>1.71</v>
      </c>
      <c r="H85" s="141"/>
      <c r="I85" s="142"/>
      <c r="J85" s="37"/>
      <c r="K85" s="1"/>
    </row>
    <row r="86" spans="1:11" ht="27" customHeight="1" x14ac:dyDescent="0.2">
      <c r="A86" s="25" t="s">
        <v>66</v>
      </c>
      <c r="B86" s="27">
        <v>144</v>
      </c>
      <c r="C86" s="42">
        <v>4</v>
      </c>
      <c r="D86" s="36">
        <v>0.72299999999999998</v>
      </c>
      <c r="E86" s="36">
        <v>5.6000000000000001E-2</v>
      </c>
      <c r="F86" s="37"/>
      <c r="G86" s="38">
        <v>1.71</v>
      </c>
      <c r="H86" s="141"/>
      <c r="I86" s="142"/>
      <c r="J86" s="37"/>
      <c r="K86" s="1"/>
    </row>
    <row r="87" spans="1:11" ht="27" customHeight="1" x14ac:dyDescent="0.2">
      <c r="A87" s="25" t="s">
        <v>67</v>
      </c>
      <c r="B87" s="27">
        <v>154</v>
      </c>
      <c r="C87" s="42">
        <v>4</v>
      </c>
      <c r="D87" s="36">
        <v>0.109</v>
      </c>
      <c r="E87" s="37"/>
      <c r="F87" s="37"/>
      <c r="G87" s="141"/>
      <c r="H87" s="141"/>
      <c r="I87" s="142"/>
      <c r="J87" s="37"/>
      <c r="K87" s="1"/>
    </row>
    <row r="88" spans="1:11" ht="27" customHeight="1" x14ac:dyDescent="0.2">
      <c r="A88" s="25" t="s">
        <v>68</v>
      </c>
      <c r="B88" s="27">
        <v>164</v>
      </c>
      <c r="C88" s="42" t="s">
        <v>20</v>
      </c>
      <c r="D88" s="36">
        <v>0.78300000000000003</v>
      </c>
      <c r="E88" s="36">
        <v>0.05</v>
      </c>
      <c r="F88" s="37"/>
      <c r="G88" s="38">
        <v>18.170000000000002</v>
      </c>
      <c r="H88" s="141"/>
      <c r="I88" s="142"/>
      <c r="J88" s="37"/>
      <c r="K88" s="1"/>
    </row>
    <row r="89" spans="1:11" ht="27" customHeight="1" x14ac:dyDescent="0.2">
      <c r="A89" s="25" t="s">
        <v>116</v>
      </c>
      <c r="B89" s="27">
        <v>294</v>
      </c>
      <c r="C89" s="42" t="s">
        <v>20</v>
      </c>
      <c r="D89" s="36">
        <v>0.59099999999999997</v>
      </c>
      <c r="E89" s="36">
        <v>5.6000000000000001E-2</v>
      </c>
      <c r="F89" s="37"/>
      <c r="G89" s="38">
        <v>3.85</v>
      </c>
      <c r="H89" s="141"/>
      <c r="I89" s="142"/>
      <c r="J89" s="37"/>
      <c r="K89" s="1"/>
    </row>
    <row r="90" spans="1:11" ht="27" customHeight="1" x14ac:dyDescent="0.2">
      <c r="A90" s="25" t="s">
        <v>117</v>
      </c>
      <c r="B90" s="27">
        <v>304</v>
      </c>
      <c r="C90" s="42" t="s">
        <v>20</v>
      </c>
      <c r="D90" s="36">
        <v>0.42499999999999999</v>
      </c>
      <c r="E90" s="36">
        <v>5.0999999999999997E-2</v>
      </c>
      <c r="F90" s="37"/>
      <c r="G90" s="38">
        <v>58.56</v>
      </c>
      <c r="H90" s="141"/>
      <c r="I90" s="142"/>
      <c r="J90" s="37"/>
      <c r="K90" s="1"/>
    </row>
    <row r="91" spans="1:11" ht="27" customHeight="1" x14ac:dyDescent="0.2">
      <c r="A91" s="25" t="s">
        <v>570</v>
      </c>
      <c r="B91" s="27">
        <v>321</v>
      </c>
      <c r="C91" s="42">
        <v>0</v>
      </c>
      <c r="D91" s="163">
        <v>5.3860000000000001</v>
      </c>
      <c r="E91" s="165">
        <v>0.17100000000000001</v>
      </c>
      <c r="F91" s="166">
        <v>4.8000000000000001E-2</v>
      </c>
      <c r="G91" s="38">
        <v>1.71</v>
      </c>
      <c r="H91" s="141"/>
      <c r="I91" s="142"/>
      <c r="J91" s="37"/>
      <c r="K91" s="1"/>
    </row>
    <row r="92" spans="1:11" ht="27" customHeight="1" x14ac:dyDescent="0.2">
      <c r="A92" s="25" t="s">
        <v>571</v>
      </c>
      <c r="B92" s="27">
        <v>328</v>
      </c>
      <c r="C92" s="42">
        <v>0</v>
      </c>
      <c r="D92" s="163">
        <v>4.6269999999999998</v>
      </c>
      <c r="E92" s="165">
        <v>0.151</v>
      </c>
      <c r="F92" s="166">
        <v>4.4999999999999998E-2</v>
      </c>
      <c r="G92" s="38">
        <v>1.91</v>
      </c>
      <c r="H92" s="141"/>
      <c r="I92" s="142"/>
      <c r="J92" s="37"/>
      <c r="K92" s="1"/>
    </row>
    <row r="93" spans="1:11" ht="27" customHeight="1" x14ac:dyDescent="0.2">
      <c r="A93" s="25" t="s">
        <v>69</v>
      </c>
      <c r="B93" s="27">
        <v>184</v>
      </c>
      <c r="C93" s="42">
        <v>0</v>
      </c>
      <c r="D93" s="163">
        <v>3.4540000000000002</v>
      </c>
      <c r="E93" s="165">
        <v>0.111</v>
      </c>
      <c r="F93" s="166">
        <v>3.9E-2</v>
      </c>
      <c r="G93" s="38">
        <v>4.5</v>
      </c>
      <c r="H93" s="38">
        <v>1.28</v>
      </c>
      <c r="I93" s="143">
        <v>2.66</v>
      </c>
      <c r="J93" s="36">
        <v>0.111</v>
      </c>
      <c r="K93" s="1"/>
    </row>
    <row r="94" spans="1:11" ht="27" customHeight="1" x14ac:dyDescent="0.2">
      <c r="A94" s="25" t="s">
        <v>70</v>
      </c>
      <c r="B94" s="27">
        <v>174</v>
      </c>
      <c r="C94" s="42">
        <v>0</v>
      </c>
      <c r="D94" s="163">
        <v>3.661</v>
      </c>
      <c r="E94" s="165">
        <v>0.111</v>
      </c>
      <c r="F94" s="166">
        <v>4.9000000000000002E-2</v>
      </c>
      <c r="G94" s="38">
        <v>3.85</v>
      </c>
      <c r="H94" s="38">
        <v>2.67</v>
      </c>
      <c r="I94" s="143">
        <v>3.5</v>
      </c>
      <c r="J94" s="36">
        <v>0.107</v>
      </c>
      <c r="K94" s="1"/>
    </row>
    <row r="95" spans="1:11" ht="27" customHeight="1" x14ac:dyDescent="0.2">
      <c r="A95" s="25" t="s">
        <v>71</v>
      </c>
      <c r="B95" s="27">
        <v>194</v>
      </c>
      <c r="C95" s="42">
        <v>0</v>
      </c>
      <c r="D95" s="163">
        <v>3.2810000000000001</v>
      </c>
      <c r="E95" s="165">
        <v>9.9000000000000005E-2</v>
      </c>
      <c r="F95" s="166">
        <v>5.0999999999999997E-2</v>
      </c>
      <c r="G95" s="38">
        <v>58.56</v>
      </c>
      <c r="H95" s="38">
        <v>2.44</v>
      </c>
      <c r="I95" s="143">
        <v>3.43</v>
      </c>
      <c r="J95" s="36">
        <v>9.5000000000000001E-2</v>
      </c>
      <c r="K95" s="1"/>
    </row>
    <row r="96" spans="1:11" ht="27" customHeight="1" x14ac:dyDescent="0.2">
      <c r="A96" s="25" t="s">
        <v>198</v>
      </c>
      <c r="B96" s="27" t="s">
        <v>2531</v>
      </c>
      <c r="C96" s="42">
        <v>8</v>
      </c>
      <c r="D96" s="36">
        <v>0.747</v>
      </c>
      <c r="E96" s="37"/>
      <c r="F96" s="37"/>
      <c r="G96" s="141"/>
      <c r="H96" s="141"/>
      <c r="I96" s="144"/>
      <c r="J96" s="37"/>
      <c r="K96" s="1"/>
    </row>
    <row r="97" spans="1:11" ht="27" customHeight="1" x14ac:dyDescent="0.2">
      <c r="A97" s="25" t="s">
        <v>199</v>
      </c>
      <c r="B97" s="27" t="s">
        <v>2531</v>
      </c>
      <c r="C97" s="42">
        <v>1</v>
      </c>
      <c r="D97" s="36">
        <v>1.0369999999999999</v>
      </c>
      <c r="E97" s="37"/>
      <c r="F97" s="37"/>
      <c r="G97" s="141"/>
      <c r="H97" s="141"/>
      <c r="I97" s="144"/>
      <c r="J97" s="37"/>
      <c r="K97" s="1"/>
    </row>
    <row r="98" spans="1:11" ht="27" customHeight="1" x14ac:dyDescent="0.2">
      <c r="A98" s="25" t="s">
        <v>200</v>
      </c>
      <c r="B98" s="27" t="s">
        <v>2531</v>
      </c>
      <c r="C98" s="42">
        <v>1</v>
      </c>
      <c r="D98" s="36">
        <v>1.716</v>
      </c>
      <c r="E98" s="37"/>
      <c r="F98" s="37"/>
      <c r="G98" s="141"/>
      <c r="H98" s="141"/>
      <c r="I98" s="144"/>
      <c r="J98" s="37"/>
      <c r="K98" s="1"/>
    </row>
    <row r="99" spans="1:11" ht="27" customHeight="1" x14ac:dyDescent="0.2">
      <c r="A99" s="25" t="s">
        <v>201</v>
      </c>
      <c r="B99" s="27" t="s">
        <v>2531</v>
      </c>
      <c r="C99" s="42">
        <v>1</v>
      </c>
      <c r="D99" s="36">
        <v>0.55700000000000005</v>
      </c>
      <c r="E99" s="37"/>
      <c r="F99" s="37"/>
      <c r="G99" s="141"/>
      <c r="H99" s="141"/>
      <c r="I99" s="144"/>
      <c r="J99" s="37"/>
      <c r="K99" s="1"/>
    </row>
    <row r="100" spans="1:11" ht="27" customHeight="1" x14ac:dyDescent="0.2">
      <c r="A100" s="25" t="s">
        <v>72</v>
      </c>
      <c r="B100" s="27">
        <v>214</v>
      </c>
      <c r="C100" s="42">
        <v>0</v>
      </c>
      <c r="D100" s="164">
        <v>14.442</v>
      </c>
      <c r="E100" s="167">
        <v>0.39600000000000002</v>
      </c>
      <c r="F100" s="166">
        <v>0.27500000000000002</v>
      </c>
      <c r="G100" s="141"/>
      <c r="H100" s="141"/>
      <c r="I100" s="142"/>
      <c r="J100" s="37"/>
      <c r="K100" s="1"/>
    </row>
    <row r="101" spans="1:11" ht="27" customHeight="1" x14ac:dyDescent="0.2">
      <c r="A101" s="25" t="s">
        <v>572</v>
      </c>
      <c r="B101" s="27">
        <v>224</v>
      </c>
      <c r="C101" s="42">
        <v>8</v>
      </c>
      <c r="D101" s="36">
        <v>-0.50700000000000001</v>
      </c>
      <c r="E101" s="37"/>
      <c r="F101" s="37"/>
      <c r="G101" s="38">
        <v>0</v>
      </c>
      <c r="H101" s="141"/>
      <c r="I101" s="142"/>
      <c r="J101" s="37"/>
      <c r="K101" s="1"/>
    </row>
    <row r="102" spans="1:11" ht="27" customHeight="1" x14ac:dyDescent="0.2">
      <c r="A102" s="25" t="s">
        <v>73</v>
      </c>
      <c r="B102" s="27"/>
      <c r="C102" s="42">
        <v>8</v>
      </c>
      <c r="D102" s="36">
        <v>-0.495</v>
      </c>
      <c r="E102" s="37"/>
      <c r="F102" s="37"/>
      <c r="G102" s="38">
        <v>0</v>
      </c>
      <c r="H102" s="141"/>
      <c r="I102" s="142"/>
      <c r="J102" s="37"/>
      <c r="K102" s="1"/>
    </row>
    <row r="103" spans="1:11" ht="27" customHeight="1" x14ac:dyDescent="0.2">
      <c r="A103" s="25" t="s">
        <v>74</v>
      </c>
      <c r="B103" s="27">
        <v>234</v>
      </c>
      <c r="C103" s="42">
        <v>0</v>
      </c>
      <c r="D103" s="36">
        <v>-0.50700000000000001</v>
      </c>
      <c r="E103" s="37"/>
      <c r="F103" s="37"/>
      <c r="G103" s="38">
        <v>0</v>
      </c>
      <c r="H103" s="141"/>
      <c r="I103" s="142"/>
      <c r="J103" s="36">
        <v>0.14899999999999999</v>
      </c>
      <c r="K103" s="1"/>
    </row>
    <row r="104" spans="1:11" ht="27" customHeight="1" x14ac:dyDescent="0.2">
      <c r="A104" s="25" t="s">
        <v>75</v>
      </c>
      <c r="B104" s="27">
        <v>244</v>
      </c>
      <c r="C104" s="42">
        <v>0</v>
      </c>
      <c r="D104" s="181">
        <v>-4.9820000000000002</v>
      </c>
      <c r="E104" s="168">
        <v>-0.13300000000000001</v>
      </c>
      <c r="F104" s="182">
        <v>-1.9E-2</v>
      </c>
      <c r="G104" s="38">
        <v>0</v>
      </c>
      <c r="H104" s="141"/>
      <c r="I104" s="142"/>
      <c r="J104" s="36">
        <v>0.14899999999999999</v>
      </c>
      <c r="K104" s="1"/>
    </row>
    <row r="105" spans="1:11" ht="27" customHeight="1" x14ac:dyDescent="0.2">
      <c r="A105" s="25" t="s">
        <v>76</v>
      </c>
      <c r="B105" s="27">
        <v>254</v>
      </c>
      <c r="C105" s="42">
        <v>0</v>
      </c>
      <c r="D105" s="36">
        <v>-0.495</v>
      </c>
      <c r="E105" s="37"/>
      <c r="F105" s="37"/>
      <c r="G105" s="38">
        <v>0</v>
      </c>
      <c r="H105" s="141"/>
      <c r="I105" s="142"/>
      <c r="J105" s="36">
        <v>0.14499999999999999</v>
      </c>
      <c r="K105" s="1"/>
    </row>
    <row r="106" spans="1:11" ht="27" customHeight="1" x14ac:dyDescent="0.2">
      <c r="A106" s="25" t="s">
        <v>77</v>
      </c>
      <c r="B106" s="27">
        <v>264</v>
      </c>
      <c r="C106" s="42">
        <v>0</v>
      </c>
      <c r="D106" s="181">
        <v>-4.9050000000000002</v>
      </c>
      <c r="E106" s="168">
        <v>-0.124</v>
      </c>
      <c r="F106" s="182">
        <v>-1.7000000000000001E-2</v>
      </c>
      <c r="G106" s="38">
        <v>0</v>
      </c>
      <c r="H106" s="141"/>
      <c r="I106" s="142"/>
      <c r="J106" s="36">
        <v>0.14499999999999999</v>
      </c>
      <c r="K106" s="1"/>
    </row>
    <row r="107" spans="1:11" ht="27" customHeight="1" x14ac:dyDescent="0.2">
      <c r="A107" s="25" t="s">
        <v>78</v>
      </c>
      <c r="B107" s="27">
        <v>274</v>
      </c>
      <c r="C107" s="42">
        <v>0</v>
      </c>
      <c r="D107" s="36">
        <v>-0.48199999999999998</v>
      </c>
      <c r="E107" s="37"/>
      <c r="F107" s="37"/>
      <c r="G107" s="38">
        <v>7</v>
      </c>
      <c r="H107" s="141"/>
      <c r="I107" s="142"/>
      <c r="J107" s="36">
        <v>0.161</v>
      </c>
      <c r="K107" s="1"/>
    </row>
    <row r="108" spans="1:11" ht="27" customHeight="1" x14ac:dyDescent="0.2">
      <c r="A108" s="25" t="s">
        <v>79</v>
      </c>
      <c r="B108" s="27">
        <v>284</v>
      </c>
      <c r="C108" s="42">
        <v>0</v>
      </c>
      <c r="D108" s="181">
        <v>-4.9249999999999998</v>
      </c>
      <c r="E108" s="168">
        <v>-9.2999999999999999E-2</v>
      </c>
      <c r="F108" s="182">
        <v>-1.0999999999999999E-2</v>
      </c>
      <c r="G108" s="38">
        <v>7</v>
      </c>
      <c r="H108" s="141"/>
      <c r="I108" s="142"/>
      <c r="J108" s="36">
        <v>0.161</v>
      </c>
      <c r="K108" s="1"/>
    </row>
    <row r="109" spans="1:11" ht="27" customHeight="1" x14ac:dyDescent="0.2">
      <c r="A109" s="25" t="s">
        <v>118</v>
      </c>
      <c r="B109" s="27">
        <v>105</v>
      </c>
      <c r="C109" s="42">
        <v>1</v>
      </c>
      <c r="D109" s="36">
        <v>0.59299999999999997</v>
      </c>
      <c r="E109" s="37"/>
      <c r="F109" s="37"/>
      <c r="G109" s="38">
        <v>1.31</v>
      </c>
      <c r="H109" s="141"/>
      <c r="I109" s="142"/>
      <c r="J109" s="37"/>
      <c r="K109" s="1"/>
    </row>
    <row r="110" spans="1:11" ht="27" customHeight="1" x14ac:dyDescent="0.2">
      <c r="A110" s="25" t="s">
        <v>119</v>
      </c>
      <c r="B110" s="27">
        <v>115</v>
      </c>
      <c r="C110" s="42">
        <v>2</v>
      </c>
      <c r="D110" s="36">
        <v>0.76400000000000001</v>
      </c>
      <c r="E110" s="36">
        <v>4.9000000000000002E-2</v>
      </c>
      <c r="F110" s="37"/>
      <c r="G110" s="38">
        <v>1.31</v>
      </c>
      <c r="H110" s="141"/>
      <c r="I110" s="142"/>
      <c r="J110" s="37"/>
      <c r="K110" s="1"/>
    </row>
    <row r="111" spans="1:11" ht="27" customHeight="1" x14ac:dyDescent="0.2">
      <c r="A111" s="25" t="s">
        <v>120</v>
      </c>
      <c r="B111" s="27">
        <v>125</v>
      </c>
      <c r="C111" s="42">
        <v>2</v>
      </c>
      <c r="D111" s="36">
        <v>6.5000000000000002E-2</v>
      </c>
      <c r="E111" s="37"/>
      <c r="F111" s="37"/>
      <c r="G111" s="141"/>
      <c r="H111" s="141"/>
      <c r="I111" s="142"/>
      <c r="J111" s="37"/>
      <c r="K111" s="1"/>
    </row>
    <row r="112" spans="1:11" ht="27" customHeight="1" x14ac:dyDescent="0.2">
      <c r="A112" s="25" t="s">
        <v>121</v>
      </c>
      <c r="B112" s="27">
        <v>135</v>
      </c>
      <c r="C112" s="42">
        <v>3</v>
      </c>
      <c r="D112" s="36">
        <v>0.45600000000000002</v>
      </c>
      <c r="E112" s="37"/>
      <c r="F112" s="37"/>
      <c r="G112" s="38">
        <v>1.31</v>
      </c>
      <c r="H112" s="141"/>
      <c r="I112" s="142"/>
      <c r="J112" s="37"/>
      <c r="K112" s="1"/>
    </row>
    <row r="113" spans="1:11" ht="27" customHeight="1" x14ac:dyDescent="0.2">
      <c r="A113" s="25" t="s">
        <v>122</v>
      </c>
      <c r="B113" s="27">
        <v>145</v>
      </c>
      <c r="C113" s="42">
        <v>4</v>
      </c>
      <c r="D113" s="36">
        <v>0.55400000000000005</v>
      </c>
      <c r="E113" s="36">
        <v>4.2999999999999997E-2</v>
      </c>
      <c r="F113" s="37"/>
      <c r="G113" s="38">
        <v>1.31</v>
      </c>
      <c r="H113" s="141"/>
      <c r="I113" s="142"/>
      <c r="J113" s="37"/>
      <c r="K113" s="1"/>
    </row>
    <row r="114" spans="1:11" ht="27" customHeight="1" x14ac:dyDescent="0.2">
      <c r="A114" s="25" t="s">
        <v>123</v>
      </c>
      <c r="B114" s="27">
        <v>155</v>
      </c>
      <c r="C114" s="42">
        <v>4</v>
      </c>
      <c r="D114" s="36">
        <v>8.4000000000000005E-2</v>
      </c>
      <c r="E114" s="37"/>
      <c r="F114" s="37"/>
      <c r="G114" s="141"/>
      <c r="H114" s="141"/>
      <c r="I114" s="142"/>
      <c r="J114" s="37"/>
      <c r="K114" s="1"/>
    </row>
    <row r="115" spans="1:11" ht="27" customHeight="1" x14ac:dyDescent="0.2">
      <c r="A115" s="25" t="s">
        <v>124</v>
      </c>
      <c r="B115" s="27">
        <v>165</v>
      </c>
      <c r="C115" s="42" t="s">
        <v>20</v>
      </c>
      <c r="D115" s="36">
        <v>0.6</v>
      </c>
      <c r="E115" s="36">
        <v>3.7999999999999999E-2</v>
      </c>
      <c r="F115" s="37"/>
      <c r="G115" s="38">
        <v>13.92</v>
      </c>
      <c r="H115" s="141"/>
      <c r="I115" s="142"/>
      <c r="J115" s="37"/>
      <c r="K115" s="1"/>
    </row>
    <row r="116" spans="1:11" ht="27" customHeight="1" x14ac:dyDescent="0.2">
      <c r="A116" s="25" t="s">
        <v>125</v>
      </c>
      <c r="B116" s="27"/>
      <c r="C116" s="42" t="s">
        <v>20</v>
      </c>
      <c r="D116" s="36">
        <v>0.45300000000000001</v>
      </c>
      <c r="E116" s="36">
        <v>4.2999999999999997E-2</v>
      </c>
      <c r="F116" s="37"/>
      <c r="G116" s="38">
        <v>2.95</v>
      </c>
      <c r="H116" s="141"/>
      <c r="I116" s="142"/>
      <c r="J116" s="37"/>
      <c r="K116" s="1"/>
    </row>
    <row r="117" spans="1:11" ht="27" customHeight="1" x14ac:dyDescent="0.2">
      <c r="A117" s="25" t="s">
        <v>126</v>
      </c>
      <c r="B117" s="27"/>
      <c r="C117" s="42" t="s">
        <v>20</v>
      </c>
      <c r="D117" s="36">
        <v>0.32600000000000001</v>
      </c>
      <c r="E117" s="36">
        <v>3.9E-2</v>
      </c>
      <c r="F117" s="37"/>
      <c r="G117" s="38">
        <v>44.89</v>
      </c>
      <c r="H117" s="141"/>
      <c r="I117" s="142"/>
      <c r="J117" s="37"/>
      <c r="K117" s="1"/>
    </row>
    <row r="118" spans="1:11" ht="27" customHeight="1" x14ac:dyDescent="0.2">
      <c r="A118" s="25" t="s">
        <v>573</v>
      </c>
      <c r="B118" s="27">
        <v>322</v>
      </c>
      <c r="C118" s="42">
        <v>0</v>
      </c>
      <c r="D118" s="163">
        <v>4.1280000000000001</v>
      </c>
      <c r="E118" s="165">
        <v>0.13100000000000001</v>
      </c>
      <c r="F118" s="166">
        <v>3.5999999999999997E-2</v>
      </c>
      <c r="G118" s="38">
        <v>1.31</v>
      </c>
      <c r="H118" s="141"/>
      <c r="I118" s="142"/>
      <c r="J118" s="37"/>
      <c r="K118" s="1"/>
    </row>
    <row r="119" spans="1:11" ht="27" customHeight="1" x14ac:dyDescent="0.2">
      <c r="A119" s="25" t="s">
        <v>574</v>
      </c>
      <c r="B119" s="27">
        <v>329</v>
      </c>
      <c r="C119" s="42">
        <v>0</v>
      </c>
      <c r="D119" s="163">
        <v>3.5470000000000002</v>
      </c>
      <c r="E119" s="165">
        <v>0.11600000000000001</v>
      </c>
      <c r="F119" s="166">
        <v>3.4000000000000002E-2</v>
      </c>
      <c r="G119" s="38">
        <v>1.46</v>
      </c>
      <c r="H119" s="141"/>
      <c r="I119" s="142"/>
      <c r="J119" s="37"/>
      <c r="K119" s="1"/>
    </row>
    <row r="120" spans="1:11" ht="27" customHeight="1" x14ac:dyDescent="0.2">
      <c r="A120" s="25" t="s">
        <v>127</v>
      </c>
      <c r="B120" s="27">
        <v>185</v>
      </c>
      <c r="C120" s="42">
        <v>0</v>
      </c>
      <c r="D120" s="163">
        <v>2.6469999999999998</v>
      </c>
      <c r="E120" s="165">
        <v>8.5000000000000006E-2</v>
      </c>
      <c r="F120" s="166">
        <v>0.03</v>
      </c>
      <c r="G120" s="38">
        <v>3.45</v>
      </c>
      <c r="H120" s="38">
        <v>0.98</v>
      </c>
      <c r="I120" s="143">
        <v>2.04</v>
      </c>
      <c r="J120" s="36">
        <v>8.5000000000000006E-2</v>
      </c>
      <c r="K120" s="1"/>
    </row>
    <row r="121" spans="1:11" ht="27" customHeight="1" x14ac:dyDescent="0.2">
      <c r="A121" s="25" t="s">
        <v>128</v>
      </c>
      <c r="B121" s="27">
        <v>175</v>
      </c>
      <c r="C121" s="42">
        <v>0</v>
      </c>
      <c r="D121" s="163">
        <v>2.806</v>
      </c>
      <c r="E121" s="165">
        <v>8.5000000000000006E-2</v>
      </c>
      <c r="F121" s="166">
        <v>3.7999999999999999E-2</v>
      </c>
      <c r="G121" s="38">
        <v>2.95</v>
      </c>
      <c r="H121" s="38">
        <v>2.0499999999999998</v>
      </c>
      <c r="I121" s="143">
        <v>2.69</v>
      </c>
      <c r="J121" s="36">
        <v>8.2000000000000003E-2</v>
      </c>
      <c r="K121" s="1"/>
    </row>
    <row r="122" spans="1:11" ht="27" customHeight="1" x14ac:dyDescent="0.2">
      <c r="A122" s="25" t="s">
        <v>129</v>
      </c>
      <c r="B122" s="27">
        <v>195</v>
      </c>
      <c r="C122" s="42">
        <v>0</v>
      </c>
      <c r="D122" s="163">
        <v>2.5150000000000001</v>
      </c>
      <c r="E122" s="165">
        <v>7.5999999999999998E-2</v>
      </c>
      <c r="F122" s="166">
        <v>3.9E-2</v>
      </c>
      <c r="G122" s="38">
        <v>44.89</v>
      </c>
      <c r="H122" s="38">
        <v>1.87</v>
      </c>
      <c r="I122" s="143">
        <v>2.63</v>
      </c>
      <c r="J122" s="36">
        <v>7.2999999999999995E-2</v>
      </c>
      <c r="K122" s="1"/>
    </row>
    <row r="123" spans="1:11" ht="27" customHeight="1" x14ac:dyDescent="0.2">
      <c r="A123" s="25" t="s">
        <v>202</v>
      </c>
      <c r="B123" s="27"/>
      <c r="C123" s="42">
        <v>8</v>
      </c>
      <c r="D123" s="36">
        <v>0.57199999999999995</v>
      </c>
      <c r="E123" s="37"/>
      <c r="F123" s="37"/>
      <c r="G123" s="141"/>
      <c r="H123" s="141"/>
      <c r="I123" s="144"/>
      <c r="J123" s="37"/>
      <c r="K123" s="1"/>
    </row>
    <row r="124" spans="1:11" ht="27" customHeight="1" x14ac:dyDescent="0.2">
      <c r="A124" s="25" t="s">
        <v>203</v>
      </c>
      <c r="B124" s="27"/>
      <c r="C124" s="42">
        <v>1</v>
      </c>
      <c r="D124" s="36">
        <v>0.79500000000000004</v>
      </c>
      <c r="E124" s="37"/>
      <c r="F124" s="37"/>
      <c r="G124" s="141"/>
      <c r="H124" s="141"/>
      <c r="I124" s="144"/>
      <c r="J124" s="37"/>
      <c r="K124" s="1"/>
    </row>
    <row r="125" spans="1:11" ht="27" customHeight="1" x14ac:dyDescent="0.2">
      <c r="A125" s="25" t="s">
        <v>204</v>
      </c>
      <c r="B125" s="27"/>
      <c r="C125" s="42">
        <v>1</v>
      </c>
      <c r="D125" s="36">
        <v>1.3149999999999999</v>
      </c>
      <c r="E125" s="37"/>
      <c r="F125" s="37"/>
      <c r="G125" s="141"/>
      <c r="H125" s="141"/>
      <c r="I125" s="144"/>
      <c r="J125" s="37"/>
      <c r="K125" s="1"/>
    </row>
    <row r="126" spans="1:11" ht="27" customHeight="1" x14ac:dyDescent="0.2">
      <c r="A126" s="25" t="s">
        <v>205</v>
      </c>
      <c r="B126" s="27"/>
      <c r="C126" s="42">
        <v>1</v>
      </c>
      <c r="D126" s="36">
        <v>0.42699999999999999</v>
      </c>
      <c r="E126" s="37"/>
      <c r="F126" s="37"/>
      <c r="G126" s="141"/>
      <c r="H126" s="141"/>
      <c r="I126" s="144"/>
      <c r="J126" s="37"/>
      <c r="K126" s="1"/>
    </row>
    <row r="127" spans="1:11" ht="27" customHeight="1" x14ac:dyDescent="0.2">
      <c r="A127" s="25" t="s">
        <v>130</v>
      </c>
      <c r="B127" s="27">
        <v>215</v>
      </c>
      <c r="C127" s="42">
        <v>0</v>
      </c>
      <c r="D127" s="164">
        <v>11.07</v>
      </c>
      <c r="E127" s="167">
        <v>0.30399999999999999</v>
      </c>
      <c r="F127" s="166">
        <v>0.21099999999999999</v>
      </c>
      <c r="G127" s="141"/>
      <c r="H127" s="141"/>
      <c r="I127" s="142"/>
      <c r="J127" s="37"/>
      <c r="K127" s="1"/>
    </row>
    <row r="128" spans="1:11" ht="27" customHeight="1" x14ac:dyDescent="0.2">
      <c r="A128" s="25" t="s">
        <v>575</v>
      </c>
      <c r="B128" s="27">
        <v>225</v>
      </c>
      <c r="C128" s="42">
        <v>8</v>
      </c>
      <c r="D128" s="36">
        <v>-0.38800000000000001</v>
      </c>
      <c r="E128" s="37"/>
      <c r="F128" s="37"/>
      <c r="G128" s="38">
        <v>0</v>
      </c>
      <c r="H128" s="141"/>
      <c r="I128" s="142"/>
      <c r="J128" s="37"/>
      <c r="K128" s="1"/>
    </row>
    <row r="129" spans="1:11" ht="27" customHeight="1" x14ac:dyDescent="0.2">
      <c r="A129" s="25" t="s">
        <v>131</v>
      </c>
      <c r="B129" s="27"/>
      <c r="C129" s="42">
        <v>8</v>
      </c>
      <c r="D129" s="36">
        <v>-0.379</v>
      </c>
      <c r="E129" s="37"/>
      <c r="F129" s="37"/>
      <c r="G129" s="38">
        <v>0</v>
      </c>
      <c r="H129" s="141"/>
      <c r="I129" s="142"/>
      <c r="J129" s="37"/>
      <c r="K129" s="1"/>
    </row>
    <row r="130" spans="1:11" ht="27" customHeight="1" x14ac:dyDescent="0.2">
      <c r="A130" s="25" t="s">
        <v>132</v>
      </c>
      <c r="B130" s="27">
        <v>235</v>
      </c>
      <c r="C130" s="42">
        <v>0</v>
      </c>
      <c r="D130" s="36">
        <v>-0.38800000000000001</v>
      </c>
      <c r="E130" s="37"/>
      <c r="F130" s="37"/>
      <c r="G130" s="38">
        <v>0</v>
      </c>
      <c r="H130" s="141"/>
      <c r="I130" s="142"/>
      <c r="J130" s="36">
        <v>0.114</v>
      </c>
      <c r="K130" s="1"/>
    </row>
    <row r="131" spans="1:11" ht="27" customHeight="1" x14ac:dyDescent="0.2">
      <c r="A131" s="25" t="s">
        <v>133</v>
      </c>
      <c r="B131" s="27">
        <v>245</v>
      </c>
      <c r="C131" s="42">
        <v>0</v>
      </c>
      <c r="D131" s="181">
        <v>-3.8180000000000001</v>
      </c>
      <c r="E131" s="168">
        <v>-0.10199999999999999</v>
      </c>
      <c r="F131" s="182">
        <v>-1.4E-2</v>
      </c>
      <c r="G131" s="38">
        <v>0</v>
      </c>
      <c r="H131" s="141"/>
      <c r="I131" s="142"/>
      <c r="J131" s="36">
        <v>0.114</v>
      </c>
      <c r="K131" s="1"/>
    </row>
    <row r="132" spans="1:11" ht="27" customHeight="1" x14ac:dyDescent="0.2">
      <c r="A132" s="25" t="s">
        <v>134</v>
      </c>
      <c r="B132" s="27">
        <v>255</v>
      </c>
      <c r="C132" s="42">
        <v>0</v>
      </c>
      <c r="D132" s="36">
        <v>-0.379</v>
      </c>
      <c r="E132" s="37"/>
      <c r="F132" s="37"/>
      <c r="G132" s="38">
        <v>0</v>
      </c>
      <c r="H132" s="141"/>
      <c r="I132" s="142"/>
      <c r="J132" s="36">
        <v>0.111</v>
      </c>
      <c r="K132" s="1"/>
    </row>
    <row r="133" spans="1:11" ht="27" customHeight="1" x14ac:dyDescent="0.2">
      <c r="A133" s="25" t="s">
        <v>135</v>
      </c>
      <c r="B133" s="27">
        <v>265</v>
      </c>
      <c r="C133" s="42">
        <v>0</v>
      </c>
      <c r="D133" s="181">
        <v>-3.76</v>
      </c>
      <c r="E133" s="168">
        <v>-9.5000000000000001E-2</v>
      </c>
      <c r="F133" s="182">
        <v>-1.2999999999999999E-2</v>
      </c>
      <c r="G133" s="38">
        <v>0</v>
      </c>
      <c r="H133" s="141"/>
      <c r="I133" s="142"/>
      <c r="J133" s="36">
        <v>0.111</v>
      </c>
      <c r="K133" s="1"/>
    </row>
    <row r="134" spans="1:11" ht="27" customHeight="1" x14ac:dyDescent="0.2">
      <c r="A134" s="25" t="s">
        <v>136</v>
      </c>
      <c r="B134" s="27">
        <v>275</v>
      </c>
      <c r="C134" s="42">
        <v>0</v>
      </c>
      <c r="D134" s="36">
        <v>-0.37</v>
      </c>
      <c r="E134" s="37"/>
      <c r="F134" s="37"/>
      <c r="G134" s="38">
        <v>5.37</v>
      </c>
      <c r="H134" s="141"/>
      <c r="I134" s="142"/>
      <c r="J134" s="36">
        <v>0.123</v>
      </c>
      <c r="K134" s="1"/>
    </row>
    <row r="135" spans="1:11" ht="27" customHeight="1" x14ac:dyDescent="0.2">
      <c r="A135" s="25" t="s">
        <v>137</v>
      </c>
      <c r="B135" s="27">
        <v>285</v>
      </c>
      <c r="C135" s="42">
        <v>0</v>
      </c>
      <c r="D135" s="181">
        <v>-3.7749999999999999</v>
      </c>
      <c r="E135" s="168">
        <v>-7.0999999999999994E-2</v>
      </c>
      <c r="F135" s="182">
        <v>-8.0000000000000002E-3</v>
      </c>
      <c r="G135" s="38">
        <v>5.37</v>
      </c>
      <c r="H135" s="141"/>
      <c r="I135" s="142"/>
      <c r="J135" s="36">
        <v>0.123</v>
      </c>
      <c r="K135" s="1"/>
    </row>
    <row r="136" spans="1:11" ht="27" customHeight="1" x14ac:dyDescent="0.2">
      <c r="A136" s="25" t="s">
        <v>138</v>
      </c>
      <c r="B136" s="27">
        <v>106</v>
      </c>
      <c r="C136" s="42">
        <v>1</v>
      </c>
      <c r="D136" s="36">
        <v>0.41599999999999998</v>
      </c>
      <c r="E136" s="37"/>
      <c r="F136" s="37"/>
      <c r="G136" s="38">
        <v>0.92</v>
      </c>
      <c r="H136" s="141"/>
      <c r="I136" s="142"/>
      <c r="J136" s="37"/>
      <c r="K136" s="1"/>
    </row>
    <row r="137" spans="1:11" ht="27" customHeight="1" x14ac:dyDescent="0.2">
      <c r="A137" s="25" t="s">
        <v>139</v>
      </c>
      <c r="B137" s="27">
        <v>116</v>
      </c>
      <c r="C137" s="42">
        <v>2</v>
      </c>
      <c r="D137" s="36">
        <v>0.53700000000000003</v>
      </c>
      <c r="E137" s="36">
        <v>3.4000000000000002E-2</v>
      </c>
      <c r="F137" s="37"/>
      <c r="G137" s="38">
        <v>0.92</v>
      </c>
      <c r="H137" s="141"/>
      <c r="I137" s="142"/>
      <c r="J137" s="37"/>
      <c r="K137" s="1"/>
    </row>
    <row r="138" spans="1:11" ht="27" customHeight="1" x14ac:dyDescent="0.2">
      <c r="A138" s="25" t="s">
        <v>140</v>
      </c>
      <c r="B138" s="27">
        <v>126</v>
      </c>
      <c r="C138" s="42">
        <v>2</v>
      </c>
      <c r="D138" s="36">
        <v>4.5999999999999999E-2</v>
      </c>
      <c r="E138" s="37"/>
      <c r="F138" s="37"/>
      <c r="G138" s="141"/>
      <c r="H138" s="141"/>
      <c r="I138" s="142"/>
      <c r="J138" s="37"/>
      <c r="K138" s="1"/>
    </row>
    <row r="139" spans="1:11" ht="27" customHeight="1" x14ac:dyDescent="0.2">
      <c r="A139" s="25" t="s">
        <v>141</v>
      </c>
      <c r="B139" s="27">
        <v>136</v>
      </c>
      <c r="C139" s="42">
        <v>3</v>
      </c>
      <c r="D139" s="36">
        <v>0.32100000000000001</v>
      </c>
      <c r="E139" s="37"/>
      <c r="F139" s="37"/>
      <c r="G139" s="38">
        <v>0.92</v>
      </c>
      <c r="H139" s="141"/>
      <c r="I139" s="142"/>
      <c r="J139" s="37"/>
      <c r="K139" s="1"/>
    </row>
    <row r="140" spans="1:11" ht="27" customHeight="1" x14ac:dyDescent="0.2">
      <c r="A140" s="25" t="s">
        <v>142</v>
      </c>
      <c r="B140" s="27">
        <v>146</v>
      </c>
      <c r="C140" s="42">
        <v>4</v>
      </c>
      <c r="D140" s="36">
        <v>0.38900000000000001</v>
      </c>
      <c r="E140" s="36">
        <v>0.03</v>
      </c>
      <c r="F140" s="37"/>
      <c r="G140" s="38">
        <v>0.92</v>
      </c>
      <c r="H140" s="141"/>
      <c r="I140" s="142"/>
      <c r="J140" s="37"/>
      <c r="K140" s="1"/>
    </row>
    <row r="141" spans="1:11" ht="27" customHeight="1" x14ac:dyDescent="0.2">
      <c r="A141" s="25" t="s">
        <v>143</v>
      </c>
      <c r="B141" s="27">
        <v>156</v>
      </c>
      <c r="C141" s="42">
        <v>4</v>
      </c>
      <c r="D141" s="36">
        <v>5.8999999999999997E-2</v>
      </c>
      <c r="E141" s="37"/>
      <c r="F141" s="37"/>
      <c r="G141" s="141"/>
      <c r="H141" s="141"/>
      <c r="I141" s="142"/>
      <c r="J141" s="37"/>
      <c r="K141" s="1"/>
    </row>
    <row r="142" spans="1:11" ht="27" customHeight="1" x14ac:dyDescent="0.2">
      <c r="A142" s="25" t="s">
        <v>144</v>
      </c>
      <c r="B142" s="27">
        <v>166</v>
      </c>
      <c r="C142" s="42" t="s">
        <v>20</v>
      </c>
      <c r="D142" s="36">
        <v>0.42199999999999999</v>
      </c>
      <c r="E142" s="36">
        <v>2.7E-2</v>
      </c>
      <c r="F142" s="37"/>
      <c r="G142" s="38">
        <v>9.7799999999999994</v>
      </c>
      <c r="H142" s="141"/>
      <c r="I142" s="142"/>
      <c r="J142" s="37"/>
      <c r="K142" s="1"/>
    </row>
    <row r="143" spans="1:11" ht="27" customHeight="1" x14ac:dyDescent="0.2">
      <c r="A143" s="25" t="s">
        <v>145</v>
      </c>
      <c r="B143" s="27"/>
      <c r="C143" s="42" t="s">
        <v>20</v>
      </c>
      <c r="D143" s="36">
        <v>0.318</v>
      </c>
      <c r="E143" s="36">
        <v>0.03</v>
      </c>
      <c r="F143" s="37"/>
      <c r="G143" s="38">
        <v>2.08</v>
      </c>
      <c r="H143" s="141"/>
      <c r="I143" s="142"/>
      <c r="J143" s="37"/>
      <c r="K143" s="1"/>
    </row>
    <row r="144" spans="1:11" ht="27" customHeight="1" x14ac:dyDescent="0.2">
      <c r="A144" s="25" t="s">
        <v>146</v>
      </c>
      <c r="B144" s="27"/>
      <c r="C144" s="42" t="s">
        <v>20</v>
      </c>
      <c r="D144" s="36">
        <v>0.22900000000000001</v>
      </c>
      <c r="E144" s="36">
        <v>2.8000000000000001E-2</v>
      </c>
      <c r="F144" s="37"/>
      <c r="G144" s="38">
        <v>31.53</v>
      </c>
      <c r="H144" s="141"/>
      <c r="I144" s="142"/>
      <c r="J144" s="37"/>
      <c r="K144" s="1"/>
    </row>
    <row r="145" spans="1:11" ht="27" customHeight="1" x14ac:dyDescent="0.2">
      <c r="A145" s="25" t="s">
        <v>576</v>
      </c>
      <c r="B145" s="27">
        <v>323</v>
      </c>
      <c r="C145" s="42">
        <v>0</v>
      </c>
      <c r="D145" s="163">
        <v>2.9</v>
      </c>
      <c r="E145" s="165">
        <v>9.1999999999999998E-2</v>
      </c>
      <c r="F145" s="166">
        <v>2.5999999999999999E-2</v>
      </c>
      <c r="G145" s="38">
        <v>0.92</v>
      </c>
      <c r="H145" s="141"/>
      <c r="I145" s="142"/>
      <c r="J145" s="37"/>
      <c r="K145" s="1"/>
    </row>
    <row r="146" spans="1:11" ht="27" customHeight="1" x14ac:dyDescent="0.2">
      <c r="A146" s="25" t="s">
        <v>577</v>
      </c>
      <c r="B146" s="27">
        <v>330</v>
      </c>
      <c r="C146" s="42">
        <v>0</v>
      </c>
      <c r="D146" s="163">
        <v>2.4910000000000001</v>
      </c>
      <c r="E146" s="165">
        <v>8.1000000000000003E-2</v>
      </c>
      <c r="F146" s="166">
        <v>2.4E-2</v>
      </c>
      <c r="G146" s="38">
        <v>1.03</v>
      </c>
      <c r="H146" s="141"/>
      <c r="I146" s="142"/>
      <c r="J146" s="37"/>
      <c r="K146" s="1"/>
    </row>
    <row r="147" spans="1:11" ht="27" customHeight="1" x14ac:dyDescent="0.2">
      <c r="A147" s="25" t="s">
        <v>147</v>
      </c>
      <c r="B147" s="27">
        <v>186</v>
      </c>
      <c r="C147" s="42">
        <v>0</v>
      </c>
      <c r="D147" s="163">
        <v>1.859</v>
      </c>
      <c r="E147" s="165">
        <v>0.06</v>
      </c>
      <c r="F147" s="166">
        <v>2.1000000000000001E-2</v>
      </c>
      <c r="G147" s="38">
        <v>2.42</v>
      </c>
      <c r="H147" s="38">
        <v>0.69</v>
      </c>
      <c r="I147" s="143">
        <v>1.43</v>
      </c>
      <c r="J147" s="36">
        <v>0.06</v>
      </c>
      <c r="K147" s="1"/>
    </row>
    <row r="148" spans="1:11" ht="27" customHeight="1" x14ac:dyDescent="0.2">
      <c r="A148" s="25" t="s">
        <v>148</v>
      </c>
      <c r="B148" s="27">
        <v>176</v>
      </c>
      <c r="C148" s="42">
        <v>0</v>
      </c>
      <c r="D148" s="163">
        <v>1.9710000000000001</v>
      </c>
      <c r="E148" s="165">
        <v>0.06</v>
      </c>
      <c r="F148" s="166">
        <v>2.7E-2</v>
      </c>
      <c r="G148" s="38">
        <v>2.08</v>
      </c>
      <c r="H148" s="38">
        <v>1.44</v>
      </c>
      <c r="I148" s="143">
        <v>1.89</v>
      </c>
      <c r="J148" s="36">
        <v>5.8000000000000003E-2</v>
      </c>
      <c r="K148" s="1"/>
    </row>
    <row r="149" spans="1:11" ht="27" customHeight="1" x14ac:dyDescent="0.2">
      <c r="A149" s="25" t="s">
        <v>149</v>
      </c>
      <c r="B149" s="27">
        <v>196</v>
      </c>
      <c r="C149" s="42">
        <v>0</v>
      </c>
      <c r="D149" s="163">
        <v>1.7669999999999999</v>
      </c>
      <c r="E149" s="165">
        <v>5.2999999999999999E-2</v>
      </c>
      <c r="F149" s="166">
        <v>2.8000000000000001E-2</v>
      </c>
      <c r="G149" s="38">
        <v>31.53</v>
      </c>
      <c r="H149" s="38">
        <v>1.31</v>
      </c>
      <c r="I149" s="143">
        <v>1.84</v>
      </c>
      <c r="J149" s="36">
        <v>5.0999999999999997E-2</v>
      </c>
      <c r="K149" s="1"/>
    </row>
    <row r="150" spans="1:11" ht="27" customHeight="1" x14ac:dyDescent="0.2">
      <c r="A150" s="25" t="s">
        <v>206</v>
      </c>
      <c r="B150" s="27"/>
      <c r="C150" s="42">
        <v>8</v>
      </c>
      <c r="D150" s="36">
        <v>0.40200000000000002</v>
      </c>
      <c r="E150" s="37"/>
      <c r="F150" s="37"/>
      <c r="G150" s="141"/>
      <c r="H150" s="141"/>
      <c r="I150" s="144"/>
      <c r="J150" s="37"/>
      <c r="K150" s="1"/>
    </row>
    <row r="151" spans="1:11" ht="27" customHeight="1" x14ac:dyDescent="0.2">
      <c r="A151" s="25" t="s">
        <v>207</v>
      </c>
      <c r="B151" s="27"/>
      <c r="C151" s="42">
        <v>1</v>
      </c>
      <c r="D151" s="36">
        <v>0.55800000000000005</v>
      </c>
      <c r="E151" s="37"/>
      <c r="F151" s="37"/>
      <c r="G151" s="141"/>
      <c r="H151" s="141"/>
      <c r="I151" s="144"/>
      <c r="J151" s="37"/>
      <c r="K151" s="1"/>
    </row>
    <row r="152" spans="1:11" ht="27" customHeight="1" x14ac:dyDescent="0.2">
      <c r="A152" s="25" t="s">
        <v>208</v>
      </c>
      <c r="B152" s="27"/>
      <c r="C152" s="42">
        <v>1</v>
      </c>
      <c r="D152" s="36">
        <v>0.92400000000000004</v>
      </c>
      <c r="E152" s="37"/>
      <c r="F152" s="37"/>
      <c r="G152" s="141"/>
      <c r="H152" s="141"/>
      <c r="I152" s="142"/>
      <c r="J152" s="37"/>
      <c r="K152" s="1"/>
    </row>
    <row r="153" spans="1:11" ht="27" customHeight="1" x14ac:dyDescent="0.2">
      <c r="A153" s="25" t="s">
        <v>209</v>
      </c>
      <c r="B153" s="27"/>
      <c r="C153" s="42">
        <v>1</v>
      </c>
      <c r="D153" s="36">
        <v>0.3</v>
      </c>
      <c r="E153" s="37"/>
      <c r="F153" s="37"/>
      <c r="G153" s="141"/>
      <c r="H153" s="141"/>
      <c r="I153" s="142"/>
      <c r="J153" s="37"/>
      <c r="K153" s="1"/>
    </row>
    <row r="154" spans="1:11" ht="27" customHeight="1" x14ac:dyDescent="0.2">
      <c r="A154" s="25" t="s">
        <v>150</v>
      </c>
      <c r="B154" s="27">
        <v>216</v>
      </c>
      <c r="C154" s="42">
        <v>0</v>
      </c>
      <c r="D154" s="164">
        <v>7.7759999999999998</v>
      </c>
      <c r="E154" s="167">
        <v>0.21299999999999999</v>
      </c>
      <c r="F154" s="166">
        <v>0.14799999999999999</v>
      </c>
      <c r="G154" s="141"/>
      <c r="H154" s="141"/>
      <c r="I154" s="142"/>
      <c r="J154" s="37"/>
      <c r="K154" s="1"/>
    </row>
    <row r="155" spans="1:11" ht="27" customHeight="1" x14ac:dyDescent="0.2">
      <c r="A155" s="25" t="s">
        <v>578</v>
      </c>
      <c r="B155" s="27">
        <v>226</v>
      </c>
      <c r="C155" s="42">
        <v>8</v>
      </c>
      <c r="D155" s="36">
        <v>-0.27300000000000002</v>
      </c>
      <c r="E155" s="37"/>
      <c r="F155" s="37"/>
      <c r="G155" s="38">
        <v>0</v>
      </c>
      <c r="H155" s="141"/>
      <c r="I155" s="142"/>
      <c r="J155" s="37"/>
      <c r="K155" s="1"/>
    </row>
    <row r="156" spans="1:11" ht="27" customHeight="1" x14ac:dyDescent="0.2">
      <c r="A156" s="25" t="s">
        <v>151</v>
      </c>
      <c r="B156" s="27"/>
      <c r="C156" s="42">
        <v>8</v>
      </c>
      <c r="D156" s="36">
        <v>-0.26600000000000001</v>
      </c>
      <c r="E156" s="37"/>
      <c r="F156" s="37"/>
      <c r="G156" s="38">
        <v>0</v>
      </c>
      <c r="H156" s="141"/>
      <c r="I156" s="142"/>
      <c r="J156" s="37"/>
      <c r="K156" s="1"/>
    </row>
    <row r="157" spans="1:11" ht="27" customHeight="1" x14ac:dyDescent="0.2">
      <c r="A157" s="25" t="s">
        <v>152</v>
      </c>
      <c r="B157" s="27">
        <v>236</v>
      </c>
      <c r="C157" s="42">
        <v>0</v>
      </c>
      <c r="D157" s="36">
        <v>-0.27300000000000002</v>
      </c>
      <c r="E157" s="37"/>
      <c r="F157" s="37"/>
      <c r="G157" s="38">
        <v>0</v>
      </c>
      <c r="H157" s="141"/>
      <c r="I157" s="142"/>
      <c r="J157" s="36">
        <v>0.08</v>
      </c>
      <c r="K157" s="1"/>
    </row>
    <row r="158" spans="1:11" ht="27" customHeight="1" x14ac:dyDescent="0.2">
      <c r="A158" s="25" t="s">
        <v>153</v>
      </c>
      <c r="B158" s="27">
        <v>246</v>
      </c>
      <c r="C158" s="42">
        <v>0</v>
      </c>
      <c r="D158" s="181">
        <v>-2.6819999999999999</v>
      </c>
      <c r="E158" s="168">
        <v>-7.1999999999999995E-2</v>
      </c>
      <c r="F158" s="182">
        <v>-0.01</v>
      </c>
      <c r="G158" s="38">
        <v>0</v>
      </c>
      <c r="H158" s="141"/>
      <c r="I158" s="142"/>
      <c r="J158" s="36">
        <v>0.08</v>
      </c>
      <c r="K158" s="1"/>
    </row>
    <row r="159" spans="1:11" ht="27" customHeight="1" x14ac:dyDescent="0.2">
      <c r="A159" s="25" t="s">
        <v>154</v>
      </c>
      <c r="B159" s="27">
        <v>256</v>
      </c>
      <c r="C159" s="42">
        <v>0</v>
      </c>
      <c r="D159" s="36">
        <v>-0.26600000000000001</v>
      </c>
      <c r="E159" s="37"/>
      <c r="F159" s="37"/>
      <c r="G159" s="38">
        <v>0</v>
      </c>
      <c r="H159" s="141"/>
      <c r="I159" s="142"/>
      <c r="J159" s="36">
        <v>7.8E-2</v>
      </c>
      <c r="K159" s="1"/>
    </row>
    <row r="160" spans="1:11" ht="27" customHeight="1" x14ac:dyDescent="0.2">
      <c r="A160" s="25" t="s">
        <v>155</v>
      </c>
      <c r="B160" s="27">
        <v>266</v>
      </c>
      <c r="C160" s="42">
        <v>0</v>
      </c>
      <c r="D160" s="181">
        <v>-2.641</v>
      </c>
      <c r="E160" s="168">
        <v>-6.7000000000000004E-2</v>
      </c>
      <c r="F160" s="182">
        <v>-8.9999999999999993E-3</v>
      </c>
      <c r="G160" s="38">
        <v>0</v>
      </c>
      <c r="H160" s="141"/>
      <c r="I160" s="142"/>
      <c r="J160" s="36">
        <v>7.8E-2</v>
      </c>
      <c r="K160" s="1"/>
    </row>
    <row r="161" spans="1:11" ht="27" customHeight="1" x14ac:dyDescent="0.2">
      <c r="A161" s="25" t="s">
        <v>156</v>
      </c>
      <c r="B161" s="27">
        <v>276</v>
      </c>
      <c r="C161" s="42">
        <v>0</v>
      </c>
      <c r="D161" s="36">
        <v>-0.26</v>
      </c>
      <c r="E161" s="37"/>
      <c r="F161" s="37"/>
      <c r="G161" s="38">
        <v>3.77</v>
      </c>
      <c r="H161" s="141"/>
      <c r="I161" s="142"/>
      <c r="J161" s="36">
        <v>8.6999999999999994E-2</v>
      </c>
      <c r="K161" s="1"/>
    </row>
    <row r="162" spans="1:11" ht="27" customHeight="1" x14ac:dyDescent="0.2">
      <c r="A162" s="25" t="s">
        <v>157</v>
      </c>
      <c r="B162" s="27">
        <v>286</v>
      </c>
      <c r="C162" s="42">
        <v>0</v>
      </c>
      <c r="D162" s="181">
        <v>-2.6509999999999998</v>
      </c>
      <c r="E162" s="168">
        <v>-0.05</v>
      </c>
      <c r="F162" s="182">
        <v>-6.0000000000000001E-3</v>
      </c>
      <c r="G162" s="38">
        <v>3.77</v>
      </c>
      <c r="H162" s="141"/>
      <c r="I162" s="142"/>
      <c r="J162" s="36">
        <v>8.6999999999999994E-2</v>
      </c>
      <c r="K162" s="1"/>
    </row>
    <row r="163" spans="1:11" ht="27" customHeight="1" x14ac:dyDescent="0.2">
      <c r="A163" s="25" t="s">
        <v>158</v>
      </c>
      <c r="B163" s="27">
        <v>107</v>
      </c>
      <c r="C163" s="42">
        <v>1</v>
      </c>
      <c r="D163" s="36">
        <v>0.13500000000000001</v>
      </c>
      <c r="E163" s="37"/>
      <c r="F163" s="37"/>
      <c r="G163" s="38">
        <v>0.3</v>
      </c>
      <c r="H163" s="141"/>
      <c r="I163" s="142"/>
      <c r="J163" s="37"/>
      <c r="K163" s="1"/>
    </row>
    <row r="164" spans="1:11" ht="27" customHeight="1" x14ac:dyDescent="0.2">
      <c r="A164" s="25" t="s">
        <v>159</v>
      </c>
      <c r="B164" s="27">
        <v>117</v>
      </c>
      <c r="C164" s="42">
        <v>2</v>
      </c>
      <c r="D164" s="36">
        <v>0.17399999999999999</v>
      </c>
      <c r="E164" s="36">
        <v>1.0999999999999999E-2</v>
      </c>
      <c r="F164" s="37"/>
      <c r="G164" s="38">
        <v>0.3</v>
      </c>
      <c r="H164" s="141"/>
      <c r="I164" s="142"/>
      <c r="J164" s="37"/>
      <c r="K164" s="1"/>
    </row>
    <row r="165" spans="1:11" ht="27" customHeight="1" x14ac:dyDescent="0.2">
      <c r="A165" s="25" t="s">
        <v>160</v>
      </c>
      <c r="B165" s="27">
        <v>127</v>
      </c>
      <c r="C165" s="42">
        <v>2</v>
      </c>
      <c r="D165" s="36">
        <v>1.4999999999999999E-2</v>
      </c>
      <c r="E165" s="37"/>
      <c r="F165" s="37"/>
      <c r="G165" s="141"/>
      <c r="H165" s="141"/>
      <c r="I165" s="142"/>
      <c r="J165" s="37"/>
      <c r="K165" s="1"/>
    </row>
    <row r="166" spans="1:11" ht="27" customHeight="1" x14ac:dyDescent="0.2">
      <c r="A166" s="25" t="s">
        <v>161</v>
      </c>
      <c r="B166" s="27">
        <v>137</v>
      </c>
      <c r="C166" s="42">
        <v>3</v>
      </c>
      <c r="D166" s="36">
        <v>0.104</v>
      </c>
      <c r="E166" s="37"/>
      <c r="F166" s="37"/>
      <c r="G166" s="38">
        <v>0.3</v>
      </c>
      <c r="H166" s="141"/>
      <c r="I166" s="142"/>
      <c r="J166" s="37"/>
      <c r="K166" s="1"/>
    </row>
    <row r="167" spans="1:11" ht="27" customHeight="1" x14ac:dyDescent="0.2">
      <c r="A167" s="25" t="s">
        <v>162</v>
      </c>
      <c r="B167" s="27">
        <v>147</v>
      </c>
      <c r="C167" s="42">
        <v>4</v>
      </c>
      <c r="D167" s="36">
        <v>0.126</v>
      </c>
      <c r="E167" s="36">
        <v>0.01</v>
      </c>
      <c r="F167" s="37"/>
      <c r="G167" s="38">
        <v>0.3</v>
      </c>
      <c r="H167" s="141"/>
      <c r="I167" s="142"/>
      <c r="J167" s="37"/>
      <c r="K167" s="1"/>
    </row>
    <row r="168" spans="1:11" ht="27" customHeight="1" x14ac:dyDescent="0.2">
      <c r="A168" s="25" t="s">
        <v>163</v>
      </c>
      <c r="B168" s="27">
        <v>157</v>
      </c>
      <c r="C168" s="42">
        <v>4</v>
      </c>
      <c r="D168" s="36">
        <v>1.9E-2</v>
      </c>
      <c r="E168" s="37"/>
      <c r="F168" s="37"/>
      <c r="G168" s="141"/>
      <c r="H168" s="141"/>
      <c r="I168" s="142"/>
      <c r="J168" s="37"/>
      <c r="K168" s="1"/>
    </row>
    <row r="169" spans="1:11" ht="27" customHeight="1" x14ac:dyDescent="0.2">
      <c r="A169" s="25" t="s">
        <v>164</v>
      </c>
      <c r="B169" s="27">
        <v>167</v>
      </c>
      <c r="C169" s="42" t="s">
        <v>20</v>
      </c>
      <c r="D169" s="36">
        <v>0.13700000000000001</v>
      </c>
      <c r="E169" s="36">
        <v>8.9999999999999993E-3</v>
      </c>
      <c r="F169" s="37"/>
      <c r="G169" s="38">
        <v>3.17</v>
      </c>
      <c r="H169" s="141"/>
      <c r="I169" s="142"/>
      <c r="J169" s="37"/>
      <c r="K169" s="1"/>
    </row>
    <row r="170" spans="1:11" ht="27" customHeight="1" x14ac:dyDescent="0.2">
      <c r="A170" s="25" t="s">
        <v>165</v>
      </c>
      <c r="B170" s="27"/>
      <c r="C170" s="42" t="s">
        <v>20</v>
      </c>
      <c r="D170" s="36">
        <v>0.10299999999999999</v>
      </c>
      <c r="E170" s="36">
        <v>0.01</v>
      </c>
      <c r="F170" s="37"/>
      <c r="G170" s="38">
        <v>0.67</v>
      </c>
      <c r="H170" s="141"/>
      <c r="I170" s="142"/>
      <c r="J170" s="37"/>
      <c r="K170" s="1"/>
    </row>
    <row r="171" spans="1:11" ht="27" customHeight="1" x14ac:dyDescent="0.2">
      <c r="A171" s="25" t="s">
        <v>166</v>
      </c>
      <c r="B171" s="27"/>
      <c r="C171" s="42" t="s">
        <v>20</v>
      </c>
      <c r="D171" s="36">
        <v>7.3999999999999996E-2</v>
      </c>
      <c r="E171" s="36">
        <v>8.9999999999999993E-3</v>
      </c>
      <c r="F171" s="37"/>
      <c r="G171" s="38">
        <v>10.23</v>
      </c>
      <c r="H171" s="141"/>
      <c r="I171" s="142"/>
      <c r="J171" s="37"/>
      <c r="K171" s="1"/>
    </row>
    <row r="172" spans="1:11" ht="27" customHeight="1" x14ac:dyDescent="0.2">
      <c r="A172" s="25" t="s">
        <v>579</v>
      </c>
      <c r="B172" s="27">
        <v>324</v>
      </c>
      <c r="C172" s="42">
        <v>0</v>
      </c>
      <c r="D172" s="163">
        <v>0.94099999999999995</v>
      </c>
      <c r="E172" s="165">
        <v>0.03</v>
      </c>
      <c r="F172" s="166">
        <v>8.0000000000000002E-3</v>
      </c>
      <c r="G172" s="38">
        <v>0.3</v>
      </c>
      <c r="H172" s="141"/>
      <c r="I172" s="142"/>
      <c r="J172" s="37"/>
      <c r="K172" s="1"/>
    </row>
    <row r="173" spans="1:11" ht="27" customHeight="1" x14ac:dyDescent="0.2">
      <c r="A173" s="25" t="s">
        <v>580</v>
      </c>
      <c r="B173" s="27">
        <v>331</v>
      </c>
      <c r="C173" s="42">
        <v>0</v>
      </c>
      <c r="D173" s="163">
        <v>0.80800000000000005</v>
      </c>
      <c r="E173" s="165">
        <v>2.5999999999999999E-2</v>
      </c>
      <c r="F173" s="166">
        <v>8.0000000000000002E-3</v>
      </c>
      <c r="G173" s="38">
        <v>0.33</v>
      </c>
      <c r="H173" s="141"/>
      <c r="I173" s="142"/>
      <c r="J173" s="37"/>
      <c r="K173" s="1"/>
    </row>
    <row r="174" spans="1:11" ht="27" customHeight="1" x14ac:dyDescent="0.2">
      <c r="A174" s="25" t="s">
        <v>167</v>
      </c>
      <c r="B174" s="27">
        <v>187</v>
      </c>
      <c r="C174" s="42">
        <v>0</v>
      </c>
      <c r="D174" s="163">
        <v>0.60299999999999998</v>
      </c>
      <c r="E174" s="165">
        <v>1.9E-2</v>
      </c>
      <c r="F174" s="166">
        <v>7.0000000000000001E-3</v>
      </c>
      <c r="G174" s="38">
        <v>0.79</v>
      </c>
      <c r="H174" s="38">
        <v>0.22</v>
      </c>
      <c r="I174" s="143">
        <v>0.47</v>
      </c>
      <c r="J174" s="36">
        <v>1.9E-2</v>
      </c>
      <c r="K174" s="1"/>
    </row>
    <row r="175" spans="1:11" ht="27" customHeight="1" x14ac:dyDescent="0.2">
      <c r="A175" s="25" t="s">
        <v>168</v>
      </c>
      <c r="B175" s="27">
        <v>177</v>
      </c>
      <c r="C175" s="42">
        <v>0</v>
      </c>
      <c r="D175" s="163">
        <v>0.64</v>
      </c>
      <c r="E175" s="165">
        <v>1.9E-2</v>
      </c>
      <c r="F175" s="166">
        <v>8.9999999999999993E-3</v>
      </c>
      <c r="G175" s="38">
        <v>0.67</v>
      </c>
      <c r="H175" s="38">
        <v>0.47</v>
      </c>
      <c r="I175" s="143">
        <v>0.61</v>
      </c>
      <c r="J175" s="36">
        <v>1.9E-2</v>
      </c>
      <c r="K175" s="1"/>
    </row>
    <row r="176" spans="1:11" ht="27" customHeight="1" x14ac:dyDescent="0.2">
      <c r="A176" s="25" t="s">
        <v>169</v>
      </c>
      <c r="B176" s="27">
        <v>197</v>
      </c>
      <c r="C176" s="42">
        <v>0</v>
      </c>
      <c r="D176" s="163">
        <v>0.57299999999999995</v>
      </c>
      <c r="E176" s="165">
        <v>1.7000000000000001E-2</v>
      </c>
      <c r="F176" s="166">
        <v>8.9999999999999993E-3</v>
      </c>
      <c r="G176" s="38">
        <v>10.23</v>
      </c>
      <c r="H176" s="38">
        <v>0.43</v>
      </c>
      <c r="I176" s="143">
        <v>0.6</v>
      </c>
      <c r="J176" s="36">
        <v>1.7000000000000001E-2</v>
      </c>
      <c r="K176" s="1"/>
    </row>
    <row r="177" spans="1:11" ht="27" customHeight="1" x14ac:dyDescent="0.2">
      <c r="A177" s="25" t="s">
        <v>210</v>
      </c>
      <c r="B177" s="27"/>
      <c r="C177" s="42">
        <v>8</v>
      </c>
      <c r="D177" s="36">
        <v>0.13</v>
      </c>
      <c r="E177" s="37"/>
      <c r="F177" s="37"/>
      <c r="G177" s="141"/>
      <c r="H177" s="141"/>
      <c r="I177" s="144"/>
      <c r="J177" s="37"/>
      <c r="K177" s="1"/>
    </row>
    <row r="178" spans="1:11" ht="27" customHeight="1" x14ac:dyDescent="0.2">
      <c r="A178" s="25" t="s">
        <v>211</v>
      </c>
      <c r="B178" s="27"/>
      <c r="C178" s="42">
        <v>1</v>
      </c>
      <c r="D178" s="36">
        <v>0.18099999999999999</v>
      </c>
      <c r="E178" s="37"/>
      <c r="F178" s="37"/>
      <c r="G178" s="141"/>
      <c r="H178" s="141"/>
      <c r="I178" s="144"/>
      <c r="J178" s="37"/>
      <c r="K178" s="1"/>
    </row>
    <row r="179" spans="1:11" ht="27" customHeight="1" x14ac:dyDescent="0.2">
      <c r="A179" s="25" t="s">
        <v>212</v>
      </c>
      <c r="B179" s="27"/>
      <c r="C179" s="42">
        <v>1</v>
      </c>
      <c r="D179" s="36">
        <v>0.3</v>
      </c>
      <c r="E179" s="37"/>
      <c r="F179" s="37"/>
      <c r="G179" s="141"/>
      <c r="H179" s="141"/>
      <c r="I179" s="142"/>
      <c r="J179" s="37"/>
      <c r="K179" s="1"/>
    </row>
    <row r="180" spans="1:11" ht="27" customHeight="1" x14ac:dyDescent="0.2">
      <c r="A180" s="25" t="s">
        <v>213</v>
      </c>
      <c r="B180" s="27"/>
      <c r="C180" s="42">
        <v>1</v>
      </c>
      <c r="D180" s="36">
        <v>9.7000000000000003E-2</v>
      </c>
      <c r="E180" s="37"/>
      <c r="F180" s="37"/>
      <c r="G180" s="141"/>
      <c r="H180" s="141"/>
      <c r="I180" s="142"/>
      <c r="J180" s="37"/>
      <c r="K180" s="1"/>
    </row>
    <row r="181" spans="1:11" ht="27" customHeight="1" x14ac:dyDescent="0.2">
      <c r="A181" s="25" t="s">
        <v>170</v>
      </c>
      <c r="B181" s="27">
        <v>217</v>
      </c>
      <c r="C181" s="42">
        <v>0</v>
      </c>
      <c r="D181" s="164">
        <v>2.5230000000000001</v>
      </c>
      <c r="E181" s="167">
        <v>6.9000000000000006E-2</v>
      </c>
      <c r="F181" s="166">
        <v>4.8000000000000001E-2</v>
      </c>
      <c r="G181" s="141"/>
      <c r="H181" s="141"/>
      <c r="I181" s="142"/>
      <c r="J181" s="37"/>
      <c r="K181" s="1"/>
    </row>
    <row r="182" spans="1:11" ht="27" customHeight="1" x14ac:dyDescent="0.2">
      <c r="A182" s="25" t="s">
        <v>581</v>
      </c>
      <c r="B182" s="27">
        <v>227</v>
      </c>
      <c r="C182" s="42">
        <v>8</v>
      </c>
      <c r="D182" s="36">
        <v>-8.7999999999999995E-2</v>
      </c>
      <c r="E182" s="37"/>
      <c r="F182" s="37"/>
      <c r="G182" s="38">
        <v>0</v>
      </c>
      <c r="H182" s="141"/>
      <c r="I182" s="142"/>
      <c r="J182" s="37"/>
      <c r="K182" s="1"/>
    </row>
    <row r="183" spans="1:11" ht="27" customHeight="1" x14ac:dyDescent="0.2">
      <c r="A183" s="25" t="s">
        <v>171</v>
      </c>
      <c r="B183" s="27"/>
      <c r="C183" s="42">
        <v>8</v>
      </c>
      <c r="D183" s="36">
        <v>-8.5999999999999993E-2</v>
      </c>
      <c r="E183" s="37"/>
      <c r="F183" s="37"/>
      <c r="G183" s="38">
        <v>0</v>
      </c>
      <c r="H183" s="141"/>
      <c r="I183" s="142"/>
      <c r="J183" s="37"/>
      <c r="K183" s="1"/>
    </row>
    <row r="184" spans="1:11" ht="27" customHeight="1" x14ac:dyDescent="0.2">
      <c r="A184" s="25" t="s">
        <v>172</v>
      </c>
      <c r="B184" s="27">
        <v>237</v>
      </c>
      <c r="C184" s="42">
        <v>0</v>
      </c>
      <c r="D184" s="36">
        <v>-8.7999999999999995E-2</v>
      </c>
      <c r="E184" s="37"/>
      <c r="F184" s="37"/>
      <c r="G184" s="38">
        <v>0</v>
      </c>
      <c r="H184" s="141"/>
      <c r="I184" s="142"/>
      <c r="J184" s="36">
        <v>2.5999999999999999E-2</v>
      </c>
      <c r="K184" s="1"/>
    </row>
    <row r="185" spans="1:11" ht="27" customHeight="1" x14ac:dyDescent="0.2">
      <c r="A185" s="25" t="s">
        <v>173</v>
      </c>
      <c r="B185" s="27">
        <v>247</v>
      </c>
      <c r="C185" s="42">
        <v>0</v>
      </c>
      <c r="D185" s="181">
        <v>-0.87</v>
      </c>
      <c r="E185" s="168">
        <v>-2.3E-2</v>
      </c>
      <c r="F185" s="182">
        <v>-3.0000000000000001E-3</v>
      </c>
      <c r="G185" s="38">
        <v>0</v>
      </c>
      <c r="H185" s="141"/>
      <c r="I185" s="142"/>
      <c r="J185" s="36">
        <v>2.5999999999999999E-2</v>
      </c>
      <c r="K185" s="1"/>
    </row>
    <row r="186" spans="1:11" ht="27" customHeight="1" x14ac:dyDescent="0.2">
      <c r="A186" s="25" t="s">
        <v>174</v>
      </c>
      <c r="B186" s="27">
        <v>257</v>
      </c>
      <c r="C186" s="42">
        <v>0</v>
      </c>
      <c r="D186" s="36">
        <v>-8.5999999999999993E-2</v>
      </c>
      <c r="E186" s="37"/>
      <c r="F186" s="37"/>
      <c r="G186" s="38">
        <v>0</v>
      </c>
      <c r="H186" s="141"/>
      <c r="I186" s="142"/>
      <c r="J186" s="36">
        <v>2.5000000000000001E-2</v>
      </c>
      <c r="K186" s="1"/>
    </row>
    <row r="187" spans="1:11" ht="27" customHeight="1" x14ac:dyDescent="0.2">
      <c r="A187" s="25" t="s">
        <v>175</v>
      </c>
      <c r="B187" s="27">
        <v>267</v>
      </c>
      <c r="C187" s="42">
        <v>0</v>
      </c>
      <c r="D187" s="181">
        <v>-0.85699999999999998</v>
      </c>
      <c r="E187" s="168">
        <v>-2.1999999999999999E-2</v>
      </c>
      <c r="F187" s="182">
        <v>-3.0000000000000001E-3</v>
      </c>
      <c r="G187" s="38">
        <v>0</v>
      </c>
      <c r="H187" s="141"/>
      <c r="I187" s="142"/>
      <c r="J187" s="36">
        <v>2.5000000000000001E-2</v>
      </c>
      <c r="K187" s="1"/>
    </row>
    <row r="188" spans="1:11" ht="27" customHeight="1" x14ac:dyDescent="0.2">
      <c r="A188" s="25" t="s">
        <v>176</v>
      </c>
      <c r="B188" s="27">
        <v>277</v>
      </c>
      <c r="C188" s="42">
        <v>0</v>
      </c>
      <c r="D188" s="36">
        <v>-8.4000000000000005E-2</v>
      </c>
      <c r="E188" s="37"/>
      <c r="F188" s="37"/>
      <c r="G188" s="38">
        <v>1.22</v>
      </c>
      <c r="H188" s="141"/>
      <c r="I188" s="142"/>
      <c r="J188" s="36">
        <v>2.8000000000000001E-2</v>
      </c>
      <c r="K188" s="1"/>
    </row>
    <row r="189" spans="1:11" ht="27" customHeight="1" x14ac:dyDescent="0.2">
      <c r="A189" s="25" t="s">
        <v>177</v>
      </c>
      <c r="B189" s="27">
        <v>287</v>
      </c>
      <c r="C189" s="42">
        <v>0</v>
      </c>
      <c r="D189" s="181">
        <v>-0.86</v>
      </c>
      <c r="E189" s="168">
        <v>-1.6E-2</v>
      </c>
      <c r="F189" s="182">
        <v>-2E-3</v>
      </c>
      <c r="G189" s="38">
        <v>1.22</v>
      </c>
      <c r="H189" s="141"/>
      <c r="I189" s="142"/>
      <c r="J189" s="36">
        <v>2.8000000000000001E-2</v>
      </c>
      <c r="K189"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F9:G9"/>
    <mergeCell ref="H9:J9"/>
    <mergeCell ref="B8:D8"/>
    <mergeCell ref="A4:D4"/>
    <mergeCell ref="F6:G6"/>
    <mergeCell ref="F7:G7"/>
    <mergeCell ref="F8:G8"/>
    <mergeCell ref="B1:D1"/>
    <mergeCell ref="F1:H1"/>
    <mergeCell ref="A2:J2"/>
    <mergeCell ref="F4:J4"/>
    <mergeCell ref="F5:G5"/>
  </mergeCells>
  <phoneticPr fontId="4"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XFD462"/>
  <sheetViews>
    <sheetView zoomScale="70" zoomScaleNormal="70" zoomScaleSheetLayoutView="80" workbookViewId="0">
      <selection activeCell="L465" sqref="L465"/>
    </sheetView>
  </sheetViews>
  <sheetFormatPr defaultRowHeight="12.75" x14ac:dyDescent="0.2"/>
  <cols>
    <col min="1" max="6" width="24" customWidth="1"/>
    <col min="7" max="7" width="25.85546875" customWidth="1"/>
    <col min="8" max="8" width="32.5703125" customWidth="1"/>
    <col min="9" max="9" width="9.140625" customWidth="1"/>
    <col min="10" max="10" width="9.5703125" bestFit="1" customWidth="1"/>
    <col min="12" max="12" width="11.5703125" bestFit="1" customWidth="1"/>
    <col min="13" max="13" width="21.28515625" customWidth="1"/>
    <col min="15" max="15" width="11.5703125" bestFit="1" customWidth="1"/>
  </cols>
  <sheetData>
    <row r="1" spans="1:16384" s="1" customFormat="1" ht="27.75" customHeight="1" x14ac:dyDescent="0.2">
      <c r="A1" s="207" t="s">
        <v>86</v>
      </c>
      <c r="B1"/>
      <c r="C1" s="136"/>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1" customFormat="1" ht="44.25" customHeight="1" x14ac:dyDescent="0.2">
      <c r="A2" s="289" t="s">
        <v>2542</v>
      </c>
      <c r="B2" s="289"/>
      <c r="C2" s="289"/>
      <c r="D2" s="289"/>
      <c r="E2" s="289"/>
      <c r="F2" s="205"/>
      <c r="G2" s="160"/>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59" t="str">
        <f>Overview!B4&amp; " - Illustrative LLFs for year beginning "&amp;Overview!D4</f>
        <v>Eastern Power Networks - Illustrative LLFs for year beginning 1 April 2020</v>
      </c>
      <c r="B3" s="260"/>
      <c r="C3" s="260"/>
      <c r="D3" s="260"/>
      <c r="E3" s="260"/>
      <c r="F3" s="260"/>
      <c r="G3" s="261"/>
    </row>
    <row r="4" spans="1:16384" ht="21" customHeight="1" x14ac:dyDescent="0.2">
      <c r="A4" s="290" t="s">
        <v>80</v>
      </c>
      <c r="B4" s="290"/>
      <c r="C4" s="206" t="s">
        <v>54</v>
      </c>
      <c r="D4" s="206" t="s">
        <v>55</v>
      </c>
      <c r="E4" s="206" t="s">
        <v>56</v>
      </c>
      <c r="F4" s="206" t="s">
        <v>57</v>
      </c>
      <c r="G4" s="206" t="s">
        <v>716</v>
      </c>
    </row>
    <row r="5" spans="1:16384" ht="21" customHeight="1" x14ac:dyDescent="0.2">
      <c r="A5" s="290"/>
      <c r="B5" s="290"/>
      <c r="C5" s="206" t="s">
        <v>717</v>
      </c>
      <c r="D5" s="206" t="s">
        <v>718</v>
      </c>
      <c r="E5" s="206" t="s">
        <v>719</v>
      </c>
      <c r="F5" s="206" t="s">
        <v>720</v>
      </c>
      <c r="G5" s="206" t="s">
        <v>721</v>
      </c>
    </row>
    <row r="6" spans="1:16384" ht="45" customHeight="1" x14ac:dyDescent="0.2">
      <c r="A6" s="243" t="s">
        <v>722</v>
      </c>
      <c r="B6" s="243"/>
      <c r="C6" s="21" t="s">
        <v>723</v>
      </c>
      <c r="D6" s="204"/>
      <c r="E6" s="74" t="s">
        <v>724</v>
      </c>
      <c r="F6" s="204"/>
      <c r="G6" s="204"/>
    </row>
    <row r="7" spans="1:16384" ht="45" customHeight="1" x14ac:dyDescent="0.2">
      <c r="A7" s="243" t="s">
        <v>725</v>
      </c>
      <c r="B7" s="243"/>
      <c r="C7" s="204"/>
      <c r="D7" s="21" t="s">
        <v>726</v>
      </c>
      <c r="E7" s="204"/>
      <c r="F7" s="204"/>
      <c r="G7" s="204"/>
    </row>
    <row r="8" spans="1:16384" ht="45" customHeight="1" x14ac:dyDescent="0.2">
      <c r="A8" s="243" t="s">
        <v>727</v>
      </c>
      <c r="B8" s="243"/>
      <c r="C8" s="204"/>
      <c r="D8" s="204"/>
      <c r="E8" s="21" t="s">
        <v>726</v>
      </c>
      <c r="F8" s="204"/>
      <c r="G8" s="204"/>
    </row>
    <row r="9" spans="1:16384" ht="25.5" customHeight="1" x14ac:dyDescent="0.2">
      <c r="A9" s="243" t="s">
        <v>728</v>
      </c>
      <c r="B9" s="243"/>
      <c r="C9" s="204"/>
      <c r="D9" s="204"/>
      <c r="E9" s="204"/>
      <c r="F9" s="74" t="s">
        <v>729</v>
      </c>
      <c r="G9" s="74" t="s">
        <v>730</v>
      </c>
    </row>
    <row r="10" spans="1:16384" s="11" customFormat="1" ht="27" customHeight="1" x14ac:dyDescent="0.2">
      <c r="A10" s="243" t="s">
        <v>81</v>
      </c>
      <c r="B10" s="243"/>
      <c r="C10" s="245" t="s">
        <v>715</v>
      </c>
      <c r="D10" s="246"/>
      <c r="E10" s="246"/>
      <c r="F10" s="246"/>
      <c r="G10" s="247"/>
    </row>
    <row r="11" spans="1:16384" x14ac:dyDescent="0.2">
      <c r="B11" s="10"/>
      <c r="C11" s="10"/>
      <c r="D11" s="10"/>
      <c r="E11" s="10"/>
      <c r="F11" s="10"/>
    </row>
    <row r="12" spans="1:16384" ht="21" customHeight="1" x14ac:dyDescent="0.2">
      <c r="A12" s="257" t="s">
        <v>476</v>
      </c>
      <c r="B12" s="258"/>
      <c r="C12" s="258"/>
      <c r="D12" s="258"/>
      <c r="E12" s="258"/>
      <c r="F12" s="258"/>
      <c r="G12" s="258"/>
      <c r="H12" s="258"/>
    </row>
    <row r="13" spans="1:16384" ht="21" customHeight="1" x14ac:dyDescent="0.2">
      <c r="A13" s="291" t="s">
        <v>53</v>
      </c>
      <c r="B13" s="292"/>
      <c r="C13" s="292"/>
      <c r="D13" s="292"/>
      <c r="E13" s="292"/>
      <c r="F13" s="292"/>
      <c r="G13" s="292"/>
      <c r="H13" s="292"/>
    </row>
    <row r="14" spans="1:16384" ht="21" customHeight="1" x14ac:dyDescent="0.2">
      <c r="A14" s="241" t="s">
        <v>477</v>
      </c>
      <c r="B14" s="242"/>
      <c r="C14" s="206" t="s">
        <v>54</v>
      </c>
      <c r="D14" s="206" t="s">
        <v>55</v>
      </c>
      <c r="E14" s="206" t="s">
        <v>56</v>
      </c>
      <c r="F14" s="206" t="s">
        <v>57</v>
      </c>
      <c r="G14" s="206" t="s">
        <v>716</v>
      </c>
      <c r="H14" s="206" t="s">
        <v>58</v>
      </c>
    </row>
    <row r="15" spans="1:16384" ht="129.94999999999999" customHeight="1" x14ac:dyDescent="0.2">
      <c r="A15" s="287" t="s">
        <v>2503</v>
      </c>
      <c r="B15" s="288"/>
      <c r="C15" s="208">
        <v>1.111</v>
      </c>
      <c r="D15" s="208">
        <v>1.081</v>
      </c>
      <c r="E15" s="208">
        <v>1.099</v>
      </c>
      <c r="F15" s="208">
        <v>1.075</v>
      </c>
      <c r="G15" s="208">
        <v>1.0860000000000001</v>
      </c>
      <c r="H15" s="219" t="s">
        <v>2605</v>
      </c>
      <c r="J15" s="220"/>
      <c r="L15" t="s">
        <v>2425</v>
      </c>
    </row>
    <row r="16" spans="1:16384" ht="21" customHeight="1" x14ac:dyDescent="0.2">
      <c r="A16" s="287" t="s">
        <v>2504</v>
      </c>
      <c r="B16" s="288"/>
      <c r="C16" s="208">
        <v>1.08</v>
      </c>
      <c r="D16" s="208">
        <v>1.0609999999999999</v>
      </c>
      <c r="E16" s="208">
        <v>1.0720000000000001</v>
      </c>
      <c r="F16" s="208">
        <v>1.0569999999999999</v>
      </c>
      <c r="G16" s="208">
        <v>1.0640000000000001</v>
      </c>
      <c r="H16" s="219" t="s">
        <v>2604</v>
      </c>
    </row>
    <row r="17" spans="1:8" ht="21" customHeight="1" x14ac:dyDescent="0.2">
      <c r="A17" s="287" t="s">
        <v>2505</v>
      </c>
      <c r="B17" s="288"/>
      <c r="C17" s="208">
        <v>1.052</v>
      </c>
      <c r="D17" s="208">
        <v>1.0389999999999999</v>
      </c>
      <c r="E17" s="208">
        <v>1.0469999999999999</v>
      </c>
      <c r="F17" s="208">
        <v>1.036</v>
      </c>
      <c r="G17" s="208">
        <v>1.0409999999999999</v>
      </c>
      <c r="H17" s="219" t="s">
        <v>2603</v>
      </c>
    </row>
    <row r="18" spans="1:8" ht="21" customHeight="1" x14ac:dyDescent="0.2">
      <c r="A18" s="287" t="s">
        <v>2506</v>
      </c>
      <c r="B18" s="288"/>
      <c r="C18" s="208">
        <v>1.0509999999999999</v>
      </c>
      <c r="D18" s="208">
        <v>1.0389999999999999</v>
      </c>
      <c r="E18" s="208">
        <v>1.046</v>
      </c>
      <c r="F18" s="208">
        <v>1.0349999999999999</v>
      </c>
      <c r="G18" s="208">
        <v>1.04</v>
      </c>
      <c r="H18" s="209" t="s">
        <v>2538</v>
      </c>
    </row>
    <row r="19" spans="1:8" ht="21" customHeight="1" x14ac:dyDescent="0.2">
      <c r="A19" s="287" t="s">
        <v>2507</v>
      </c>
      <c r="B19" s="288"/>
      <c r="C19" s="208">
        <v>1.016</v>
      </c>
      <c r="D19" s="208">
        <v>1.0129999999999999</v>
      </c>
      <c r="E19" s="208">
        <v>1.0149999999999999</v>
      </c>
      <c r="F19" s="208">
        <v>1.0129999999999999</v>
      </c>
      <c r="G19" s="208">
        <v>1.0129999999999999</v>
      </c>
      <c r="H19" s="9" t="s">
        <v>2539</v>
      </c>
    </row>
    <row r="20" spans="1:8" ht="21" customHeight="1" x14ac:dyDescent="0.2">
      <c r="A20" s="287" t="s">
        <v>2508</v>
      </c>
      <c r="B20" s="288"/>
      <c r="C20" s="208">
        <v>1.004</v>
      </c>
      <c r="D20" s="208">
        <v>1.0029999999999999</v>
      </c>
      <c r="E20" s="208">
        <v>1.0029999999999999</v>
      </c>
      <c r="F20" s="208">
        <v>1.002</v>
      </c>
      <c r="G20" s="208">
        <v>1.0029999999999999</v>
      </c>
      <c r="H20" s="9" t="s">
        <v>2540</v>
      </c>
    </row>
    <row r="22" spans="1:8" ht="21.75" customHeight="1" x14ac:dyDescent="0.2">
      <c r="A22" s="257" t="s">
        <v>478</v>
      </c>
      <c r="B22" s="258"/>
      <c r="C22" s="258"/>
      <c r="D22" s="258"/>
      <c r="E22" s="258"/>
      <c r="F22" s="258"/>
      <c r="G22" s="258"/>
      <c r="H22" s="258"/>
    </row>
    <row r="23" spans="1:8" ht="21" customHeight="1" x14ac:dyDescent="0.2">
      <c r="A23" s="291" t="s">
        <v>60</v>
      </c>
      <c r="B23" s="292"/>
      <c r="C23" s="292"/>
      <c r="D23" s="292"/>
      <c r="E23" s="292"/>
      <c r="F23" s="292"/>
      <c r="G23" s="292"/>
      <c r="H23" s="292"/>
    </row>
    <row r="24" spans="1:8" ht="21" customHeight="1" x14ac:dyDescent="0.2">
      <c r="A24" s="206" t="s">
        <v>468</v>
      </c>
      <c r="B24" s="241" t="s">
        <v>59</v>
      </c>
      <c r="C24" s="242"/>
      <c r="D24" s="206" t="s">
        <v>54</v>
      </c>
      <c r="E24" s="206" t="s">
        <v>55</v>
      </c>
      <c r="F24" s="206" t="s">
        <v>56</v>
      </c>
      <c r="G24" s="206" t="s">
        <v>57</v>
      </c>
      <c r="H24" s="206" t="s">
        <v>716</v>
      </c>
    </row>
    <row r="25" spans="1:8" ht="21" customHeight="1" x14ac:dyDescent="0.2">
      <c r="A25" s="218">
        <v>300</v>
      </c>
      <c r="B25" s="285" t="s">
        <v>2554</v>
      </c>
      <c r="C25" s="286"/>
      <c r="D25" s="210">
        <v>1.016</v>
      </c>
      <c r="E25" s="210">
        <v>1.0129999999999999</v>
      </c>
      <c r="F25" s="210">
        <v>1.0149999999999999</v>
      </c>
      <c r="G25" s="210">
        <v>1.0129999999999999</v>
      </c>
      <c r="H25" s="210">
        <v>1.0129999999999999</v>
      </c>
    </row>
    <row r="26" spans="1:8" ht="21" customHeight="1" x14ac:dyDescent="0.2">
      <c r="A26" s="216">
        <v>301</v>
      </c>
      <c r="B26" s="285" t="s">
        <v>2786</v>
      </c>
      <c r="C26" s="286"/>
      <c r="D26" s="210">
        <v>0.99199999999999999</v>
      </c>
      <c r="E26" s="210">
        <v>1</v>
      </c>
      <c r="F26" s="210">
        <v>0.995</v>
      </c>
      <c r="G26" s="210">
        <v>1.0029999999999999</v>
      </c>
      <c r="H26" s="210">
        <v>0.996</v>
      </c>
    </row>
    <row r="27" spans="1:8" ht="21" customHeight="1" x14ac:dyDescent="0.2">
      <c r="A27" s="216">
        <v>302</v>
      </c>
      <c r="B27" s="285" t="s">
        <v>2787</v>
      </c>
      <c r="C27" s="286"/>
      <c r="D27" s="210">
        <v>1</v>
      </c>
      <c r="E27" s="210">
        <v>1</v>
      </c>
      <c r="F27" s="210">
        <v>1</v>
      </c>
      <c r="G27" s="210">
        <v>1</v>
      </c>
      <c r="H27" s="210">
        <v>1</v>
      </c>
    </row>
    <row r="28" spans="1:8" ht="21" customHeight="1" x14ac:dyDescent="0.2">
      <c r="A28" s="216">
        <v>303</v>
      </c>
      <c r="B28" s="285" t="s">
        <v>2788</v>
      </c>
      <c r="C28" s="286"/>
      <c r="D28" s="210">
        <v>1.0509999999999999</v>
      </c>
      <c r="E28" s="210">
        <v>1.0509999999999999</v>
      </c>
      <c r="F28" s="210">
        <v>1.0509999999999999</v>
      </c>
      <c r="G28" s="210">
        <v>1.0509999999999999</v>
      </c>
      <c r="H28" s="210">
        <v>1.0509999999999999</v>
      </c>
    </row>
    <row r="29" spans="1:8" ht="21" customHeight="1" x14ac:dyDescent="0.2">
      <c r="A29" s="216">
        <v>304</v>
      </c>
      <c r="B29" s="285" t="s">
        <v>2796</v>
      </c>
      <c r="C29" s="286"/>
      <c r="D29" s="210">
        <v>1.0049999999999999</v>
      </c>
      <c r="E29" s="210">
        <v>1.004</v>
      </c>
      <c r="F29" s="210">
        <v>1.0049999999999999</v>
      </c>
      <c r="G29" s="210">
        <v>1.004</v>
      </c>
      <c r="H29" s="210">
        <v>1.004</v>
      </c>
    </row>
    <row r="30" spans="1:8" ht="21" customHeight="1" x14ac:dyDescent="0.2">
      <c r="A30" s="216">
        <v>305</v>
      </c>
      <c r="B30" s="285" t="s">
        <v>2797</v>
      </c>
      <c r="C30" s="286"/>
      <c r="D30" s="210">
        <v>1.0329999999999999</v>
      </c>
      <c r="E30" s="210">
        <v>1.0049999999999999</v>
      </c>
      <c r="F30" s="210">
        <v>1.024</v>
      </c>
      <c r="G30" s="210">
        <v>1.012</v>
      </c>
      <c r="H30" s="210">
        <v>1.012</v>
      </c>
    </row>
    <row r="31" spans="1:8" ht="21" customHeight="1" x14ac:dyDescent="0.2">
      <c r="A31" s="216">
        <v>307</v>
      </c>
      <c r="B31" s="285" t="s">
        <v>2789</v>
      </c>
      <c r="C31" s="286"/>
      <c r="D31" s="210">
        <v>1.0840000000000001</v>
      </c>
      <c r="E31" s="210">
        <v>1.083</v>
      </c>
      <c r="F31" s="210">
        <v>1.0840000000000001</v>
      </c>
      <c r="G31" s="210">
        <v>1.083</v>
      </c>
      <c r="H31" s="210">
        <v>1.0840000000000001</v>
      </c>
    </row>
    <row r="32" spans="1:8" ht="21" customHeight="1" x14ac:dyDescent="0.2">
      <c r="A32" s="216">
        <v>308</v>
      </c>
      <c r="B32" s="285" t="s">
        <v>2790</v>
      </c>
      <c r="C32" s="286"/>
      <c r="D32" s="210">
        <v>1.008</v>
      </c>
      <c r="E32" s="210">
        <v>1.0069999999999999</v>
      </c>
      <c r="F32" s="210">
        <v>1.0069999999999999</v>
      </c>
      <c r="G32" s="210">
        <v>1.0069999999999999</v>
      </c>
      <c r="H32" s="210">
        <v>1.0069999999999999</v>
      </c>
    </row>
    <row r="33" spans="1:8" ht="21" customHeight="1" x14ac:dyDescent="0.2">
      <c r="A33" s="218">
        <v>310</v>
      </c>
      <c r="B33" s="285" t="s">
        <v>2555</v>
      </c>
      <c r="C33" s="286"/>
      <c r="D33" s="210">
        <v>1.016</v>
      </c>
      <c r="E33" s="210">
        <v>1.0129999999999999</v>
      </c>
      <c r="F33" s="210">
        <v>1.0149999999999999</v>
      </c>
      <c r="G33" s="210">
        <v>1.0129999999999999</v>
      </c>
      <c r="H33" s="210">
        <v>1.0129999999999999</v>
      </c>
    </row>
    <row r="34" spans="1:8" ht="21" customHeight="1" x14ac:dyDescent="0.2">
      <c r="A34" s="216">
        <v>311</v>
      </c>
      <c r="B34" s="285" t="s">
        <v>2791</v>
      </c>
      <c r="C34" s="286"/>
      <c r="D34" s="210">
        <v>1</v>
      </c>
      <c r="E34" s="210">
        <v>1.002</v>
      </c>
      <c r="F34" s="210">
        <v>1.0009999999999999</v>
      </c>
      <c r="G34" s="210">
        <v>1.022</v>
      </c>
      <c r="H34" s="210">
        <v>1.002</v>
      </c>
    </row>
    <row r="35" spans="1:8" ht="21" customHeight="1" x14ac:dyDescent="0.2">
      <c r="A35" s="218">
        <v>312</v>
      </c>
      <c r="B35" s="285" t="s">
        <v>2556</v>
      </c>
      <c r="C35" s="286"/>
      <c r="D35" s="210">
        <v>1.024</v>
      </c>
      <c r="E35" s="210">
        <v>1.022</v>
      </c>
      <c r="F35" s="210">
        <v>1.018</v>
      </c>
      <c r="G35" s="210">
        <v>1.022</v>
      </c>
      <c r="H35" s="210">
        <v>1.022</v>
      </c>
    </row>
    <row r="36" spans="1:8" ht="21" customHeight="1" x14ac:dyDescent="0.2">
      <c r="A36" s="216">
        <v>313</v>
      </c>
      <c r="B36" s="285" t="s">
        <v>2792</v>
      </c>
      <c r="C36" s="286"/>
      <c r="D36" s="210">
        <v>1.0229999999999999</v>
      </c>
      <c r="E36" s="210">
        <v>1.0129999999999999</v>
      </c>
      <c r="F36" s="210">
        <v>1.016</v>
      </c>
      <c r="G36" s="210">
        <v>1.0149999999999999</v>
      </c>
      <c r="H36" s="210">
        <v>1.0149999999999999</v>
      </c>
    </row>
    <row r="37" spans="1:8" ht="21" customHeight="1" x14ac:dyDescent="0.2">
      <c r="A37" s="216">
        <v>314</v>
      </c>
      <c r="B37" s="285" t="s">
        <v>2794</v>
      </c>
      <c r="C37" s="286"/>
      <c r="D37" s="210">
        <v>1.02</v>
      </c>
      <c r="E37" s="210">
        <v>1.014</v>
      </c>
      <c r="F37" s="210">
        <v>1.018</v>
      </c>
      <c r="G37" s="210">
        <v>1.0169999999999999</v>
      </c>
      <c r="H37" s="210">
        <v>1.0189999999999999</v>
      </c>
    </row>
    <row r="38" spans="1:8" ht="21" customHeight="1" x14ac:dyDescent="0.2">
      <c r="A38" s="216">
        <v>315</v>
      </c>
      <c r="B38" s="285" t="s">
        <v>2798</v>
      </c>
      <c r="C38" s="286"/>
      <c r="D38" s="210">
        <v>1.004</v>
      </c>
      <c r="E38" s="210">
        <v>1.002</v>
      </c>
      <c r="F38" s="210">
        <v>1.0029999999999999</v>
      </c>
      <c r="G38" s="210">
        <v>1.0029999999999999</v>
      </c>
      <c r="H38" s="210">
        <v>1.002</v>
      </c>
    </row>
    <row r="39" spans="1:8" ht="21" customHeight="1" x14ac:dyDescent="0.2">
      <c r="A39" s="218">
        <v>316</v>
      </c>
      <c r="B39" s="285" t="s">
        <v>2557</v>
      </c>
      <c r="C39" s="286"/>
      <c r="D39" s="210">
        <v>1.004</v>
      </c>
      <c r="E39" s="210">
        <v>1.0029999999999999</v>
      </c>
      <c r="F39" s="210">
        <v>1.0029999999999999</v>
      </c>
      <c r="G39" s="210">
        <v>1.002</v>
      </c>
      <c r="H39" s="210">
        <v>1.0029999999999999</v>
      </c>
    </row>
    <row r="40" spans="1:8" ht="21" customHeight="1" x14ac:dyDescent="0.2">
      <c r="A40" s="216">
        <v>317</v>
      </c>
      <c r="B40" s="285" t="s">
        <v>2795</v>
      </c>
      <c r="C40" s="286"/>
      <c r="D40" s="210">
        <v>1.008</v>
      </c>
      <c r="E40" s="210">
        <v>1.006</v>
      </c>
      <c r="F40" s="210">
        <v>1.0069999999999999</v>
      </c>
      <c r="G40" s="210">
        <v>1.006</v>
      </c>
      <c r="H40" s="210">
        <v>1.0069999999999999</v>
      </c>
    </row>
    <row r="41" spans="1:8" ht="21" customHeight="1" x14ac:dyDescent="0.2">
      <c r="A41" s="221">
        <v>430</v>
      </c>
      <c r="B41" s="285" t="s">
        <v>2975</v>
      </c>
      <c r="C41" s="286"/>
      <c r="D41" s="210">
        <v>1.032</v>
      </c>
      <c r="E41" s="210">
        <v>1.0269999999999999</v>
      </c>
      <c r="F41" s="210">
        <v>1.03</v>
      </c>
      <c r="G41" s="210">
        <v>1.028</v>
      </c>
      <c r="H41" s="210">
        <v>1.03</v>
      </c>
    </row>
    <row r="42" spans="1:8" ht="21" customHeight="1" x14ac:dyDescent="0.2">
      <c r="A42" s="216">
        <v>431</v>
      </c>
      <c r="B42" s="285" t="s">
        <v>2793</v>
      </c>
      <c r="C42" s="286"/>
      <c r="D42" s="210">
        <v>1.0129999999999999</v>
      </c>
      <c r="E42" s="210">
        <v>1.012</v>
      </c>
      <c r="F42" s="210">
        <v>1.0129999999999999</v>
      </c>
      <c r="G42" s="210">
        <v>1.012</v>
      </c>
      <c r="H42" s="210">
        <v>1.0129999999999999</v>
      </c>
    </row>
    <row r="43" spans="1:8" ht="21" customHeight="1" x14ac:dyDescent="0.2">
      <c r="A43" s="218">
        <v>474</v>
      </c>
      <c r="B43" s="285" t="s">
        <v>2564</v>
      </c>
      <c r="C43" s="286"/>
      <c r="D43" s="210">
        <v>1.0509999999999999</v>
      </c>
      <c r="E43" s="210">
        <v>1.0389999999999999</v>
      </c>
      <c r="F43" s="210">
        <v>1.046</v>
      </c>
      <c r="G43" s="210">
        <v>1.0349999999999999</v>
      </c>
      <c r="H43" s="210">
        <v>1.04</v>
      </c>
    </row>
    <row r="44" spans="1:8" ht="21" customHeight="1" x14ac:dyDescent="0.2">
      <c r="A44" s="218">
        <v>475</v>
      </c>
      <c r="B44" s="285" t="s">
        <v>2565</v>
      </c>
      <c r="C44" s="286"/>
      <c r="D44" s="210">
        <v>1.0509999999999999</v>
      </c>
      <c r="E44" s="210">
        <v>1.0389999999999999</v>
      </c>
      <c r="F44" s="210">
        <v>1.046</v>
      </c>
      <c r="G44" s="210">
        <v>1.0349999999999999</v>
      </c>
      <c r="H44" s="210">
        <v>1.04</v>
      </c>
    </row>
    <row r="45" spans="1:8" ht="21" customHeight="1" x14ac:dyDescent="0.2">
      <c r="A45" s="218">
        <v>476</v>
      </c>
      <c r="B45" s="285" t="s">
        <v>2566</v>
      </c>
      <c r="C45" s="286"/>
      <c r="D45" s="210">
        <v>1.0509999999999999</v>
      </c>
      <c r="E45" s="210">
        <v>1.0389999999999999</v>
      </c>
      <c r="F45" s="210">
        <v>1.046</v>
      </c>
      <c r="G45" s="210">
        <v>1.0349999999999999</v>
      </c>
      <c r="H45" s="210">
        <v>1.04</v>
      </c>
    </row>
    <row r="46" spans="1:8" ht="21" customHeight="1" x14ac:dyDescent="0.2">
      <c r="A46" s="218">
        <v>477</v>
      </c>
      <c r="B46" s="285" t="s">
        <v>2567</v>
      </c>
      <c r="C46" s="286"/>
      <c r="D46" s="210">
        <v>1.0509999999999999</v>
      </c>
      <c r="E46" s="210">
        <v>1.0389999999999999</v>
      </c>
      <c r="F46" s="210">
        <v>1.046</v>
      </c>
      <c r="G46" s="210">
        <v>1.0349999999999999</v>
      </c>
      <c r="H46" s="210">
        <v>1.04</v>
      </c>
    </row>
    <row r="47" spans="1:8" ht="21" customHeight="1" x14ac:dyDescent="0.2">
      <c r="A47" s="218">
        <v>478</v>
      </c>
      <c r="B47" s="285" t="s">
        <v>2568</v>
      </c>
      <c r="C47" s="286"/>
      <c r="D47" s="210">
        <v>1.0509999999999999</v>
      </c>
      <c r="E47" s="210">
        <v>1.0389999999999999</v>
      </c>
      <c r="F47" s="210">
        <v>1.046</v>
      </c>
      <c r="G47" s="210">
        <v>1.0349999999999999</v>
      </c>
      <c r="H47" s="210">
        <v>1.04</v>
      </c>
    </row>
    <row r="48" spans="1:8" ht="21" customHeight="1" x14ac:dyDescent="0.2">
      <c r="A48" s="218">
        <v>479</v>
      </c>
      <c r="B48" s="285" t="s">
        <v>2569</v>
      </c>
      <c r="C48" s="286"/>
      <c r="D48" s="210">
        <v>1.0509999999999999</v>
      </c>
      <c r="E48" s="210">
        <v>1.0389999999999999</v>
      </c>
      <c r="F48" s="210">
        <v>1.046</v>
      </c>
      <c r="G48" s="210">
        <v>1.0349999999999999</v>
      </c>
      <c r="H48" s="210">
        <v>1.04</v>
      </c>
    </row>
    <row r="49" spans="1:8" ht="21" customHeight="1" x14ac:dyDescent="0.2">
      <c r="A49" s="218">
        <v>480</v>
      </c>
      <c r="B49" s="285" t="s">
        <v>2570</v>
      </c>
      <c r="C49" s="286"/>
      <c r="D49" s="210">
        <v>1.0509999999999999</v>
      </c>
      <c r="E49" s="210">
        <v>1.0389999999999999</v>
      </c>
      <c r="F49" s="210">
        <v>1.046</v>
      </c>
      <c r="G49" s="210">
        <v>1.0349999999999999</v>
      </c>
      <c r="H49" s="210">
        <v>1.04</v>
      </c>
    </row>
    <row r="50" spans="1:8" ht="21" customHeight="1" x14ac:dyDescent="0.2">
      <c r="A50" s="218">
        <v>482</v>
      </c>
      <c r="B50" s="285" t="s">
        <v>2571</v>
      </c>
      <c r="C50" s="286"/>
      <c r="D50" s="210">
        <v>1.0509999999999999</v>
      </c>
      <c r="E50" s="210">
        <v>1.0389999999999999</v>
      </c>
      <c r="F50" s="210">
        <v>1.046</v>
      </c>
      <c r="G50" s="210">
        <v>1.0349999999999999</v>
      </c>
      <c r="H50" s="210">
        <v>1.04</v>
      </c>
    </row>
    <row r="51" spans="1:8" ht="21" customHeight="1" x14ac:dyDescent="0.2">
      <c r="A51" s="218">
        <v>484</v>
      </c>
      <c r="B51" s="285" t="s">
        <v>2572</v>
      </c>
      <c r="C51" s="286"/>
      <c r="D51" s="210">
        <v>1.0509999999999999</v>
      </c>
      <c r="E51" s="210">
        <v>1.0389999999999999</v>
      </c>
      <c r="F51" s="210">
        <v>1.046</v>
      </c>
      <c r="G51" s="210">
        <v>1.0349999999999999</v>
      </c>
      <c r="H51" s="210">
        <v>1.04</v>
      </c>
    </row>
    <row r="52" spans="1:8" ht="21" customHeight="1" x14ac:dyDescent="0.2">
      <c r="A52" s="218">
        <v>485</v>
      </c>
      <c r="B52" s="285" t="s">
        <v>2573</v>
      </c>
      <c r="C52" s="286"/>
      <c r="D52" s="210">
        <v>1.0509999999999999</v>
      </c>
      <c r="E52" s="210">
        <v>1.0389999999999999</v>
      </c>
      <c r="F52" s="210">
        <v>1.046</v>
      </c>
      <c r="G52" s="210">
        <v>1.0349999999999999</v>
      </c>
      <c r="H52" s="210">
        <v>1.04</v>
      </c>
    </row>
    <row r="53" spans="1:8" ht="21" customHeight="1" x14ac:dyDescent="0.2">
      <c r="A53" s="218">
        <v>486</v>
      </c>
      <c r="B53" s="285" t="s">
        <v>2574</v>
      </c>
      <c r="C53" s="286"/>
      <c r="D53" s="210">
        <v>1.0509999999999999</v>
      </c>
      <c r="E53" s="210">
        <v>1.0389999999999999</v>
      </c>
      <c r="F53" s="210">
        <v>1.046</v>
      </c>
      <c r="G53" s="210">
        <v>1.0349999999999999</v>
      </c>
      <c r="H53" s="210">
        <v>1.04</v>
      </c>
    </row>
    <row r="54" spans="1:8" ht="21" customHeight="1" x14ac:dyDescent="0.2">
      <c r="A54" s="218">
        <v>487</v>
      </c>
      <c r="B54" s="285" t="s">
        <v>2575</v>
      </c>
      <c r="C54" s="286"/>
      <c r="D54" s="210">
        <v>1.0509999999999999</v>
      </c>
      <c r="E54" s="210">
        <v>1.0389999999999999</v>
      </c>
      <c r="F54" s="210">
        <v>1.046</v>
      </c>
      <c r="G54" s="210">
        <v>1.0349999999999999</v>
      </c>
      <c r="H54" s="210">
        <v>1.04</v>
      </c>
    </row>
    <row r="55" spans="1:8" ht="21" customHeight="1" x14ac:dyDescent="0.2">
      <c r="A55" s="218">
        <v>488</v>
      </c>
      <c r="B55" s="285" t="s">
        <v>2576</v>
      </c>
      <c r="C55" s="286"/>
      <c r="D55" s="210">
        <v>1.0509999999999999</v>
      </c>
      <c r="E55" s="210">
        <v>1.0389999999999999</v>
      </c>
      <c r="F55" s="210">
        <v>1.046</v>
      </c>
      <c r="G55" s="210">
        <v>1.0349999999999999</v>
      </c>
      <c r="H55" s="210">
        <v>1.04</v>
      </c>
    </row>
    <row r="56" spans="1:8" ht="21" customHeight="1" x14ac:dyDescent="0.2">
      <c r="A56" s="218">
        <v>489</v>
      </c>
      <c r="B56" s="285" t="s">
        <v>2577</v>
      </c>
      <c r="C56" s="286"/>
      <c r="D56" s="210">
        <v>1.0509999999999999</v>
      </c>
      <c r="E56" s="210">
        <v>1.0389999999999999</v>
      </c>
      <c r="F56" s="210">
        <v>1.046</v>
      </c>
      <c r="G56" s="210">
        <v>1.0349999999999999</v>
      </c>
      <c r="H56" s="210">
        <v>1.04</v>
      </c>
    </row>
    <row r="57" spans="1:8" ht="21" customHeight="1" x14ac:dyDescent="0.2">
      <c r="A57" s="218">
        <v>490</v>
      </c>
      <c r="B57" s="285" t="s">
        <v>2578</v>
      </c>
      <c r="C57" s="286"/>
      <c r="D57" s="210">
        <v>1.0509999999999999</v>
      </c>
      <c r="E57" s="210">
        <v>1.0389999999999999</v>
      </c>
      <c r="F57" s="210">
        <v>1.046</v>
      </c>
      <c r="G57" s="210">
        <v>1.0349999999999999</v>
      </c>
      <c r="H57" s="210">
        <v>1.04</v>
      </c>
    </row>
    <row r="58" spans="1:8" ht="21" customHeight="1" x14ac:dyDescent="0.2">
      <c r="A58" s="218">
        <v>491</v>
      </c>
      <c r="B58" s="285" t="s">
        <v>2579</v>
      </c>
      <c r="C58" s="286"/>
      <c r="D58" s="210">
        <v>1.0509999999999999</v>
      </c>
      <c r="E58" s="210">
        <v>1.0389999999999999</v>
      </c>
      <c r="F58" s="210">
        <v>1.046</v>
      </c>
      <c r="G58" s="210">
        <v>1.0349999999999999</v>
      </c>
      <c r="H58" s="210">
        <v>1.04</v>
      </c>
    </row>
    <row r="59" spans="1:8" ht="21" customHeight="1" x14ac:dyDescent="0.2">
      <c r="A59" s="218">
        <v>492</v>
      </c>
      <c r="B59" s="285" t="s">
        <v>2580</v>
      </c>
      <c r="C59" s="286"/>
      <c r="D59" s="210">
        <v>1.0509999999999999</v>
      </c>
      <c r="E59" s="210">
        <v>1.0389999999999999</v>
      </c>
      <c r="F59" s="210">
        <v>1.046</v>
      </c>
      <c r="G59" s="210">
        <v>1.0349999999999999</v>
      </c>
      <c r="H59" s="210">
        <v>1.04</v>
      </c>
    </row>
    <row r="60" spans="1:8" ht="21" customHeight="1" x14ac:dyDescent="0.2">
      <c r="A60" s="218">
        <v>493</v>
      </c>
      <c r="B60" s="285" t="s">
        <v>2581</v>
      </c>
      <c r="C60" s="286"/>
      <c r="D60" s="210">
        <v>1.0509999999999999</v>
      </c>
      <c r="E60" s="210">
        <v>1.0389999999999999</v>
      </c>
      <c r="F60" s="210">
        <v>1.046</v>
      </c>
      <c r="G60" s="210">
        <v>1.0349999999999999</v>
      </c>
      <c r="H60" s="210">
        <v>1.04</v>
      </c>
    </row>
    <row r="61" spans="1:8" ht="21" customHeight="1" x14ac:dyDescent="0.2">
      <c r="A61" s="218">
        <v>494</v>
      </c>
      <c r="B61" s="285" t="s">
        <v>2582</v>
      </c>
      <c r="C61" s="286"/>
      <c r="D61" s="210">
        <v>1.0509999999999999</v>
      </c>
      <c r="E61" s="210">
        <v>1.0389999999999999</v>
      </c>
      <c r="F61" s="210">
        <v>1.046</v>
      </c>
      <c r="G61" s="210">
        <v>1.0349999999999999</v>
      </c>
      <c r="H61" s="210">
        <v>1.04</v>
      </c>
    </row>
    <row r="62" spans="1:8" ht="21" customHeight="1" x14ac:dyDescent="0.2">
      <c r="A62" s="218">
        <v>495</v>
      </c>
      <c r="B62" s="285" t="s">
        <v>2583</v>
      </c>
      <c r="C62" s="286"/>
      <c r="D62" s="210">
        <v>1.0509999999999999</v>
      </c>
      <c r="E62" s="210">
        <v>1.0389999999999999</v>
      </c>
      <c r="F62" s="210">
        <v>1.046</v>
      </c>
      <c r="G62" s="210">
        <v>1.0349999999999999</v>
      </c>
      <c r="H62" s="210">
        <v>1.04</v>
      </c>
    </row>
    <row r="63" spans="1:8" ht="21" customHeight="1" x14ac:dyDescent="0.2">
      <c r="A63" s="218">
        <v>496</v>
      </c>
      <c r="B63" s="285" t="s">
        <v>2584</v>
      </c>
      <c r="C63" s="286"/>
      <c r="D63" s="210">
        <v>1.0509999999999999</v>
      </c>
      <c r="E63" s="210">
        <v>1.0389999999999999</v>
      </c>
      <c r="F63" s="210">
        <v>1.046</v>
      </c>
      <c r="G63" s="210">
        <v>1.0349999999999999</v>
      </c>
      <c r="H63" s="210">
        <v>1.04</v>
      </c>
    </row>
    <row r="64" spans="1:8" ht="21" customHeight="1" x14ac:dyDescent="0.2">
      <c r="A64" s="218">
        <v>497</v>
      </c>
      <c r="B64" s="285" t="s">
        <v>2585</v>
      </c>
      <c r="C64" s="286"/>
      <c r="D64" s="210">
        <v>1.0509999999999999</v>
      </c>
      <c r="E64" s="210">
        <v>1.0389999999999999</v>
      </c>
      <c r="F64" s="210">
        <v>1.046</v>
      </c>
      <c r="G64" s="210">
        <v>1.0349999999999999</v>
      </c>
      <c r="H64" s="210">
        <v>1.04</v>
      </c>
    </row>
    <row r="65" spans="1:8" ht="21" customHeight="1" x14ac:dyDescent="0.2">
      <c r="A65" s="218">
        <v>498</v>
      </c>
      <c r="B65" s="285" t="s">
        <v>2586</v>
      </c>
      <c r="C65" s="286"/>
      <c r="D65" s="210">
        <v>1.0509999999999999</v>
      </c>
      <c r="E65" s="210">
        <v>1.0389999999999999</v>
      </c>
      <c r="F65" s="210">
        <v>1.046</v>
      </c>
      <c r="G65" s="210">
        <v>1.0349999999999999</v>
      </c>
      <c r="H65" s="210">
        <v>1.04</v>
      </c>
    </row>
    <row r="66" spans="1:8" ht="21" customHeight="1" x14ac:dyDescent="0.2">
      <c r="A66" s="218">
        <v>499</v>
      </c>
      <c r="B66" s="285" t="s">
        <v>2587</v>
      </c>
      <c r="C66" s="286"/>
      <c r="D66" s="210">
        <v>1.0509999999999999</v>
      </c>
      <c r="E66" s="210">
        <v>1.0389999999999999</v>
      </c>
      <c r="F66" s="210">
        <v>1.046</v>
      </c>
      <c r="G66" s="210">
        <v>1.0349999999999999</v>
      </c>
      <c r="H66" s="210">
        <v>1.04</v>
      </c>
    </row>
    <row r="67" spans="1:8" ht="21" customHeight="1" x14ac:dyDescent="0.2">
      <c r="A67" s="203">
        <v>500</v>
      </c>
      <c r="B67" s="285" t="s">
        <v>2606</v>
      </c>
      <c r="C67" s="286"/>
      <c r="D67" s="210">
        <v>1.05</v>
      </c>
      <c r="E67" s="210">
        <v>1.0229999999999999</v>
      </c>
      <c r="F67" s="210">
        <v>1.0389999999999999</v>
      </c>
      <c r="G67" s="210">
        <v>1.0369999999999999</v>
      </c>
      <c r="H67" s="210">
        <v>1.044</v>
      </c>
    </row>
    <row r="68" spans="1:8" ht="21" customHeight="1" x14ac:dyDescent="0.2">
      <c r="A68" s="203">
        <v>501</v>
      </c>
      <c r="B68" s="285" t="s">
        <v>2607</v>
      </c>
      <c r="C68" s="286"/>
      <c r="D68" s="210">
        <v>1.0569999999999999</v>
      </c>
      <c r="E68" s="210">
        <v>1.056</v>
      </c>
      <c r="F68" s="210">
        <v>1.056</v>
      </c>
      <c r="G68" s="210">
        <v>1.056</v>
      </c>
      <c r="H68" s="210">
        <v>1.054</v>
      </c>
    </row>
    <row r="69" spans="1:8" ht="21" customHeight="1" x14ac:dyDescent="0.2">
      <c r="A69" s="216">
        <v>502</v>
      </c>
      <c r="B69" s="285" t="s">
        <v>2608</v>
      </c>
      <c r="C69" s="286"/>
      <c r="D69" s="210">
        <v>1.056</v>
      </c>
      <c r="E69" s="210">
        <v>1.05</v>
      </c>
      <c r="F69" s="210">
        <v>1.0149999999999999</v>
      </c>
      <c r="G69" s="210">
        <v>1.0720000000000001</v>
      </c>
      <c r="H69" s="210">
        <v>1.036</v>
      </c>
    </row>
    <row r="70" spans="1:8" ht="21" customHeight="1" x14ac:dyDescent="0.2">
      <c r="A70" s="216">
        <v>503</v>
      </c>
      <c r="B70" s="285" t="s">
        <v>2609</v>
      </c>
      <c r="C70" s="286"/>
      <c r="D70" s="210">
        <v>1.0169999999999999</v>
      </c>
      <c r="E70" s="210">
        <v>1.018</v>
      </c>
      <c r="F70" s="210">
        <v>1.018</v>
      </c>
      <c r="G70" s="210">
        <v>1.018</v>
      </c>
      <c r="H70" s="210">
        <v>1.0169999999999999</v>
      </c>
    </row>
    <row r="71" spans="1:8" ht="21" customHeight="1" x14ac:dyDescent="0.2">
      <c r="A71" s="216">
        <v>504</v>
      </c>
      <c r="B71" s="285" t="s">
        <v>2610</v>
      </c>
      <c r="C71" s="286"/>
      <c r="D71" s="210">
        <v>1.0149999999999999</v>
      </c>
      <c r="E71" s="210">
        <v>1.0129999999999999</v>
      </c>
      <c r="F71" s="210">
        <v>1.014</v>
      </c>
      <c r="G71" s="210">
        <v>1.012</v>
      </c>
      <c r="H71" s="210">
        <v>1.0129999999999999</v>
      </c>
    </row>
    <row r="72" spans="1:8" ht="21" customHeight="1" x14ac:dyDescent="0.2">
      <c r="A72" s="216">
        <v>505</v>
      </c>
      <c r="B72" s="285" t="s">
        <v>2611</v>
      </c>
      <c r="C72" s="286"/>
      <c r="D72" s="210">
        <v>1.016</v>
      </c>
      <c r="E72" s="210">
        <v>1.018</v>
      </c>
      <c r="F72" s="210">
        <v>1.0169999999999999</v>
      </c>
      <c r="G72" s="210">
        <v>1.0169999999999999</v>
      </c>
      <c r="H72" s="210">
        <v>1.0169999999999999</v>
      </c>
    </row>
    <row r="73" spans="1:8" ht="21" customHeight="1" x14ac:dyDescent="0.2">
      <c r="A73" s="216">
        <v>506</v>
      </c>
      <c r="B73" s="285" t="s">
        <v>2612</v>
      </c>
      <c r="C73" s="286"/>
      <c r="D73" s="210">
        <v>1.0109999999999999</v>
      </c>
      <c r="E73" s="210">
        <v>1.0089999999999999</v>
      </c>
      <c r="F73" s="210">
        <v>1.01</v>
      </c>
      <c r="G73" s="210">
        <v>1.0089999999999999</v>
      </c>
      <c r="H73" s="210">
        <v>1.0109999999999999</v>
      </c>
    </row>
    <row r="74" spans="1:8" ht="21" customHeight="1" x14ac:dyDescent="0.2">
      <c r="A74" s="216">
        <v>507</v>
      </c>
      <c r="B74" s="285" t="s">
        <v>2613</v>
      </c>
      <c r="C74" s="286"/>
      <c r="D74" s="210">
        <v>1.002</v>
      </c>
      <c r="E74" s="210">
        <v>1.002</v>
      </c>
      <c r="F74" s="210">
        <v>1.002</v>
      </c>
      <c r="G74" s="210">
        <v>1.0029999999999999</v>
      </c>
      <c r="H74" s="210">
        <v>1.002</v>
      </c>
    </row>
    <row r="75" spans="1:8" ht="21" customHeight="1" x14ac:dyDescent="0.2">
      <c r="A75" s="216">
        <v>508</v>
      </c>
      <c r="B75" s="285" t="s">
        <v>2614</v>
      </c>
      <c r="C75" s="286"/>
      <c r="D75" s="210">
        <v>0.98399999999999999</v>
      </c>
      <c r="E75" s="210">
        <v>0.99199999999999999</v>
      </c>
      <c r="F75" s="210">
        <v>0.98599999999999999</v>
      </c>
      <c r="G75" s="210">
        <v>0.99299999999999999</v>
      </c>
      <c r="H75" s="210">
        <v>0.98599999999999999</v>
      </c>
    </row>
    <row r="76" spans="1:8" ht="21" customHeight="1" x14ac:dyDescent="0.2">
      <c r="A76" s="216">
        <v>509</v>
      </c>
      <c r="B76" s="285" t="s">
        <v>2615</v>
      </c>
      <c r="C76" s="286"/>
      <c r="D76" s="210">
        <v>0.99299999999999999</v>
      </c>
      <c r="E76" s="210">
        <v>0.997</v>
      </c>
      <c r="F76" s="210">
        <v>0.99399999999999999</v>
      </c>
      <c r="G76" s="210">
        <v>0.999</v>
      </c>
      <c r="H76" s="210">
        <v>0.99399999999999999</v>
      </c>
    </row>
    <row r="77" spans="1:8" ht="21" customHeight="1" x14ac:dyDescent="0.2">
      <c r="A77" s="216">
        <v>510</v>
      </c>
      <c r="B77" s="285" t="s">
        <v>2616</v>
      </c>
      <c r="C77" s="286"/>
      <c r="D77" s="210">
        <v>1.0029999999999999</v>
      </c>
      <c r="E77" s="210">
        <v>1.002</v>
      </c>
      <c r="F77" s="210">
        <v>1.002</v>
      </c>
      <c r="G77" s="210">
        <v>1.002</v>
      </c>
      <c r="H77" s="210">
        <v>1.0029999999999999</v>
      </c>
    </row>
    <row r="78" spans="1:8" ht="21" customHeight="1" x14ac:dyDescent="0.2">
      <c r="A78" s="216">
        <v>511</v>
      </c>
      <c r="B78" s="285" t="s">
        <v>2617</v>
      </c>
      <c r="C78" s="286"/>
      <c r="D78" s="210">
        <v>1.02</v>
      </c>
      <c r="E78" s="210">
        <v>1.01</v>
      </c>
      <c r="F78" s="210">
        <v>1.016</v>
      </c>
      <c r="G78" s="210">
        <v>1.0129999999999999</v>
      </c>
      <c r="H78" s="210">
        <v>1.016</v>
      </c>
    </row>
    <row r="79" spans="1:8" ht="21" customHeight="1" x14ac:dyDescent="0.2">
      <c r="A79" s="216">
        <v>512</v>
      </c>
      <c r="B79" s="285" t="s">
        <v>2618</v>
      </c>
      <c r="C79" s="286"/>
      <c r="D79" s="210">
        <v>1.02</v>
      </c>
      <c r="E79" s="210">
        <v>1.0109999999999999</v>
      </c>
      <c r="F79" s="210">
        <v>1.0169999999999999</v>
      </c>
      <c r="G79" s="210">
        <v>1.016</v>
      </c>
      <c r="H79" s="210">
        <v>1.0189999999999999</v>
      </c>
    </row>
    <row r="80" spans="1:8" ht="21" customHeight="1" x14ac:dyDescent="0.2">
      <c r="A80" s="216">
        <v>513</v>
      </c>
      <c r="B80" s="285" t="s">
        <v>2619</v>
      </c>
      <c r="C80" s="286"/>
      <c r="D80" s="210">
        <v>1.0129999999999999</v>
      </c>
      <c r="E80" s="210">
        <v>1.012</v>
      </c>
      <c r="F80" s="210">
        <v>1.0129999999999999</v>
      </c>
      <c r="G80" s="210">
        <v>1.012</v>
      </c>
      <c r="H80" s="210">
        <v>1.0129999999999999</v>
      </c>
    </row>
    <row r="81" spans="1:8" ht="21" customHeight="1" x14ac:dyDescent="0.2">
      <c r="A81" s="216">
        <v>514</v>
      </c>
      <c r="B81" s="285" t="s">
        <v>2620</v>
      </c>
      <c r="C81" s="286"/>
      <c r="D81" s="210">
        <v>1.012</v>
      </c>
      <c r="E81" s="210">
        <v>1.0029999999999999</v>
      </c>
      <c r="F81" s="210">
        <v>1.01</v>
      </c>
      <c r="G81" s="210">
        <v>1.0069999999999999</v>
      </c>
      <c r="H81" s="210">
        <v>1.0109999999999999</v>
      </c>
    </row>
    <row r="82" spans="1:8" ht="21" customHeight="1" x14ac:dyDescent="0.2">
      <c r="A82" s="216">
        <v>515</v>
      </c>
      <c r="B82" s="285" t="s">
        <v>2621</v>
      </c>
      <c r="C82" s="286"/>
      <c r="D82" s="210">
        <v>1.012</v>
      </c>
      <c r="E82" s="210">
        <v>1.006</v>
      </c>
      <c r="F82" s="210">
        <v>1.012</v>
      </c>
      <c r="G82" s="210">
        <v>1.006</v>
      </c>
      <c r="H82" s="210">
        <v>1.0069999999999999</v>
      </c>
    </row>
    <row r="83" spans="1:8" ht="21" customHeight="1" x14ac:dyDescent="0.2">
      <c r="A83" s="216">
        <v>516</v>
      </c>
      <c r="B83" s="285" t="s">
        <v>2622</v>
      </c>
      <c r="C83" s="286"/>
      <c r="D83" s="210">
        <v>1.032</v>
      </c>
      <c r="E83" s="210">
        <v>1.0189999999999999</v>
      </c>
      <c r="F83" s="210">
        <v>1.028</v>
      </c>
      <c r="G83" s="210">
        <v>1.0229999999999999</v>
      </c>
      <c r="H83" s="210">
        <v>1.0269999999999999</v>
      </c>
    </row>
    <row r="84" spans="1:8" ht="21" customHeight="1" x14ac:dyDescent="0.2">
      <c r="A84" s="216">
        <v>517</v>
      </c>
      <c r="B84" s="285" t="s">
        <v>2623</v>
      </c>
      <c r="C84" s="286"/>
      <c r="D84" s="210">
        <v>1.0229999999999999</v>
      </c>
      <c r="E84" s="210">
        <v>1.0109999999999999</v>
      </c>
      <c r="F84" s="210">
        <v>1.0189999999999999</v>
      </c>
      <c r="G84" s="210">
        <v>1.0149999999999999</v>
      </c>
      <c r="H84" s="210">
        <v>1.0189999999999999</v>
      </c>
    </row>
    <row r="85" spans="1:8" ht="21" customHeight="1" x14ac:dyDescent="0.2">
      <c r="A85" s="216">
        <v>518</v>
      </c>
      <c r="B85" s="285" t="s">
        <v>2624</v>
      </c>
      <c r="C85" s="286"/>
      <c r="D85" s="210">
        <v>1.0309999999999999</v>
      </c>
      <c r="E85" s="210">
        <v>1.0249999999999999</v>
      </c>
      <c r="F85" s="210">
        <v>1.028</v>
      </c>
      <c r="G85" s="210">
        <v>1.0249999999999999</v>
      </c>
      <c r="H85" s="210">
        <v>1.0289999999999999</v>
      </c>
    </row>
    <row r="86" spans="1:8" ht="21" customHeight="1" x14ac:dyDescent="0.2">
      <c r="A86" s="216">
        <v>519</v>
      </c>
      <c r="B86" s="285" t="s">
        <v>2625</v>
      </c>
      <c r="C86" s="286"/>
      <c r="D86" s="210">
        <v>1.0580000000000001</v>
      </c>
      <c r="E86" s="210">
        <v>1.046</v>
      </c>
      <c r="F86" s="210">
        <v>1.0569999999999999</v>
      </c>
      <c r="G86" s="210">
        <v>1.0489999999999999</v>
      </c>
      <c r="H86" s="210">
        <v>1.052</v>
      </c>
    </row>
    <row r="87" spans="1:8" ht="21" customHeight="1" x14ac:dyDescent="0.2">
      <c r="A87" s="216">
        <v>520</v>
      </c>
      <c r="B87" s="285" t="s">
        <v>2626</v>
      </c>
      <c r="C87" s="286"/>
      <c r="D87" s="210">
        <v>1.0549999999999999</v>
      </c>
      <c r="E87" s="210">
        <v>1.0369999999999999</v>
      </c>
      <c r="F87" s="210">
        <v>1.052</v>
      </c>
      <c r="G87" s="210">
        <v>1.0409999999999999</v>
      </c>
      <c r="H87" s="210">
        <v>1.046</v>
      </c>
    </row>
    <row r="88" spans="1:8" ht="21" customHeight="1" x14ac:dyDescent="0.2">
      <c r="A88" s="216">
        <v>521</v>
      </c>
      <c r="B88" s="285" t="s">
        <v>2627</v>
      </c>
      <c r="C88" s="286"/>
      <c r="D88" s="210">
        <v>1.0589999999999999</v>
      </c>
      <c r="E88" s="210">
        <v>1.0289999999999999</v>
      </c>
      <c r="F88" s="210">
        <v>1.0529999999999999</v>
      </c>
      <c r="G88" s="210">
        <v>1.0389999999999999</v>
      </c>
      <c r="H88" s="210">
        <v>1.0489999999999999</v>
      </c>
    </row>
    <row r="89" spans="1:8" ht="21" customHeight="1" x14ac:dyDescent="0.2">
      <c r="A89" s="216">
        <v>522</v>
      </c>
      <c r="B89" s="285" t="s">
        <v>2628</v>
      </c>
      <c r="C89" s="286"/>
      <c r="D89" s="210">
        <v>1.034</v>
      </c>
      <c r="E89" s="210">
        <v>1.0129999999999999</v>
      </c>
      <c r="F89" s="210">
        <v>1.018</v>
      </c>
      <c r="G89" s="210">
        <v>1.0289999999999999</v>
      </c>
      <c r="H89" s="210">
        <v>1.032</v>
      </c>
    </row>
    <row r="90" spans="1:8" ht="21" customHeight="1" x14ac:dyDescent="0.2">
      <c r="A90" s="216">
        <v>523</v>
      </c>
      <c r="B90" s="285" t="s">
        <v>2629</v>
      </c>
      <c r="C90" s="286"/>
      <c r="D90" s="210">
        <v>1.0680000000000001</v>
      </c>
      <c r="E90" s="210">
        <v>1.046</v>
      </c>
      <c r="F90" s="210">
        <v>1.0629999999999999</v>
      </c>
      <c r="G90" s="210">
        <v>1.054</v>
      </c>
      <c r="H90" s="210">
        <v>1.052</v>
      </c>
    </row>
    <row r="91" spans="1:8" ht="21" customHeight="1" x14ac:dyDescent="0.2">
      <c r="A91" s="216">
        <v>524</v>
      </c>
      <c r="B91" s="285" t="s">
        <v>2630</v>
      </c>
      <c r="C91" s="286"/>
      <c r="D91" s="210">
        <v>1.083</v>
      </c>
      <c r="E91" s="210">
        <v>1.0669999999999999</v>
      </c>
      <c r="F91" s="210">
        <v>1.075</v>
      </c>
      <c r="G91" s="210">
        <v>1.0780000000000001</v>
      </c>
      <c r="H91" s="210">
        <v>1.077</v>
      </c>
    </row>
    <row r="92" spans="1:8" ht="21" customHeight="1" x14ac:dyDescent="0.2">
      <c r="A92" s="216">
        <v>525</v>
      </c>
      <c r="B92" s="285" t="s">
        <v>2939</v>
      </c>
      <c r="C92" s="286"/>
      <c r="D92" s="210">
        <v>1.0469999999999999</v>
      </c>
      <c r="E92" s="210">
        <v>1.0149999999999999</v>
      </c>
      <c r="F92" s="210">
        <v>1.012</v>
      </c>
      <c r="G92" s="210">
        <v>1.0349999999999999</v>
      </c>
      <c r="H92" s="210">
        <v>1.04</v>
      </c>
    </row>
    <row r="93" spans="1:8" ht="21" customHeight="1" x14ac:dyDescent="0.2">
      <c r="A93" s="216">
        <v>526</v>
      </c>
      <c r="B93" s="285" t="s">
        <v>2631</v>
      </c>
      <c r="C93" s="286"/>
      <c r="D93" s="210">
        <v>1.0920000000000001</v>
      </c>
      <c r="E93" s="210">
        <v>1.0660000000000001</v>
      </c>
      <c r="F93" s="210">
        <v>1.08</v>
      </c>
      <c r="G93" s="210">
        <v>1.073</v>
      </c>
      <c r="H93" s="210">
        <v>1.075</v>
      </c>
    </row>
    <row r="94" spans="1:8" ht="21" customHeight="1" x14ac:dyDescent="0.2">
      <c r="A94" s="216">
        <v>527</v>
      </c>
      <c r="B94" s="285" t="s">
        <v>2632</v>
      </c>
      <c r="C94" s="286"/>
      <c r="D94" s="210">
        <v>1.05</v>
      </c>
      <c r="E94" s="210">
        <v>1.038</v>
      </c>
      <c r="F94" s="210">
        <v>1.0469999999999999</v>
      </c>
      <c r="G94" s="210">
        <v>1.04</v>
      </c>
      <c r="H94" s="210">
        <v>1.0449999999999999</v>
      </c>
    </row>
    <row r="95" spans="1:8" ht="21" customHeight="1" x14ac:dyDescent="0.2">
      <c r="A95" s="216">
        <v>528</v>
      </c>
      <c r="B95" s="285" t="s">
        <v>2633</v>
      </c>
      <c r="C95" s="286"/>
      <c r="D95" s="210">
        <v>1.0289999999999999</v>
      </c>
      <c r="E95" s="210">
        <v>1.0229999999999999</v>
      </c>
      <c r="F95" s="210">
        <v>1.0289999999999999</v>
      </c>
      <c r="G95" s="210">
        <v>1.0229999999999999</v>
      </c>
      <c r="H95" s="210">
        <v>1.0249999999999999</v>
      </c>
    </row>
    <row r="96" spans="1:8" ht="21" customHeight="1" x14ac:dyDescent="0.2">
      <c r="A96" s="216">
        <v>529</v>
      </c>
      <c r="B96" s="285" t="s">
        <v>2634</v>
      </c>
      <c r="C96" s="286"/>
      <c r="D96" s="210">
        <v>1.0369999999999999</v>
      </c>
      <c r="E96" s="210">
        <v>1.02</v>
      </c>
      <c r="F96" s="210">
        <v>1.034</v>
      </c>
      <c r="G96" s="210">
        <v>1.0269999999999999</v>
      </c>
      <c r="H96" s="210">
        <v>1.024</v>
      </c>
    </row>
    <row r="97" spans="1:8" ht="21" customHeight="1" x14ac:dyDescent="0.2">
      <c r="A97" s="216">
        <v>530</v>
      </c>
      <c r="B97" s="285" t="s">
        <v>2635</v>
      </c>
      <c r="C97" s="286"/>
      <c r="D97" s="210">
        <v>1.0169999999999999</v>
      </c>
      <c r="E97" s="210">
        <v>1.014</v>
      </c>
      <c r="F97" s="210">
        <v>1.016</v>
      </c>
      <c r="G97" s="210">
        <v>1.0149999999999999</v>
      </c>
      <c r="H97" s="210">
        <v>1.014</v>
      </c>
    </row>
    <row r="98" spans="1:8" ht="21" customHeight="1" x14ac:dyDescent="0.2">
      <c r="A98" s="216">
        <v>531</v>
      </c>
      <c r="B98" s="285" t="s">
        <v>2636</v>
      </c>
      <c r="C98" s="286"/>
      <c r="D98" s="210">
        <v>1.089</v>
      </c>
      <c r="E98" s="210">
        <v>1.0469999999999999</v>
      </c>
      <c r="F98" s="210">
        <v>1.0760000000000001</v>
      </c>
      <c r="G98" s="210">
        <v>1.06</v>
      </c>
      <c r="H98" s="210">
        <v>1.073</v>
      </c>
    </row>
    <row r="99" spans="1:8" ht="21" customHeight="1" x14ac:dyDescent="0.2">
      <c r="A99" s="216">
        <v>532</v>
      </c>
      <c r="B99" s="285" t="s">
        <v>2637</v>
      </c>
      <c r="C99" s="286"/>
      <c r="D99" s="210">
        <v>1.0680000000000001</v>
      </c>
      <c r="E99" s="210">
        <v>1.0629999999999999</v>
      </c>
      <c r="F99" s="210">
        <v>1.0669999999999999</v>
      </c>
      <c r="G99" s="210">
        <v>1.0640000000000001</v>
      </c>
      <c r="H99" s="210">
        <v>1.069</v>
      </c>
    </row>
    <row r="100" spans="1:8" ht="21" customHeight="1" x14ac:dyDescent="0.2">
      <c r="A100" s="216">
        <v>533</v>
      </c>
      <c r="B100" s="285" t="s">
        <v>2638</v>
      </c>
      <c r="C100" s="286"/>
      <c r="D100" s="210">
        <v>1.036</v>
      </c>
      <c r="E100" s="210">
        <v>1.0229999999999999</v>
      </c>
      <c r="F100" s="210">
        <v>1.0329999999999999</v>
      </c>
      <c r="G100" s="210">
        <v>1.0269999999999999</v>
      </c>
      <c r="H100" s="210">
        <v>1.0349999999999999</v>
      </c>
    </row>
    <row r="101" spans="1:8" ht="21" customHeight="1" x14ac:dyDescent="0.2">
      <c r="A101" s="216">
        <v>534</v>
      </c>
      <c r="B101" s="285" t="s">
        <v>2639</v>
      </c>
      <c r="C101" s="286"/>
      <c r="D101" s="210">
        <v>1.0069999999999999</v>
      </c>
      <c r="E101" s="210">
        <v>1.0049999999999999</v>
      </c>
      <c r="F101" s="210">
        <v>1.0069999999999999</v>
      </c>
      <c r="G101" s="210">
        <v>1.006</v>
      </c>
      <c r="H101" s="210">
        <v>1.0069999999999999</v>
      </c>
    </row>
    <row r="102" spans="1:8" ht="21" customHeight="1" x14ac:dyDescent="0.2">
      <c r="A102" s="216">
        <v>535</v>
      </c>
      <c r="B102" s="285" t="s">
        <v>2640</v>
      </c>
      <c r="C102" s="286"/>
      <c r="D102" s="210">
        <v>1.036</v>
      </c>
      <c r="E102" s="210">
        <v>1.0289999999999999</v>
      </c>
      <c r="F102" s="210">
        <v>1.0309999999999999</v>
      </c>
      <c r="G102" s="210">
        <v>1.022</v>
      </c>
      <c r="H102" s="210">
        <v>1.032</v>
      </c>
    </row>
    <row r="103" spans="1:8" ht="21" customHeight="1" x14ac:dyDescent="0.2">
      <c r="A103" s="216">
        <v>536</v>
      </c>
      <c r="B103" s="285" t="s">
        <v>2641</v>
      </c>
      <c r="C103" s="286"/>
      <c r="D103" s="210">
        <v>1.0089999999999999</v>
      </c>
      <c r="E103" s="210">
        <v>1.0049999999999999</v>
      </c>
      <c r="F103" s="210">
        <v>1.008</v>
      </c>
      <c r="G103" s="210">
        <v>1.0049999999999999</v>
      </c>
      <c r="H103" s="210">
        <v>1.008</v>
      </c>
    </row>
    <row r="104" spans="1:8" ht="21" customHeight="1" x14ac:dyDescent="0.2">
      <c r="A104" s="216">
        <v>537</v>
      </c>
      <c r="B104" s="285" t="s">
        <v>2642</v>
      </c>
      <c r="C104" s="286"/>
      <c r="D104" s="210">
        <v>1.0109999999999999</v>
      </c>
      <c r="E104" s="210">
        <v>1.0049999999999999</v>
      </c>
      <c r="F104" s="210">
        <v>1.0089999999999999</v>
      </c>
      <c r="G104" s="210">
        <v>1.0069999999999999</v>
      </c>
      <c r="H104" s="210">
        <v>1.008</v>
      </c>
    </row>
    <row r="105" spans="1:8" ht="21" customHeight="1" x14ac:dyDescent="0.2">
      <c r="A105" s="216">
        <v>538</v>
      </c>
      <c r="B105" s="285" t="s">
        <v>2643</v>
      </c>
      <c r="C105" s="286"/>
      <c r="D105" s="210">
        <v>1.0389999999999999</v>
      </c>
      <c r="E105" s="210">
        <v>1.026</v>
      </c>
      <c r="F105" s="210">
        <v>1.042</v>
      </c>
      <c r="G105" s="210">
        <v>1.0329999999999999</v>
      </c>
      <c r="H105" s="210">
        <v>1.0289999999999999</v>
      </c>
    </row>
    <row r="106" spans="1:8" ht="21" customHeight="1" x14ac:dyDescent="0.2">
      <c r="A106" s="216">
        <v>539</v>
      </c>
      <c r="B106" s="285" t="s">
        <v>2644</v>
      </c>
      <c r="C106" s="286"/>
      <c r="D106" s="210">
        <v>0.97399999999999998</v>
      </c>
      <c r="E106" s="210">
        <v>0.99099999999999999</v>
      </c>
      <c r="F106" s="210">
        <v>0.98</v>
      </c>
      <c r="G106" s="210">
        <v>0.98</v>
      </c>
      <c r="H106" s="210">
        <v>0.97799999999999998</v>
      </c>
    </row>
    <row r="107" spans="1:8" ht="21" customHeight="1" x14ac:dyDescent="0.2">
      <c r="A107" s="216">
        <v>540</v>
      </c>
      <c r="B107" s="285" t="s">
        <v>2645</v>
      </c>
      <c r="C107" s="286"/>
      <c r="D107" s="210">
        <v>1.0549999999999999</v>
      </c>
      <c r="E107" s="210">
        <v>1.03</v>
      </c>
      <c r="F107" s="210">
        <v>1.0449999999999999</v>
      </c>
      <c r="G107" s="210">
        <v>1.036</v>
      </c>
      <c r="H107" s="210">
        <v>1.044</v>
      </c>
    </row>
    <row r="108" spans="1:8" ht="21" customHeight="1" x14ac:dyDescent="0.2">
      <c r="A108" s="216">
        <v>541</v>
      </c>
      <c r="B108" s="285" t="s">
        <v>2646</v>
      </c>
      <c r="C108" s="286"/>
      <c r="D108" s="210">
        <v>0.995</v>
      </c>
      <c r="E108" s="210">
        <v>1</v>
      </c>
      <c r="F108" s="210">
        <v>0.996</v>
      </c>
      <c r="G108" s="210">
        <v>0.999</v>
      </c>
      <c r="H108" s="210">
        <v>0.996</v>
      </c>
    </row>
    <row r="109" spans="1:8" ht="21" customHeight="1" x14ac:dyDescent="0.2">
      <c r="A109" s="216">
        <v>542</v>
      </c>
      <c r="B109" s="285" t="s">
        <v>2647</v>
      </c>
      <c r="C109" s="286"/>
      <c r="D109" s="210">
        <v>1.036</v>
      </c>
      <c r="E109" s="210">
        <v>1.022</v>
      </c>
      <c r="F109" s="210">
        <v>1.0349999999999999</v>
      </c>
      <c r="G109" s="210">
        <v>1.028</v>
      </c>
      <c r="H109" s="210">
        <v>1.0349999999999999</v>
      </c>
    </row>
    <row r="110" spans="1:8" ht="21" customHeight="1" x14ac:dyDescent="0.2">
      <c r="A110" s="216">
        <v>543</v>
      </c>
      <c r="B110" s="285" t="s">
        <v>2648</v>
      </c>
      <c r="C110" s="286"/>
      <c r="D110" s="210">
        <v>1.028</v>
      </c>
      <c r="E110" s="210">
        <v>1.022</v>
      </c>
      <c r="F110" s="210">
        <v>1.012</v>
      </c>
      <c r="G110" s="210">
        <v>1.022</v>
      </c>
      <c r="H110" s="210">
        <v>1.0289999999999999</v>
      </c>
    </row>
    <row r="111" spans="1:8" ht="21" customHeight="1" x14ac:dyDescent="0.2">
      <c r="A111" s="216">
        <v>544</v>
      </c>
      <c r="B111" s="285" t="s">
        <v>2649</v>
      </c>
      <c r="C111" s="286"/>
      <c r="D111" s="210">
        <v>1.006</v>
      </c>
      <c r="E111" s="210">
        <v>1.004</v>
      </c>
      <c r="F111" s="210">
        <v>1.0049999999999999</v>
      </c>
      <c r="G111" s="210">
        <v>1.0029999999999999</v>
      </c>
      <c r="H111" s="210">
        <v>1.0049999999999999</v>
      </c>
    </row>
    <row r="112" spans="1:8" ht="21" customHeight="1" x14ac:dyDescent="0.2">
      <c r="A112" s="216">
        <v>545</v>
      </c>
      <c r="B112" s="285" t="s">
        <v>2650</v>
      </c>
      <c r="C112" s="286"/>
      <c r="D112" s="210">
        <v>1.03</v>
      </c>
      <c r="E112" s="210">
        <v>1.0229999999999999</v>
      </c>
      <c r="F112" s="210">
        <v>1.0289999999999999</v>
      </c>
      <c r="G112" s="210">
        <v>1.018</v>
      </c>
      <c r="H112" s="210">
        <v>1.022</v>
      </c>
    </row>
    <row r="113" spans="1:8" ht="21" customHeight="1" x14ac:dyDescent="0.2">
      <c r="A113" s="216">
        <v>546</v>
      </c>
      <c r="B113" s="285" t="s">
        <v>2651</v>
      </c>
      <c r="C113" s="286"/>
      <c r="D113" s="210">
        <v>1.0149999999999999</v>
      </c>
      <c r="E113" s="210">
        <v>1.014</v>
      </c>
      <c r="F113" s="210">
        <v>1.016</v>
      </c>
      <c r="G113" s="210">
        <v>1.01</v>
      </c>
      <c r="H113" s="210">
        <v>1.01</v>
      </c>
    </row>
    <row r="114" spans="1:8" ht="21" customHeight="1" x14ac:dyDescent="0.2">
      <c r="A114" s="216">
        <v>547</v>
      </c>
      <c r="B114" s="285" t="s">
        <v>2652</v>
      </c>
      <c r="C114" s="286"/>
      <c r="D114" s="210">
        <v>1.02</v>
      </c>
      <c r="E114" s="210">
        <v>1.0189999999999999</v>
      </c>
      <c r="F114" s="210">
        <v>1.02</v>
      </c>
      <c r="G114" s="210">
        <v>1.018</v>
      </c>
      <c r="H114" s="210">
        <v>1.0189999999999999</v>
      </c>
    </row>
    <row r="115" spans="1:8" ht="21" customHeight="1" x14ac:dyDescent="0.2">
      <c r="A115" s="216">
        <v>548</v>
      </c>
      <c r="B115" s="285" t="s">
        <v>2653</v>
      </c>
      <c r="C115" s="286"/>
      <c r="D115" s="210">
        <v>1</v>
      </c>
      <c r="E115" s="210">
        <v>1.002</v>
      </c>
      <c r="F115" s="210">
        <v>1.002</v>
      </c>
      <c r="G115" s="210">
        <v>1.0009999999999999</v>
      </c>
      <c r="H115" s="210">
        <v>1.0009999999999999</v>
      </c>
    </row>
    <row r="116" spans="1:8" ht="21" customHeight="1" x14ac:dyDescent="0.2">
      <c r="A116" s="216">
        <v>549</v>
      </c>
      <c r="B116" s="285" t="s">
        <v>2654</v>
      </c>
      <c r="C116" s="286"/>
      <c r="D116" s="210">
        <v>1.0509999999999999</v>
      </c>
      <c r="E116" s="210">
        <v>1.0389999999999999</v>
      </c>
      <c r="F116" s="210">
        <v>1.046</v>
      </c>
      <c r="G116" s="210">
        <v>1.0349999999999999</v>
      </c>
      <c r="H116" s="210">
        <v>1.04</v>
      </c>
    </row>
    <row r="117" spans="1:8" ht="21" customHeight="1" x14ac:dyDescent="0.2">
      <c r="A117" s="216">
        <v>550</v>
      </c>
      <c r="B117" s="285" t="s">
        <v>2655</v>
      </c>
      <c r="C117" s="286"/>
      <c r="D117" s="210">
        <v>0.98799999999999999</v>
      </c>
      <c r="E117" s="210">
        <v>0.99299999999999999</v>
      </c>
      <c r="F117" s="210">
        <v>0.98899999999999999</v>
      </c>
      <c r="G117" s="210">
        <v>0.99099999999999999</v>
      </c>
      <c r="H117" s="210">
        <v>0.98099999999999998</v>
      </c>
    </row>
    <row r="118" spans="1:8" ht="21" customHeight="1" x14ac:dyDescent="0.2">
      <c r="A118" s="216">
        <v>551</v>
      </c>
      <c r="B118" s="285" t="s">
        <v>2656</v>
      </c>
      <c r="C118" s="286"/>
      <c r="D118" s="210">
        <v>1.024</v>
      </c>
      <c r="E118" s="210">
        <v>1.0169999999999999</v>
      </c>
      <c r="F118" s="210">
        <v>1.022</v>
      </c>
      <c r="G118" s="210">
        <v>1.0149999999999999</v>
      </c>
      <c r="H118" s="210">
        <v>1.0189999999999999</v>
      </c>
    </row>
    <row r="119" spans="1:8" ht="21" customHeight="1" x14ac:dyDescent="0.2">
      <c r="A119" s="216">
        <v>552</v>
      </c>
      <c r="B119" s="285" t="s">
        <v>2657</v>
      </c>
      <c r="C119" s="286"/>
      <c r="D119" s="210">
        <v>1.0129999999999999</v>
      </c>
      <c r="E119" s="210">
        <v>1.008</v>
      </c>
      <c r="F119" s="210">
        <v>1.012</v>
      </c>
      <c r="G119" s="210">
        <v>1.008</v>
      </c>
      <c r="H119" s="210">
        <v>1.0109999999999999</v>
      </c>
    </row>
    <row r="120" spans="1:8" ht="21" customHeight="1" x14ac:dyDescent="0.2">
      <c r="A120" s="216">
        <v>553</v>
      </c>
      <c r="B120" s="285" t="s">
        <v>2658</v>
      </c>
      <c r="C120" s="286"/>
      <c r="D120" s="210">
        <v>1.0169999999999999</v>
      </c>
      <c r="E120" s="210">
        <v>1.0049999999999999</v>
      </c>
      <c r="F120" s="210">
        <v>1.006</v>
      </c>
      <c r="G120" s="210">
        <v>1.0049999999999999</v>
      </c>
      <c r="H120" s="210">
        <v>1.006</v>
      </c>
    </row>
    <row r="121" spans="1:8" ht="21" customHeight="1" x14ac:dyDescent="0.2">
      <c r="A121" s="216">
        <v>554</v>
      </c>
      <c r="B121" s="285" t="s">
        <v>2659</v>
      </c>
      <c r="C121" s="286"/>
      <c r="D121" s="210">
        <v>1.052</v>
      </c>
      <c r="E121" s="210">
        <v>1.034</v>
      </c>
      <c r="F121" s="210">
        <v>1.052</v>
      </c>
      <c r="G121" s="210">
        <v>1.0409999999999999</v>
      </c>
      <c r="H121" s="210">
        <v>1.0509999999999999</v>
      </c>
    </row>
    <row r="122" spans="1:8" ht="21" customHeight="1" x14ac:dyDescent="0.2">
      <c r="A122" s="216">
        <v>555</v>
      </c>
      <c r="B122" s="285" t="s">
        <v>2660</v>
      </c>
      <c r="C122" s="286"/>
      <c r="D122" s="210">
        <v>1.032</v>
      </c>
      <c r="E122" s="210">
        <v>1.0169999999999999</v>
      </c>
      <c r="F122" s="210">
        <v>1.03</v>
      </c>
      <c r="G122" s="210">
        <v>0.96899999999999997</v>
      </c>
      <c r="H122" s="210">
        <v>1.028</v>
      </c>
    </row>
    <row r="123" spans="1:8" ht="21" customHeight="1" x14ac:dyDescent="0.2">
      <c r="A123" s="216">
        <v>556</v>
      </c>
      <c r="B123" s="285" t="s">
        <v>2661</v>
      </c>
      <c r="C123" s="286"/>
      <c r="D123" s="210">
        <v>0.97399999999999998</v>
      </c>
      <c r="E123" s="210">
        <v>0.99099999999999999</v>
      </c>
      <c r="F123" s="210">
        <v>0.98</v>
      </c>
      <c r="G123" s="210">
        <v>0.98</v>
      </c>
      <c r="H123" s="210">
        <v>0.97799999999999998</v>
      </c>
    </row>
    <row r="124" spans="1:8" ht="21" customHeight="1" x14ac:dyDescent="0.2">
      <c r="A124" s="216">
        <v>557</v>
      </c>
      <c r="B124" s="285" t="s">
        <v>2662</v>
      </c>
      <c r="C124" s="286"/>
      <c r="D124" s="210">
        <v>1.018</v>
      </c>
      <c r="E124" s="210">
        <v>1.018</v>
      </c>
      <c r="F124" s="210">
        <v>0.97599999999999998</v>
      </c>
      <c r="G124" s="210">
        <v>1.0169999999999999</v>
      </c>
      <c r="H124" s="210">
        <v>1.0209999999999999</v>
      </c>
    </row>
    <row r="125" spans="1:8" ht="21" customHeight="1" x14ac:dyDescent="0.2">
      <c r="A125" s="216">
        <v>558</v>
      </c>
      <c r="B125" s="285" t="s">
        <v>2663</v>
      </c>
      <c r="C125" s="286"/>
      <c r="D125" s="210">
        <v>1.0329999999999999</v>
      </c>
      <c r="E125" s="210">
        <v>1.024</v>
      </c>
      <c r="F125" s="210">
        <v>1.028</v>
      </c>
      <c r="G125" s="210">
        <v>1.0269999999999999</v>
      </c>
      <c r="H125" s="210">
        <v>1.03</v>
      </c>
    </row>
    <row r="126" spans="1:8" ht="21" customHeight="1" x14ac:dyDescent="0.2">
      <c r="A126" s="216">
        <v>559</v>
      </c>
      <c r="B126" s="285" t="s">
        <v>2664</v>
      </c>
      <c r="C126" s="286"/>
      <c r="D126" s="210">
        <v>1</v>
      </c>
      <c r="E126" s="210">
        <v>1</v>
      </c>
      <c r="F126" s="210">
        <v>1</v>
      </c>
      <c r="G126" s="210">
        <v>1</v>
      </c>
      <c r="H126" s="210">
        <v>1.0009999999999999</v>
      </c>
    </row>
    <row r="127" spans="1:8" ht="21" customHeight="1" x14ac:dyDescent="0.2">
      <c r="A127" s="216">
        <v>560</v>
      </c>
      <c r="B127" s="285" t="s">
        <v>2665</v>
      </c>
      <c r="C127" s="286"/>
      <c r="D127" s="210">
        <v>1.081</v>
      </c>
      <c r="E127" s="210">
        <v>1.0069999999999999</v>
      </c>
      <c r="F127" s="210">
        <v>1.016</v>
      </c>
      <c r="G127" s="210">
        <v>1.01</v>
      </c>
      <c r="H127" s="210">
        <v>1.012</v>
      </c>
    </row>
    <row r="128" spans="1:8" ht="21" customHeight="1" x14ac:dyDescent="0.2">
      <c r="A128" s="216">
        <v>561</v>
      </c>
      <c r="B128" s="285" t="s">
        <v>2666</v>
      </c>
      <c r="C128" s="286"/>
      <c r="D128" s="210">
        <v>1.038</v>
      </c>
      <c r="E128" s="210">
        <v>1.016</v>
      </c>
      <c r="F128" s="210">
        <v>1.0329999999999999</v>
      </c>
      <c r="G128" s="210">
        <v>1.0249999999999999</v>
      </c>
      <c r="H128" s="210">
        <v>1.0309999999999999</v>
      </c>
    </row>
    <row r="129" spans="1:8" ht="21" customHeight="1" x14ac:dyDescent="0.2">
      <c r="A129" s="216">
        <v>562</v>
      </c>
      <c r="B129" s="285" t="s">
        <v>2667</v>
      </c>
      <c r="C129" s="286"/>
      <c r="D129" s="210">
        <v>1.0009999999999999</v>
      </c>
      <c r="E129" s="210">
        <v>1.002</v>
      </c>
      <c r="F129" s="210">
        <v>1.0009999999999999</v>
      </c>
      <c r="G129" s="210">
        <v>1.0009999999999999</v>
      </c>
      <c r="H129" s="210">
        <v>1.022</v>
      </c>
    </row>
    <row r="130" spans="1:8" ht="21" customHeight="1" x14ac:dyDescent="0.2">
      <c r="A130" s="216">
        <v>563</v>
      </c>
      <c r="B130" s="285" t="s">
        <v>2668</v>
      </c>
      <c r="C130" s="286"/>
      <c r="D130" s="210">
        <v>1.054</v>
      </c>
      <c r="E130" s="210">
        <v>1.046</v>
      </c>
      <c r="F130" s="210">
        <v>1.0529999999999999</v>
      </c>
      <c r="G130" s="210">
        <v>1.0489999999999999</v>
      </c>
      <c r="H130" s="210">
        <v>0.97499999999999998</v>
      </c>
    </row>
    <row r="131" spans="1:8" ht="21" customHeight="1" x14ac:dyDescent="0.2">
      <c r="A131" s="216">
        <v>564</v>
      </c>
      <c r="B131" s="285" t="s">
        <v>2669</v>
      </c>
      <c r="C131" s="286"/>
      <c r="D131" s="210">
        <v>1.0289999999999999</v>
      </c>
      <c r="E131" s="210">
        <v>1.018</v>
      </c>
      <c r="F131" s="210">
        <v>1.0289999999999999</v>
      </c>
      <c r="G131" s="210">
        <v>1.024</v>
      </c>
      <c r="H131" s="210">
        <v>1.0249999999999999</v>
      </c>
    </row>
    <row r="132" spans="1:8" ht="21" customHeight="1" x14ac:dyDescent="0.2">
      <c r="A132" s="216">
        <v>565</v>
      </c>
      <c r="B132" s="285" t="s">
        <v>2670</v>
      </c>
      <c r="C132" s="286"/>
      <c r="D132" s="210">
        <v>1.008</v>
      </c>
      <c r="E132" s="210">
        <v>1.008</v>
      </c>
      <c r="F132" s="210">
        <v>1.008</v>
      </c>
      <c r="G132" s="210">
        <v>1.008</v>
      </c>
      <c r="H132" s="210">
        <v>1.008</v>
      </c>
    </row>
    <row r="133" spans="1:8" ht="21" customHeight="1" x14ac:dyDescent="0.2">
      <c r="A133" s="216">
        <v>566</v>
      </c>
      <c r="B133" s="285" t="s">
        <v>2671</v>
      </c>
      <c r="C133" s="286"/>
      <c r="D133" s="210">
        <v>1.016</v>
      </c>
      <c r="E133" s="210">
        <v>1.0209999999999999</v>
      </c>
      <c r="F133" s="210">
        <v>1.0129999999999999</v>
      </c>
      <c r="G133" s="210">
        <v>1.0109999999999999</v>
      </c>
      <c r="H133" s="210">
        <v>1.012</v>
      </c>
    </row>
    <row r="134" spans="1:8" ht="21" customHeight="1" x14ac:dyDescent="0.2">
      <c r="A134" s="216">
        <v>567</v>
      </c>
      <c r="B134" s="285" t="s">
        <v>2672</v>
      </c>
      <c r="C134" s="286"/>
      <c r="D134" s="210">
        <v>1.032</v>
      </c>
      <c r="E134" s="210">
        <v>1.0329999999999999</v>
      </c>
      <c r="F134" s="210">
        <v>1.036</v>
      </c>
      <c r="G134" s="210">
        <v>1.032</v>
      </c>
      <c r="H134" s="210">
        <v>1.032</v>
      </c>
    </row>
    <row r="135" spans="1:8" ht="21" customHeight="1" x14ac:dyDescent="0.2">
      <c r="A135" s="216">
        <v>568</v>
      </c>
      <c r="B135" s="285" t="s">
        <v>2673</v>
      </c>
      <c r="C135" s="286"/>
      <c r="D135" s="210">
        <v>1.014</v>
      </c>
      <c r="E135" s="210">
        <v>1.008</v>
      </c>
      <c r="F135" s="210">
        <v>1.014</v>
      </c>
      <c r="G135" s="210">
        <v>1.0109999999999999</v>
      </c>
      <c r="H135" s="210">
        <v>1.012</v>
      </c>
    </row>
    <row r="136" spans="1:8" ht="21" customHeight="1" x14ac:dyDescent="0.2">
      <c r="A136" s="216">
        <v>569</v>
      </c>
      <c r="B136" s="285" t="s">
        <v>2674</v>
      </c>
      <c r="C136" s="286"/>
      <c r="D136" s="210">
        <v>1.024</v>
      </c>
      <c r="E136" s="210">
        <v>1.022</v>
      </c>
      <c r="F136" s="210">
        <v>1.018</v>
      </c>
      <c r="G136" s="210">
        <v>1.022</v>
      </c>
      <c r="H136" s="210">
        <v>1.022</v>
      </c>
    </row>
    <row r="137" spans="1:8" ht="21" customHeight="1" x14ac:dyDescent="0.2">
      <c r="A137" s="216">
        <v>570</v>
      </c>
      <c r="B137" s="285" t="s">
        <v>2675</v>
      </c>
      <c r="C137" s="286"/>
      <c r="D137" s="210">
        <v>1.014</v>
      </c>
      <c r="E137" s="210">
        <v>1.008</v>
      </c>
      <c r="F137" s="210">
        <v>1.0089999999999999</v>
      </c>
      <c r="G137" s="210">
        <v>1.008</v>
      </c>
      <c r="H137" s="210">
        <v>1.01</v>
      </c>
    </row>
    <row r="138" spans="1:8" ht="21" customHeight="1" x14ac:dyDescent="0.2">
      <c r="A138" s="216">
        <v>571</v>
      </c>
      <c r="B138" s="285" t="s">
        <v>2676</v>
      </c>
      <c r="C138" s="286"/>
      <c r="D138" s="210">
        <v>1.004</v>
      </c>
      <c r="E138" s="210">
        <v>1.0029999999999999</v>
      </c>
      <c r="F138" s="210">
        <v>1.0049999999999999</v>
      </c>
      <c r="G138" s="210">
        <v>1.0029999999999999</v>
      </c>
      <c r="H138" s="210">
        <v>1.004</v>
      </c>
    </row>
    <row r="139" spans="1:8" ht="21" customHeight="1" x14ac:dyDescent="0.2">
      <c r="A139" s="216">
        <v>572</v>
      </c>
      <c r="B139" s="285" t="s">
        <v>2677</v>
      </c>
      <c r="C139" s="286"/>
      <c r="D139" s="210">
        <v>1.0149999999999999</v>
      </c>
      <c r="E139" s="210">
        <v>1.01</v>
      </c>
      <c r="F139" s="210">
        <v>1.0149999999999999</v>
      </c>
      <c r="G139" s="210">
        <v>1.012</v>
      </c>
      <c r="H139" s="210">
        <v>1.0109999999999999</v>
      </c>
    </row>
    <row r="140" spans="1:8" ht="21" customHeight="1" x14ac:dyDescent="0.2">
      <c r="A140" s="216">
        <v>573</v>
      </c>
      <c r="B140" s="285" t="s">
        <v>2678</v>
      </c>
      <c r="C140" s="286"/>
      <c r="D140" s="210">
        <v>1.0389999999999999</v>
      </c>
      <c r="E140" s="210">
        <v>1.0309999999999999</v>
      </c>
      <c r="F140" s="210">
        <v>1.036</v>
      </c>
      <c r="G140" s="210">
        <v>1.028</v>
      </c>
      <c r="H140" s="210">
        <v>1.0269999999999999</v>
      </c>
    </row>
    <row r="141" spans="1:8" ht="21" customHeight="1" x14ac:dyDescent="0.2">
      <c r="A141" s="216">
        <v>574</v>
      </c>
      <c r="B141" s="285" t="s">
        <v>2679</v>
      </c>
      <c r="C141" s="286"/>
      <c r="D141" s="210">
        <v>1.036</v>
      </c>
      <c r="E141" s="210">
        <v>1.0269999999999999</v>
      </c>
      <c r="F141" s="210">
        <v>1.032</v>
      </c>
      <c r="G141" s="210">
        <v>1.0269999999999999</v>
      </c>
      <c r="H141" s="210">
        <v>1.032</v>
      </c>
    </row>
    <row r="142" spans="1:8" ht="21" customHeight="1" x14ac:dyDescent="0.2">
      <c r="A142" s="216">
        <v>575</v>
      </c>
      <c r="B142" s="285" t="s">
        <v>2680</v>
      </c>
      <c r="C142" s="286"/>
      <c r="D142" s="210">
        <v>1.0049999999999999</v>
      </c>
      <c r="E142" s="210">
        <v>1.0049999999999999</v>
      </c>
      <c r="F142" s="210">
        <v>1.006</v>
      </c>
      <c r="G142" s="210">
        <v>1.004</v>
      </c>
      <c r="H142" s="210">
        <v>1.004</v>
      </c>
    </row>
    <row r="143" spans="1:8" ht="21" customHeight="1" x14ac:dyDescent="0.2">
      <c r="A143" s="216">
        <v>576</v>
      </c>
      <c r="B143" s="285" t="s">
        <v>2681</v>
      </c>
      <c r="C143" s="286"/>
      <c r="D143" s="210">
        <v>1.004</v>
      </c>
      <c r="E143" s="210">
        <v>1.004</v>
      </c>
      <c r="F143" s="210">
        <v>1.004</v>
      </c>
      <c r="G143" s="210">
        <v>1.004</v>
      </c>
      <c r="H143" s="210">
        <v>1.004</v>
      </c>
    </row>
    <row r="144" spans="1:8" ht="21" customHeight="1" x14ac:dyDescent="0.2">
      <c r="A144" s="216">
        <v>577</v>
      </c>
      <c r="B144" s="285" t="s">
        <v>2682</v>
      </c>
      <c r="C144" s="286"/>
      <c r="D144" s="210">
        <v>1.008</v>
      </c>
      <c r="E144" s="210">
        <v>1.006</v>
      </c>
      <c r="F144" s="210">
        <v>1.0069999999999999</v>
      </c>
      <c r="G144" s="210">
        <v>1.006</v>
      </c>
      <c r="H144" s="210">
        <v>1.0069999999999999</v>
      </c>
    </row>
    <row r="145" spans="1:8" ht="21" customHeight="1" x14ac:dyDescent="0.2">
      <c r="A145" s="216">
        <v>578</v>
      </c>
      <c r="B145" s="285" t="s">
        <v>2683</v>
      </c>
      <c r="C145" s="286"/>
      <c r="D145" s="210">
        <v>1.0549999999999999</v>
      </c>
      <c r="E145" s="210">
        <v>1.028</v>
      </c>
      <c r="F145" s="210">
        <v>1.0509999999999999</v>
      </c>
      <c r="G145" s="210">
        <v>1.04</v>
      </c>
      <c r="H145" s="210">
        <v>1.044</v>
      </c>
    </row>
    <row r="146" spans="1:8" ht="21" customHeight="1" x14ac:dyDescent="0.2">
      <c r="A146" s="216">
        <v>579</v>
      </c>
      <c r="B146" s="285" t="s">
        <v>2684</v>
      </c>
      <c r="C146" s="286"/>
      <c r="D146" s="210">
        <v>1.0369999999999999</v>
      </c>
      <c r="E146" s="210">
        <v>1.03</v>
      </c>
      <c r="F146" s="210">
        <v>1.04</v>
      </c>
      <c r="G146" s="210">
        <v>1.0389999999999999</v>
      </c>
      <c r="H146" s="210">
        <v>1.034</v>
      </c>
    </row>
    <row r="147" spans="1:8" ht="21" customHeight="1" x14ac:dyDescent="0.2">
      <c r="A147" s="216">
        <v>580</v>
      </c>
      <c r="B147" s="285" t="s">
        <v>2685</v>
      </c>
      <c r="C147" s="286"/>
      <c r="D147" s="210">
        <v>1.022</v>
      </c>
      <c r="E147" s="210">
        <v>1.008</v>
      </c>
      <c r="F147" s="210">
        <v>1.0189999999999999</v>
      </c>
      <c r="G147" s="210">
        <v>1.0149999999999999</v>
      </c>
      <c r="H147" s="210">
        <v>1.0189999999999999</v>
      </c>
    </row>
    <row r="148" spans="1:8" ht="21" customHeight="1" x14ac:dyDescent="0.2">
      <c r="A148" s="216">
        <v>581</v>
      </c>
      <c r="B148" s="285" t="s">
        <v>2686</v>
      </c>
      <c r="C148" s="286"/>
      <c r="D148" s="210">
        <v>1.0189999999999999</v>
      </c>
      <c r="E148" s="210">
        <v>1.0089999999999999</v>
      </c>
      <c r="F148" s="210">
        <v>1.0169999999999999</v>
      </c>
      <c r="G148" s="210">
        <v>1.014</v>
      </c>
      <c r="H148" s="210">
        <v>1.0169999999999999</v>
      </c>
    </row>
    <row r="149" spans="1:8" ht="21" customHeight="1" x14ac:dyDescent="0.2">
      <c r="A149" s="216">
        <v>582</v>
      </c>
      <c r="B149" s="285" t="s">
        <v>2687</v>
      </c>
      <c r="C149" s="286"/>
      <c r="D149" s="210">
        <v>1.0049999999999999</v>
      </c>
      <c r="E149" s="210">
        <v>1.0049999999999999</v>
      </c>
      <c r="F149" s="210">
        <v>1.0049999999999999</v>
      </c>
      <c r="G149" s="210">
        <v>1.0049999999999999</v>
      </c>
      <c r="H149" s="210">
        <v>1.0049999999999999</v>
      </c>
    </row>
    <row r="150" spans="1:8" ht="21" customHeight="1" x14ac:dyDescent="0.2">
      <c r="A150" s="216">
        <v>583</v>
      </c>
      <c r="B150" s="285" t="s">
        <v>2688</v>
      </c>
      <c r="C150" s="286"/>
      <c r="D150" s="210">
        <v>1.026</v>
      </c>
      <c r="E150" s="210">
        <v>1.024</v>
      </c>
      <c r="F150" s="210">
        <v>1.026</v>
      </c>
      <c r="G150" s="210">
        <v>1.0249999999999999</v>
      </c>
      <c r="H150" s="210">
        <v>1.0249999999999999</v>
      </c>
    </row>
    <row r="151" spans="1:8" ht="21" customHeight="1" x14ac:dyDescent="0.2">
      <c r="A151" s="216">
        <v>584</v>
      </c>
      <c r="B151" s="285" t="s">
        <v>2689</v>
      </c>
      <c r="C151" s="286"/>
      <c r="D151" s="210">
        <v>1.018</v>
      </c>
      <c r="E151" s="210">
        <v>1.0089999999999999</v>
      </c>
      <c r="F151" s="210">
        <v>1.022</v>
      </c>
      <c r="G151" s="210">
        <v>1.0189999999999999</v>
      </c>
      <c r="H151" s="210">
        <v>1.0249999999999999</v>
      </c>
    </row>
    <row r="152" spans="1:8" ht="21" customHeight="1" x14ac:dyDescent="0.2">
      <c r="A152" s="218">
        <v>585</v>
      </c>
      <c r="B152" s="285" t="s">
        <v>2588</v>
      </c>
      <c r="C152" s="286"/>
      <c r="D152" s="210">
        <v>1.0509999999999999</v>
      </c>
      <c r="E152" s="210">
        <v>1.0389999999999999</v>
      </c>
      <c r="F152" s="210">
        <v>1.046</v>
      </c>
      <c r="G152" s="210">
        <v>1.0349999999999999</v>
      </c>
      <c r="H152" s="210">
        <v>1.04</v>
      </c>
    </row>
    <row r="153" spans="1:8" ht="21" customHeight="1" x14ac:dyDescent="0.2">
      <c r="A153" s="218">
        <v>586</v>
      </c>
      <c r="B153" s="285" t="s">
        <v>2589</v>
      </c>
      <c r="C153" s="286"/>
      <c r="D153" s="210">
        <v>1.0509999999999999</v>
      </c>
      <c r="E153" s="210">
        <v>1.0389999999999999</v>
      </c>
      <c r="F153" s="210">
        <v>1.046</v>
      </c>
      <c r="G153" s="210">
        <v>1.0349999999999999</v>
      </c>
      <c r="H153" s="210">
        <v>1.04</v>
      </c>
    </row>
    <row r="154" spans="1:8" ht="21" customHeight="1" x14ac:dyDescent="0.2">
      <c r="A154" s="218">
        <v>587</v>
      </c>
      <c r="B154" s="285" t="s">
        <v>2590</v>
      </c>
      <c r="C154" s="286"/>
      <c r="D154" s="210">
        <v>1.0509999999999999</v>
      </c>
      <c r="E154" s="210">
        <v>1.0389999999999999</v>
      </c>
      <c r="F154" s="210">
        <v>1.046</v>
      </c>
      <c r="G154" s="210">
        <v>1.0349999999999999</v>
      </c>
      <c r="H154" s="210">
        <v>1.04</v>
      </c>
    </row>
    <row r="155" spans="1:8" ht="21" customHeight="1" x14ac:dyDescent="0.2">
      <c r="A155" s="218">
        <v>589</v>
      </c>
      <c r="B155" s="285" t="s">
        <v>2591</v>
      </c>
      <c r="C155" s="286"/>
      <c r="D155" s="210">
        <v>1.0509999999999999</v>
      </c>
      <c r="E155" s="210">
        <v>1.0389999999999999</v>
      </c>
      <c r="F155" s="210">
        <v>1.046</v>
      </c>
      <c r="G155" s="210">
        <v>1.0349999999999999</v>
      </c>
      <c r="H155" s="210">
        <v>1.04</v>
      </c>
    </row>
    <row r="156" spans="1:8" ht="21" customHeight="1" x14ac:dyDescent="0.2">
      <c r="A156" s="218">
        <v>590</v>
      </c>
      <c r="B156" s="285" t="s">
        <v>2592</v>
      </c>
      <c r="C156" s="286"/>
      <c r="D156" s="210">
        <v>1.0509999999999999</v>
      </c>
      <c r="E156" s="210">
        <v>1.0389999999999999</v>
      </c>
      <c r="F156" s="210">
        <v>1.046</v>
      </c>
      <c r="G156" s="210">
        <v>1.0349999999999999</v>
      </c>
      <c r="H156" s="210">
        <v>1.04</v>
      </c>
    </row>
    <row r="157" spans="1:8" ht="21" customHeight="1" x14ac:dyDescent="0.2">
      <c r="A157" s="218">
        <v>591</v>
      </c>
      <c r="B157" s="285" t="s">
        <v>2593</v>
      </c>
      <c r="C157" s="286"/>
      <c r="D157" s="210">
        <v>1.0509999999999999</v>
      </c>
      <c r="E157" s="210">
        <v>1.0389999999999999</v>
      </c>
      <c r="F157" s="210">
        <v>1.046</v>
      </c>
      <c r="G157" s="210">
        <v>1.0349999999999999</v>
      </c>
      <c r="H157" s="210">
        <v>1.04</v>
      </c>
    </row>
    <row r="158" spans="1:8" ht="21" customHeight="1" x14ac:dyDescent="0.2">
      <c r="A158" s="218">
        <v>592</v>
      </c>
      <c r="B158" s="285" t="s">
        <v>2594</v>
      </c>
      <c r="C158" s="286"/>
      <c r="D158" s="210">
        <v>1.0509999999999999</v>
      </c>
      <c r="E158" s="210">
        <v>1.0389999999999999</v>
      </c>
      <c r="F158" s="210">
        <v>1.046</v>
      </c>
      <c r="G158" s="210">
        <v>1.0349999999999999</v>
      </c>
      <c r="H158" s="210">
        <v>1.04</v>
      </c>
    </row>
    <row r="159" spans="1:8" ht="21" customHeight="1" x14ac:dyDescent="0.2">
      <c r="A159" s="218">
        <v>593</v>
      </c>
      <c r="B159" s="285" t="s">
        <v>2595</v>
      </c>
      <c r="C159" s="286"/>
      <c r="D159" s="210">
        <v>1.0509999999999999</v>
      </c>
      <c r="E159" s="210">
        <v>1.0389999999999999</v>
      </c>
      <c r="F159" s="210">
        <v>1.046</v>
      </c>
      <c r="G159" s="210">
        <v>1.0349999999999999</v>
      </c>
      <c r="H159" s="210">
        <v>1.04</v>
      </c>
    </row>
    <row r="160" spans="1:8" ht="21" customHeight="1" x14ac:dyDescent="0.2">
      <c r="A160" s="218">
        <v>594</v>
      </c>
      <c r="B160" s="285" t="s">
        <v>2596</v>
      </c>
      <c r="C160" s="286"/>
      <c r="D160" s="210">
        <v>1.016</v>
      </c>
      <c r="E160" s="210">
        <v>1.0129999999999999</v>
      </c>
      <c r="F160" s="210">
        <v>1.0149999999999999</v>
      </c>
      <c r="G160" s="210">
        <v>1.0129999999999999</v>
      </c>
      <c r="H160" s="210">
        <v>1.0129999999999999</v>
      </c>
    </row>
    <row r="161" spans="1:8" ht="21" customHeight="1" x14ac:dyDescent="0.2">
      <c r="A161" s="218">
        <v>595</v>
      </c>
      <c r="B161" s="285" t="s">
        <v>2597</v>
      </c>
      <c r="C161" s="286"/>
      <c r="D161" s="210">
        <v>1.0509999999999999</v>
      </c>
      <c r="E161" s="210">
        <v>1.0389999999999999</v>
      </c>
      <c r="F161" s="210">
        <v>1.046</v>
      </c>
      <c r="G161" s="210">
        <v>1.0349999999999999</v>
      </c>
      <c r="H161" s="210">
        <v>1.04</v>
      </c>
    </row>
    <row r="162" spans="1:8" ht="21" customHeight="1" x14ac:dyDescent="0.2">
      <c r="A162" s="218">
        <v>596</v>
      </c>
      <c r="B162" s="285" t="s">
        <v>2598</v>
      </c>
      <c r="C162" s="286"/>
      <c r="D162" s="210">
        <v>1.0509999999999999</v>
      </c>
      <c r="E162" s="210">
        <v>1.0389999999999999</v>
      </c>
      <c r="F162" s="210">
        <v>1.046</v>
      </c>
      <c r="G162" s="210">
        <v>1.0349999999999999</v>
      </c>
      <c r="H162" s="210">
        <v>1.04</v>
      </c>
    </row>
    <row r="163" spans="1:8" ht="21" customHeight="1" x14ac:dyDescent="0.2">
      <c r="A163" s="218">
        <v>597</v>
      </c>
      <c r="B163" s="285" t="s">
        <v>2599</v>
      </c>
      <c r="C163" s="286"/>
      <c r="D163" s="210">
        <v>1.0509999999999999</v>
      </c>
      <c r="E163" s="210">
        <v>1.0389999999999999</v>
      </c>
      <c r="F163" s="210">
        <v>1.046</v>
      </c>
      <c r="G163" s="210">
        <v>1.0349999999999999</v>
      </c>
      <c r="H163" s="210">
        <v>1.04</v>
      </c>
    </row>
    <row r="164" spans="1:8" ht="21" customHeight="1" x14ac:dyDescent="0.2">
      <c r="A164" s="218">
        <v>598</v>
      </c>
      <c r="B164" s="285" t="s">
        <v>2600</v>
      </c>
      <c r="C164" s="286"/>
      <c r="D164" s="210">
        <v>1.0509999999999999</v>
      </c>
      <c r="E164" s="210">
        <v>1.0389999999999999</v>
      </c>
      <c r="F164" s="210">
        <v>1.046</v>
      </c>
      <c r="G164" s="210">
        <v>1.0349999999999999</v>
      </c>
      <c r="H164" s="210">
        <v>1.04</v>
      </c>
    </row>
    <row r="165" spans="1:8" ht="21" customHeight="1" x14ac:dyDescent="0.2">
      <c r="A165" s="218">
        <v>599</v>
      </c>
      <c r="B165" s="285" t="s">
        <v>2601</v>
      </c>
      <c r="C165" s="286"/>
      <c r="D165" s="210">
        <v>1.0509999999999999</v>
      </c>
      <c r="E165" s="210">
        <v>1.0389999999999999</v>
      </c>
      <c r="F165" s="210">
        <v>1.046</v>
      </c>
      <c r="G165" s="210">
        <v>1.0349999999999999</v>
      </c>
      <c r="H165" s="210">
        <v>1.04</v>
      </c>
    </row>
    <row r="166" spans="1:8" ht="21" customHeight="1" x14ac:dyDescent="0.2">
      <c r="A166" s="218">
        <v>612</v>
      </c>
      <c r="B166" s="285" t="s">
        <v>2690</v>
      </c>
      <c r="C166" s="286"/>
      <c r="D166" s="210">
        <v>1.016</v>
      </c>
      <c r="E166" s="210">
        <v>1.0129999999999999</v>
      </c>
      <c r="F166" s="210">
        <v>1.0149999999999999</v>
      </c>
      <c r="G166" s="210">
        <v>1.0129999999999999</v>
      </c>
      <c r="H166" s="210">
        <v>1.0129999999999999</v>
      </c>
    </row>
    <row r="167" spans="1:8" ht="21" customHeight="1" x14ac:dyDescent="0.2">
      <c r="A167" s="216">
        <v>800</v>
      </c>
      <c r="B167" s="285" t="s">
        <v>2691</v>
      </c>
      <c r="C167" s="286"/>
      <c r="D167" s="210">
        <v>1.026</v>
      </c>
      <c r="E167" s="210">
        <v>1.024</v>
      </c>
      <c r="F167" s="210">
        <v>1.028</v>
      </c>
      <c r="G167" s="210">
        <v>1.0249999999999999</v>
      </c>
      <c r="H167" s="210">
        <v>1.028</v>
      </c>
    </row>
    <row r="168" spans="1:8" ht="21" customHeight="1" x14ac:dyDescent="0.2">
      <c r="A168" s="216">
        <v>801</v>
      </c>
      <c r="B168" s="285" t="s">
        <v>2692</v>
      </c>
      <c r="C168" s="286"/>
      <c r="D168" s="210">
        <v>1.052</v>
      </c>
      <c r="E168" s="210">
        <v>1.0389999999999999</v>
      </c>
      <c r="F168" s="210">
        <v>1.0469999999999999</v>
      </c>
      <c r="G168" s="210">
        <v>1.036</v>
      </c>
      <c r="H168" s="210">
        <v>1.0409999999999999</v>
      </c>
    </row>
    <row r="169" spans="1:8" ht="21" customHeight="1" x14ac:dyDescent="0.2">
      <c r="A169" s="216">
        <v>802</v>
      </c>
      <c r="B169" s="285" t="s">
        <v>2693</v>
      </c>
      <c r="C169" s="286"/>
      <c r="D169" s="210">
        <v>1.0089999999999999</v>
      </c>
      <c r="E169" s="210">
        <v>1.0109999999999999</v>
      </c>
      <c r="F169" s="210">
        <v>1.014</v>
      </c>
      <c r="G169" s="210">
        <v>1.0089999999999999</v>
      </c>
      <c r="H169" s="210">
        <v>1.0089999999999999</v>
      </c>
    </row>
    <row r="170" spans="1:8" ht="21" customHeight="1" x14ac:dyDescent="0.2">
      <c r="A170" s="216">
        <v>803</v>
      </c>
      <c r="B170" s="285" t="s">
        <v>2694</v>
      </c>
      <c r="C170" s="286"/>
      <c r="D170" s="210">
        <v>1.0089999999999999</v>
      </c>
      <c r="E170" s="210">
        <v>1.008</v>
      </c>
      <c r="F170" s="210">
        <v>1.008</v>
      </c>
      <c r="G170" s="210">
        <v>1.0069999999999999</v>
      </c>
      <c r="H170" s="210">
        <v>1.0089999999999999</v>
      </c>
    </row>
    <row r="171" spans="1:8" ht="21" customHeight="1" x14ac:dyDescent="0.2">
      <c r="A171" s="216">
        <v>804</v>
      </c>
      <c r="B171" s="285" t="s">
        <v>2695</v>
      </c>
      <c r="C171" s="286"/>
      <c r="D171" s="210">
        <v>1.016</v>
      </c>
      <c r="E171" s="210">
        <v>1.0029999999999999</v>
      </c>
      <c r="F171" s="210">
        <v>1.0029999999999999</v>
      </c>
      <c r="G171" s="210">
        <v>1.0029999999999999</v>
      </c>
      <c r="H171" s="210">
        <v>1.0129999999999999</v>
      </c>
    </row>
    <row r="172" spans="1:8" ht="21" customHeight="1" x14ac:dyDescent="0.2">
      <c r="A172" s="216">
        <v>805</v>
      </c>
      <c r="B172" s="285" t="s">
        <v>2696</v>
      </c>
      <c r="C172" s="286"/>
      <c r="D172" s="210">
        <v>1.0569999999999999</v>
      </c>
      <c r="E172" s="210">
        <v>1.0489999999999999</v>
      </c>
      <c r="F172" s="210">
        <v>1.069</v>
      </c>
      <c r="G172" s="210">
        <v>1.0369999999999999</v>
      </c>
      <c r="H172" s="210">
        <v>1.052</v>
      </c>
    </row>
    <row r="173" spans="1:8" ht="21" customHeight="1" x14ac:dyDescent="0.2">
      <c r="A173" s="216">
        <v>806</v>
      </c>
      <c r="B173" s="285" t="s">
        <v>2697</v>
      </c>
      <c r="C173" s="286"/>
      <c r="D173" s="210">
        <v>1.071</v>
      </c>
      <c r="E173" s="210">
        <v>1.075</v>
      </c>
      <c r="F173" s="210">
        <v>1.0609999999999999</v>
      </c>
      <c r="G173" s="210">
        <v>1.06</v>
      </c>
      <c r="H173" s="210">
        <v>1.0589999999999999</v>
      </c>
    </row>
    <row r="174" spans="1:8" ht="21" customHeight="1" x14ac:dyDescent="0.2">
      <c r="A174" s="216">
        <v>807</v>
      </c>
      <c r="B174" s="285" t="s">
        <v>2698</v>
      </c>
      <c r="C174" s="286"/>
      <c r="D174" s="210">
        <v>1.0169999999999999</v>
      </c>
      <c r="E174" s="210">
        <v>1.01</v>
      </c>
      <c r="F174" s="210">
        <v>1.016</v>
      </c>
      <c r="G174" s="210">
        <v>1.008</v>
      </c>
      <c r="H174" s="210">
        <v>1.0109999999999999</v>
      </c>
    </row>
    <row r="175" spans="1:8" ht="21" customHeight="1" x14ac:dyDescent="0.2">
      <c r="A175" s="216">
        <v>808</v>
      </c>
      <c r="B175" s="285" t="s">
        <v>2699</v>
      </c>
      <c r="C175" s="286"/>
      <c r="D175" s="210">
        <v>1.0189999999999999</v>
      </c>
      <c r="E175" s="210">
        <v>1.0149999999999999</v>
      </c>
      <c r="F175" s="210">
        <v>1.018</v>
      </c>
      <c r="G175" s="210">
        <v>1.016</v>
      </c>
      <c r="H175" s="210">
        <v>1.0169999999999999</v>
      </c>
    </row>
    <row r="176" spans="1:8" ht="21" customHeight="1" x14ac:dyDescent="0.2">
      <c r="A176" s="216">
        <v>809</v>
      </c>
      <c r="B176" s="285" t="s">
        <v>2700</v>
      </c>
      <c r="C176" s="286"/>
      <c r="D176" s="210">
        <v>1.038</v>
      </c>
      <c r="E176" s="210">
        <v>1.036</v>
      </c>
      <c r="F176" s="210">
        <v>1.036</v>
      </c>
      <c r="G176" s="210">
        <v>1.036</v>
      </c>
      <c r="H176" s="210">
        <v>1.036</v>
      </c>
    </row>
    <row r="177" spans="1:8" ht="21" customHeight="1" x14ac:dyDescent="0.2">
      <c r="A177" s="216">
        <v>810</v>
      </c>
      <c r="B177" s="285" t="s">
        <v>2701</v>
      </c>
      <c r="C177" s="286"/>
      <c r="D177" s="210">
        <v>1.0209999999999999</v>
      </c>
      <c r="E177" s="210">
        <v>1.02</v>
      </c>
      <c r="F177" s="210">
        <v>1.0209999999999999</v>
      </c>
      <c r="G177" s="210">
        <v>1.0209999999999999</v>
      </c>
      <c r="H177" s="210">
        <v>1.0209999999999999</v>
      </c>
    </row>
    <row r="178" spans="1:8" ht="21" customHeight="1" x14ac:dyDescent="0.2">
      <c r="A178" s="216">
        <v>811</v>
      </c>
      <c r="B178" s="285" t="s">
        <v>2702</v>
      </c>
      <c r="C178" s="286"/>
      <c r="D178" s="210">
        <v>1.1040000000000001</v>
      </c>
      <c r="E178" s="210">
        <v>1.097</v>
      </c>
      <c r="F178" s="210">
        <v>1.089</v>
      </c>
      <c r="G178" s="210">
        <v>1.103</v>
      </c>
      <c r="H178" s="210">
        <v>1.101</v>
      </c>
    </row>
    <row r="179" spans="1:8" ht="21" customHeight="1" x14ac:dyDescent="0.2">
      <c r="A179" s="216">
        <v>812</v>
      </c>
      <c r="B179" s="285" t="s">
        <v>2703</v>
      </c>
      <c r="C179" s="286"/>
      <c r="D179" s="210">
        <v>1.07</v>
      </c>
      <c r="E179" s="210">
        <v>1.0549999999999999</v>
      </c>
      <c r="F179" s="210">
        <v>1.0640000000000001</v>
      </c>
      <c r="G179" s="210">
        <v>1.0589999999999999</v>
      </c>
      <c r="H179" s="210">
        <v>1.0620000000000001</v>
      </c>
    </row>
    <row r="180" spans="1:8" ht="21" customHeight="1" x14ac:dyDescent="0.2">
      <c r="A180" s="216">
        <v>813</v>
      </c>
      <c r="B180" s="285" t="s">
        <v>2704</v>
      </c>
      <c r="C180" s="286"/>
      <c r="D180" s="210">
        <v>1.012</v>
      </c>
      <c r="E180" s="210">
        <v>1.014</v>
      </c>
      <c r="F180" s="210">
        <v>1.0149999999999999</v>
      </c>
      <c r="G180" s="210">
        <v>1.012</v>
      </c>
      <c r="H180" s="210">
        <v>1.0149999999999999</v>
      </c>
    </row>
    <row r="181" spans="1:8" ht="21" customHeight="1" x14ac:dyDescent="0.2">
      <c r="A181" s="216">
        <v>814</v>
      </c>
      <c r="B181" s="285" t="s">
        <v>2705</v>
      </c>
      <c r="C181" s="286"/>
      <c r="D181" s="210">
        <v>1.038</v>
      </c>
      <c r="E181" s="210">
        <v>1.0309999999999999</v>
      </c>
      <c r="F181" s="210">
        <v>1.0409999999999999</v>
      </c>
      <c r="G181" s="210">
        <v>1.032</v>
      </c>
      <c r="H181" s="210">
        <v>1.04</v>
      </c>
    </row>
    <row r="182" spans="1:8" ht="21" customHeight="1" x14ac:dyDescent="0.2">
      <c r="A182" s="216">
        <v>815</v>
      </c>
      <c r="B182" s="285" t="s">
        <v>2706</v>
      </c>
      <c r="C182" s="286"/>
      <c r="D182" s="210">
        <v>1.034</v>
      </c>
      <c r="E182" s="210">
        <v>1.0229999999999999</v>
      </c>
      <c r="F182" s="210">
        <v>1.032</v>
      </c>
      <c r="G182" s="210">
        <v>1.0249999999999999</v>
      </c>
      <c r="H182" s="210">
        <v>1.032</v>
      </c>
    </row>
    <row r="183" spans="1:8" ht="21" customHeight="1" x14ac:dyDescent="0.2">
      <c r="A183" s="216">
        <v>816</v>
      </c>
      <c r="B183" s="285" t="s">
        <v>2707</v>
      </c>
      <c r="C183" s="286"/>
      <c r="D183" s="210">
        <v>1.069</v>
      </c>
      <c r="E183" s="210">
        <v>1.054</v>
      </c>
      <c r="F183" s="210">
        <v>1.0640000000000001</v>
      </c>
      <c r="G183" s="210">
        <v>1.0580000000000001</v>
      </c>
      <c r="H183" s="210">
        <v>1.073</v>
      </c>
    </row>
    <row r="184" spans="1:8" ht="21" customHeight="1" x14ac:dyDescent="0.2">
      <c r="A184" s="216">
        <v>817</v>
      </c>
      <c r="B184" s="285" t="s">
        <v>2708</v>
      </c>
      <c r="C184" s="286"/>
      <c r="D184" s="210">
        <v>1.121</v>
      </c>
      <c r="E184" s="210">
        <v>1.04</v>
      </c>
      <c r="F184" s="210">
        <v>1.0669999999999999</v>
      </c>
      <c r="G184" s="210">
        <v>1.0780000000000001</v>
      </c>
      <c r="H184" s="210">
        <v>1.089</v>
      </c>
    </row>
    <row r="185" spans="1:8" ht="21" customHeight="1" x14ac:dyDescent="0.2">
      <c r="A185" s="216">
        <v>818</v>
      </c>
      <c r="B185" s="285" t="s">
        <v>2709</v>
      </c>
      <c r="C185" s="286"/>
      <c r="D185" s="210">
        <v>1.002</v>
      </c>
      <c r="E185" s="210">
        <v>1.002</v>
      </c>
      <c r="F185" s="210">
        <v>1.002</v>
      </c>
      <c r="G185" s="210">
        <v>1.002</v>
      </c>
      <c r="H185" s="210">
        <v>1.002</v>
      </c>
    </row>
    <row r="186" spans="1:8" ht="21" customHeight="1" x14ac:dyDescent="0.2">
      <c r="A186" s="216">
        <v>819</v>
      </c>
      <c r="B186" s="285" t="s">
        <v>2710</v>
      </c>
      <c r="C186" s="286"/>
      <c r="D186" s="210">
        <v>1.014</v>
      </c>
      <c r="E186" s="210">
        <v>1.014</v>
      </c>
      <c r="F186" s="210">
        <v>1.0149999999999999</v>
      </c>
      <c r="G186" s="210">
        <v>1.01</v>
      </c>
      <c r="H186" s="210">
        <v>1.0149999999999999</v>
      </c>
    </row>
    <row r="187" spans="1:8" ht="21" customHeight="1" x14ac:dyDescent="0.2">
      <c r="A187" s="216">
        <v>820</v>
      </c>
      <c r="B187" s="285" t="s">
        <v>2711</v>
      </c>
      <c r="C187" s="286"/>
      <c r="D187" s="210">
        <v>1.0169999999999999</v>
      </c>
      <c r="E187" s="210">
        <v>1.014</v>
      </c>
      <c r="F187" s="210">
        <v>1.016</v>
      </c>
      <c r="G187" s="210">
        <v>1.0149999999999999</v>
      </c>
      <c r="H187" s="210">
        <v>1.0149999999999999</v>
      </c>
    </row>
    <row r="188" spans="1:8" ht="21" customHeight="1" x14ac:dyDescent="0.2">
      <c r="A188" s="216">
        <v>821</v>
      </c>
      <c r="B188" s="285" t="s">
        <v>2712</v>
      </c>
      <c r="C188" s="286"/>
      <c r="D188" s="210">
        <v>1.0109999999999999</v>
      </c>
      <c r="E188" s="210">
        <v>1.0069999999999999</v>
      </c>
      <c r="F188" s="210">
        <v>1.0089999999999999</v>
      </c>
      <c r="G188" s="210">
        <v>1.008</v>
      </c>
      <c r="H188" s="210">
        <v>1.008</v>
      </c>
    </row>
    <row r="189" spans="1:8" ht="21" customHeight="1" x14ac:dyDescent="0.2">
      <c r="A189" s="218">
        <v>822</v>
      </c>
      <c r="B189" s="285" t="s">
        <v>2541</v>
      </c>
      <c r="C189" s="286"/>
      <c r="D189" s="210">
        <v>1.016</v>
      </c>
      <c r="E189" s="210">
        <v>1.0129999999999999</v>
      </c>
      <c r="F189" s="210">
        <v>1.0149999999999999</v>
      </c>
      <c r="G189" s="210">
        <v>1.0129999999999999</v>
      </c>
      <c r="H189" s="210">
        <v>1.0129999999999999</v>
      </c>
    </row>
    <row r="190" spans="1:8" ht="21" customHeight="1" x14ac:dyDescent="0.2">
      <c r="A190" s="216">
        <v>823</v>
      </c>
      <c r="B190" s="285" t="s">
        <v>2713</v>
      </c>
      <c r="C190" s="286"/>
      <c r="D190" s="210">
        <v>1.0109999999999999</v>
      </c>
      <c r="E190" s="210">
        <v>1.0149999999999999</v>
      </c>
      <c r="F190" s="210">
        <v>1.0109999999999999</v>
      </c>
      <c r="G190" s="210">
        <v>1.01</v>
      </c>
      <c r="H190" s="210">
        <v>1.0109999999999999</v>
      </c>
    </row>
    <row r="191" spans="1:8" ht="21" customHeight="1" x14ac:dyDescent="0.2">
      <c r="A191" s="216">
        <v>824</v>
      </c>
      <c r="B191" s="285" t="s">
        <v>2714</v>
      </c>
      <c r="C191" s="286"/>
      <c r="D191" s="210">
        <v>1.0449999999999999</v>
      </c>
      <c r="E191" s="210">
        <v>1.04</v>
      </c>
      <c r="F191" s="210">
        <v>1.0409999999999999</v>
      </c>
      <c r="G191" s="210">
        <v>1.04</v>
      </c>
      <c r="H191" s="210">
        <v>1.04</v>
      </c>
    </row>
    <row r="192" spans="1:8" ht="21" customHeight="1" x14ac:dyDescent="0.2">
      <c r="A192" s="216">
        <v>825</v>
      </c>
      <c r="B192" s="285" t="s">
        <v>2715</v>
      </c>
      <c r="C192" s="286"/>
      <c r="D192" s="210">
        <v>1.008</v>
      </c>
      <c r="E192" s="210">
        <v>1.006</v>
      </c>
      <c r="F192" s="210">
        <v>1.0069999999999999</v>
      </c>
      <c r="G192" s="210">
        <v>1.0049999999999999</v>
      </c>
      <c r="H192" s="210">
        <v>1.0069999999999999</v>
      </c>
    </row>
    <row r="193" spans="1:8" ht="21" customHeight="1" x14ac:dyDescent="0.2">
      <c r="A193" s="216">
        <v>826</v>
      </c>
      <c r="B193" s="285" t="s">
        <v>2716</v>
      </c>
      <c r="C193" s="286"/>
      <c r="D193" s="210">
        <v>1.016</v>
      </c>
      <c r="E193" s="210">
        <v>1.0129999999999999</v>
      </c>
      <c r="F193" s="210">
        <v>1.0149999999999999</v>
      </c>
      <c r="G193" s="210">
        <v>1.0129999999999999</v>
      </c>
      <c r="H193" s="210">
        <v>1.0129999999999999</v>
      </c>
    </row>
    <row r="194" spans="1:8" ht="21" customHeight="1" x14ac:dyDescent="0.2">
      <c r="A194" s="216">
        <v>827</v>
      </c>
      <c r="B194" s="285" t="s">
        <v>2717</v>
      </c>
      <c r="C194" s="286"/>
      <c r="D194" s="210">
        <v>1.0429999999999999</v>
      </c>
      <c r="E194" s="210">
        <v>1.0349999999999999</v>
      </c>
      <c r="F194" s="210">
        <v>1.0389999999999999</v>
      </c>
      <c r="G194" s="210">
        <v>1.0349999999999999</v>
      </c>
      <c r="H194" s="210">
        <v>1.038</v>
      </c>
    </row>
    <row r="195" spans="1:8" ht="21" customHeight="1" x14ac:dyDescent="0.2">
      <c r="A195" s="216">
        <v>828</v>
      </c>
      <c r="B195" s="285" t="s">
        <v>2718</v>
      </c>
      <c r="C195" s="286"/>
      <c r="D195" s="210">
        <v>1.014</v>
      </c>
      <c r="E195" s="210">
        <v>1.0109999999999999</v>
      </c>
      <c r="F195" s="210">
        <v>1.014</v>
      </c>
      <c r="G195" s="210">
        <v>1.0129999999999999</v>
      </c>
      <c r="H195" s="210">
        <v>1.012</v>
      </c>
    </row>
    <row r="196" spans="1:8" ht="21" customHeight="1" x14ac:dyDescent="0.2">
      <c r="A196" s="216">
        <v>829</v>
      </c>
      <c r="B196" s="285" t="s">
        <v>2719</v>
      </c>
      <c r="C196" s="286"/>
      <c r="D196" s="210">
        <v>1.004</v>
      </c>
      <c r="E196" s="210">
        <v>1.0049999999999999</v>
      </c>
      <c r="F196" s="210">
        <v>1.0049999999999999</v>
      </c>
      <c r="G196" s="210">
        <v>1.0049999999999999</v>
      </c>
      <c r="H196" s="210">
        <v>1.0049999999999999</v>
      </c>
    </row>
    <row r="197" spans="1:8" ht="21" customHeight="1" x14ac:dyDescent="0.2">
      <c r="A197" s="216">
        <v>830</v>
      </c>
      <c r="B197" s="285" t="s">
        <v>2720</v>
      </c>
      <c r="C197" s="286"/>
      <c r="D197" s="210">
        <v>1.0589999999999999</v>
      </c>
      <c r="E197" s="210">
        <v>1.0589999999999999</v>
      </c>
      <c r="F197" s="210">
        <v>1.0589999999999999</v>
      </c>
      <c r="G197" s="210">
        <v>1.0589999999999999</v>
      </c>
      <c r="H197" s="210">
        <v>1.0580000000000001</v>
      </c>
    </row>
    <row r="198" spans="1:8" ht="21" customHeight="1" x14ac:dyDescent="0.2">
      <c r="A198" s="216">
        <v>831</v>
      </c>
      <c r="B198" s="285" t="s">
        <v>2721</v>
      </c>
      <c r="C198" s="286"/>
      <c r="D198" s="210">
        <v>0.998</v>
      </c>
      <c r="E198" s="210">
        <v>0.997</v>
      </c>
      <c r="F198" s="210">
        <v>0.996</v>
      </c>
      <c r="G198" s="210">
        <v>0.997</v>
      </c>
      <c r="H198" s="210">
        <v>0.997</v>
      </c>
    </row>
    <row r="199" spans="1:8" ht="21" customHeight="1" x14ac:dyDescent="0.2">
      <c r="A199" s="216">
        <v>832</v>
      </c>
      <c r="B199" s="285" t="s">
        <v>2722</v>
      </c>
      <c r="C199" s="286"/>
      <c r="D199" s="210">
        <v>1.0069999999999999</v>
      </c>
      <c r="E199" s="210">
        <v>1.004</v>
      </c>
      <c r="F199" s="210">
        <v>1.006</v>
      </c>
      <c r="G199" s="210">
        <v>1.004</v>
      </c>
      <c r="H199" s="210">
        <v>1.0049999999999999</v>
      </c>
    </row>
    <row r="200" spans="1:8" ht="21" customHeight="1" x14ac:dyDescent="0.2">
      <c r="A200" s="216">
        <v>833</v>
      </c>
      <c r="B200" s="285" t="s">
        <v>2941</v>
      </c>
      <c r="C200" s="286"/>
      <c r="D200" s="210">
        <v>1.0069999999999999</v>
      </c>
      <c r="E200" s="210">
        <v>1.006</v>
      </c>
      <c r="F200" s="210">
        <v>1.0069999999999999</v>
      </c>
      <c r="G200" s="210">
        <v>1.0069999999999999</v>
      </c>
      <c r="H200" s="210">
        <v>1.0069999999999999</v>
      </c>
    </row>
    <row r="201" spans="1:8" ht="21" customHeight="1" x14ac:dyDescent="0.2">
      <c r="A201" s="216">
        <v>834</v>
      </c>
      <c r="B201" s="285" t="s">
        <v>2723</v>
      </c>
      <c r="C201" s="286"/>
      <c r="D201" s="210">
        <v>1.0760000000000001</v>
      </c>
      <c r="E201" s="210">
        <v>1.03</v>
      </c>
      <c r="F201" s="210">
        <v>1.0580000000000001</v>
      </c>
      <c r="G201" s="210">
        <v>1.0469999999999999</v>
      </c>
      <c r="H201" s="210">
        <v>1.0549999999999999</v>
      </c>
    </row>
    <row r="202" spans="1:8" ht="21" customHeight="1" x14ac:dyDescent="0.2">
      <c r="A202" s="216">
        <v>835</v>
      </c>
      <c r="B202" s="285" t="s">
        <v>2724</v>
      </c>
      <c r="C202" s="286"/>
      <c r="D202" s="210">
        <v>1.03</v>
      </c>
      <c r="E202" s="210">
        <v>1.024</v>
      </c>
      <c r="F202" s="210">
        <v>1.026</v>
      </c>
      <c r="G202" s="210">
        <v>1.024</v>
      </c>
      <c r="H202" s="210">
        <v>1.026</v>
      </c>
    </row>
    <row r="203" spans="1:8" ht="21" customHeight="1" x14ac:dyDescent="0.2">
      <c r="A203" s="216">
        <v>836</v>
      </c>
      <c r="B203" s="285" t="s">
        <v>2725</v>
      </c>
      <c r="C203" s="286"/>
      <c r="D203" s="210">
        <v>1.016</v>
      </c>
      <c r="E203" s="210">
        <v>1.0149999999999999</v>
      </c>
      <c r="F203" s="210">
        <v>1.016</v>
      </c>
      <c r="G203" s="210">
        <v>1.0149999999999999</v>
      </c>
      <c r="H203" s="210">
        <v>1.0149999999999999</v>
      </c>
    </row>
    <row r="204" spans="1:8" ht="21" customHeight="1" x14ac:dyDescent="0.2">
      <c r="A204" s="216">
        <v>837</v>
      </c>
      <c r="B204" s="285" t="s">
        <v>2726</v>
      </c>
      <c r="C204" s="286"/>
      <c r="D204" s="210">
        <v>1.0169999999999999</v>
      </c>
      <c r="E204" s="210">
        <v>1.012</v>
      </c>
      <c r="F204" s="210">
        <v>1.018</v>
      </c>
      <c r="G204" s="210">
        <v>1.0149999999999999</v>
      </c>
      <c r="H204" s="210">
        <v>1.0169999999999999</v>
      </c>
    </row>
    <row r="205" spans="1:8" ht="21" customHeight="1" x14ac:dyDescent="0.2">
      <c r="A205" s="216">
        <v>838</v>
      </c>
      <c r="B205" s="285" t="s">
        <v>2727</v>
      </c>
      <c r="C205" s="286"/>
      <c r="D205" s="210">
        <v>1.0189999999999999</v>
      </c>
      <c r="E205" s="210">
        <v>1.0189999999999999</v>
      </c>
      <c r="F205" s="210">
        <v>1.0189999999999999</v>
      </c>
      <c r="G205" s="210">
        <v>1.0189999999999999</v>
      </c>
      <c r="H205" s="210">
        <v>1.018</v>
      </c>
    </row>
    <row r="206" spans="1:8" ht="21" customHeight="1" x14ac:dyDescent="0.2">
      <c r="A206" s="216">
        <v>839</v>
      </c>
      <c r="B206" s="285" t="s">
        <v>2728</v>
      </c>
      <c r="C206" s="286"/>
      <c r="D206" s="210">
        <v>1.016</v>
      </c>
      <c r="E206" s="210">
        <v>1.0129999999999999</v>
      </c>
      <c r="F206" s="210">
        <v>1.0149999999999999</v>
      </c>
      <c r="G206" s="210">
        <v>1.0129999999999999</v>
      </c>
      <c r="H206" s="210">
        <v>1.0129999999999999</v>
      </c>
    </row>
    <row r="207" spans="1:8" ht="21" customHeight="1" x14ac:dyDescent="0.2">
      <c r="A207" s="216">
        <v>840</v>
      </c>
      <c r="B207" s="285" t="s">
        <v>2729</v>
      </c>
      <c r="C207" s="286"/>
      <c r="D207" s="210">
        <v>1.032</v>
      </c>
      <c r="E207" s="210">
        <v>1.0309999999999999</v>
      </c>
      <c r="F207" s="210">
        <v>1.032</v>
      </c>
      <c r="G207" s="210">
        <v>1.0309999999999999</v>
      </c>
      <c r="H207" s="210">
        <v>1.0309999999999999</v>
      </c>
    </row>
    <row r="208" spans="1:8" ht="21" customHeight="1" x14ac:dyDescent="0.2">
      <c r="A208" s="216">
        <v>841</v>
      </c>
      <c r="B208" s="285" t="s">
        <v>2730</v>
      </c>
      <c r="C208" s="286"/>
      <c r="D208" s="210">
        <v>1.0369999999999999</v>
      </c>
      <c r="E208" s="210">
        <v>1.036</v>
      </c>
      <c r="F208" s="210">
        <v>1.0369999999999999</v>
      </c>
      <c r="G208" s="210">
        <v>1.036</v>
      </c>
      <c r="H208" s="210">
        <v>1.0369999999999999</v>
      </c>
    </row>
    <row r="209" spans="1:8" ht="21" customHeight="1" x14ac:dyDescent="0.2">
      <c r="A209" s="216">
        <v>842</v>
      </c>
      <c r="B209" s="285" t="s">
        <v>2731</v>
      </c>
      <c r="C209" s="286"/>
      <c r="D209" s="210">
        <v>1.0149999999999999</v>
      </c>
      <c r="E209" s="210">
        <v>1.0109999999999999</v>
      </c>
      <c r="F209" s="210">
        <v>1.026</v>
      </c>
      <c r="G209" s="210">
        <v>1.0169999999999999</v>
      </c>
      <c r="H209" s="210">
        <v>1.0169999999999999</v>
      </c>
    </row>
    <row r="210" spans="1:8" ht="21" customHeight="1" x14ac:dyDescent="0.2">
      <c r="A210" s="216">
        <v>843</v>
      </c>
      <c r="B210" s="285" t="s">
        <v>2732</v>
      </c>
      <c r="C210" s="286"/>
      <c r="D210" s="210">
        <v>1.02</v>
      </c>
      <c r="E210" s="210">
        <v>1.0169999999999999</v>
      </c>
      <c r="F210" s="210">
        <v>1.0189999999999999</v>
      </c>
      <c r="G210" s="210">
        <v>1.016</v>
      </c>
      <c r="H210" s="210">
        <v>1.0149999999999999</v>
      </c>
    </row>
    <row r="211" spans="1:8" ht="21" customHeight="1" x14ac:dyDescent="0.2">
      <c r="A211" s="216">
        <v>844</v>
      </c>
      <c r="B211" s="285" t="s">
        <v>2733</v>
      </c>
      <c r="C211" s="286"/>
      <c r="D211" s="210">
        <v>1.016</v>
      </c>
      <c r="E211" s="210">
        <v>1.0129999999999999</v>
      </c>
      <c r="F211" s="210">
        <v>1.0149999999999999</v>
      </c>
      <c r="G211" s="210">
        <v>1.0129999999999999</v>
      </c>
      <c r="H211" s="210">
        <v>1.0129999999999999</v>
      </c>
    </row>
    <row r="212" spans="1:8" ht="21" customHeight="1" x14ac:dyDescent="0.2">
      <c r="A212" s="216">
        <v>845</v>
      </c>
      <c r="B212" s="285" t="s">
        <v>2734</v>
      </c>
      <c r="C212" s="286"/>
      <c r="D212" s="210">
        <v>1.006</v>
      </c>
      <c r="E212" s="210">
        <v>1.006</v>
      </c>
      <c r="F212" s="210">
        <v>1.006</v>
      </c>
      <c r="G212" s="210">
        <v>1.006</v>
      </c>
      <c r="H212" s="210">
        <v>1.006</v>
      </c>
    </row>
    <row r="213" spans="1:8" ht="21" customHeight="1" x14ac:dyDescent="0.2">
      <c r="A213" s="216">
        <v>846</v>
      </c>
      <c r="B213" s="285" t="s">
        <v>2735</v>
      </c>
      <c r="C213" s="286"/>
      <c r="D213" s="210">
        <v>1.022</v>
      </c>
      <c r="E213" s="210">
        <v>1.022</v>
      </c>
      <c r="F213" s="210">
        <v>1.0229999999999999</v>
      </c>
      <c r="G213" s="210">
        <v>1.0229999999999999</v>
      </c>
      <c r="H213" s="210">
        <v>1.0229999999999999</v>
      </c>
    </row>
    <row r="214" spans="1:8" ht="21" customHeight="1" x14ac:dyDescent="0.2">
      <c r="A214" s="216">
        <v>847</v>
      </c>
      <c r="B214" s="285" t="s">
        <v>2736</v>
      </c>
      <c r="C214" s="286"/>
      <c r="D214" s="210">
        <v>1.0189999999999999</v>
      </c>
      <c r="E214" s="210">
        <v>1.016</v>
      </c>
      <c r="F214" s="210">
        <v>1.018</v>
      </c>
      <c r="G214" s="210">
        <v>1.0149999999999999</v>
      </c>
      <c r="H214" s="210">
        <v>1.0169999999999999</v>
      </c>
    </row>
    <row r="215" spans="1:8" ht="21" customHeight="1" x14ac:dyDescent="0.2">
      <c r="A215" s="216">
        <v>848</v>
      </c>
      <c r="B215" s="285" t="s">
        <v>2737</v>
      </c>
      <c r="C215" s="286"/>
      <c r="D215" s="210">
        <v>1.0309999999999999</v>
      </c>
      <c r="E215" s="210">
        <v>1.0209999999999999</v>
      </c>
      <c r="F215" s="210">
        <v>1.0229999999999999</v>
      </c>
      <c r="G215" s="210">
        <v>1.02</v>
      </c>
      <c r="H215" s="210">
        <v>1.0209999999999999</v>
      </c>
    </row>
    <row r="216" spans="1:8" ht="21" customHeight="1" x14ac:dyDescent="0.2">
      <c r="A216" s="216">
        <v>849</v>
      </c>
      <c r="B216" s="285" t="s">
        <v>2738</v>
      </c>
      <c r="C216" s="286"/>
      <c r="D216" s="210">
        <v>1.016</v>
      </c>
      <c r="E216" s="210">
        <v>1.014</v>
      </c>
      <c r="F216" s="210">
        <v>1.0149999999999999</v>
      </c>
      <c r="G216" s="210">
        <v>1.012</v>
      </c>
      <c r="H216" s="210">
        <v>1.014</v>
      </c>
    </row>
    <row r="217" spans="1:8" ht="21" customHeight="1" x14ac:dyDescent="0.2">
      <c r="A217" s="216">
        <v>850</v>
      </c>
      <c r="B217" s="285" t="s">
        <v>2739</v>
      </c>
      <c r="C217" s="286"/>
      <c r="D217" s="210">
        <v>1.0089999999999999</v>
      </c>
      <c r="E217" s="210">
        <v>1.01</v>
      </c>
      <c r="F217" s="210">
        <v>1.0089999999999999</v>
      </c>
      <c r="G217" s="210">
        <v>1.0089999999999999</v>
      </c>
      <c r="H217" s="210">
        <v>1.0089999999999999</v>
      </c>
    </row>
    <row r="218" spans="1:8" ht="21" customHeight="1" x14ac:dyDescent="0.2">
      <c r="A218" s="216">
        <v>851</v>
      </c>
      <c r="B218" s="285" t="s">
        <v>2740</v>
      </c>
      <c r="C218" s="286"/>
      <c r="D218" s="210">
        <v>1.02</v>
      </c>
      <c r="E218" s="210">
        <v>1.0069999999999999</v>
      </c>
      <c r="F218" s="210">
        <v>1.0569999999999999</v>
      </c>
      <c r="G218" s="210">
        <v>1.026</v>
      </c>
      <c r="H218" s="210">
        <v>1.0509999999999999</v>
      </c>
    </row>
    <row r="219" spans="1:8" ht="21" customHeight="1" x14ac:dyDescent="0.2">
      <c r="A219" s="216">
        <v>852</v>
      </c>
      <c r="B219" s="285" t="s">
        <v>2741</v>
      </c>
      <c r="C219" s="286"/>
      <c r="D219" s="210">
        <v>1.0189999999999999</v>
      </c>
      <c r="E219" s="210">
        <v>1.0209999999999999</v>
      </c>
      <c r="F219" s="210">
        <v>1.022</v>
      </c>
      <c r="G219" s="210">
        <v>1.0209999999999999</v>
      </c>
      <c r="H219" s="210">
        <v>1.022</v>
      </c>
    </row>
    <row r="220" spans="1:8" ht="21" customHeight="1" x14ac:dyDescent="0.2">
      <c r="A220" s="216">
        <v>853</v>
      </c>
      <c r="B220" s="285" t="s">
        <v>2742</v>
      </c>
      <c r="C220" s="286"/>
      <c r="D220" s="210">
        <v>1.0129999999999999</v>
      </c>
      <c r="E220" s="210">
        <v>1.0129999999999999</v>
      </c>
      <c r="F220" s="210">
        <v>1.012</v>
      </c>
      <c r="G220" s="210">
        <v>1.012</v>
      </c>
      <c r="H220" s="210">
        <v>1.0109999999999999</v>
      </c>
    </row>
    <row r="221" spans="1:8" ht="21" customHeight="1" x14ac:dyDescent="0.2">
      <c r="A221" s="216">
        <v>854</v>
      </c>
      <c r="B221" s="285" t="s">
        <v>2743</v>
      </c>
      <c r="C221" s="286"/>
      <c r="D221" s="210">
        <v>1.0209999999999999</v>
      </c>
      <c r="E221" s="210">
        <v>1.0209999999999999</v>
      </c>
      <c r="F221" s="210">
        <v>1.0209999999999999</v>
      </c>
      <c r="G221" s="210">
        <v>1.02</v>
      </c>
      <c r="H221" s="210">
        <v>1.02</v>
      </c>
    </row>
    <row r="222" spans="1:8" ht="21" customHeight="1" x14ac:dyDescent="0.2">
      <c r="A222" s="216">
        <v>855</v>
      </c>
      <c r="B222" s="285" t="s">
        <v>2744</v>
      </c>
      <c r="C222" s="286"/>
      <c r="D222" s="210">
        <v>1.02</v>
      </c>
      <c r="E222" s="210">
        <v>1.0169999999999999</v>
      </c>
      <c r="F222" s="210">
        <v>1.02</v>
      </c>
      <c r="G222" s="210">
        <v>1.016</v>
      </c>
      <c r="H222" s="210">
        <v>1.018</v>
      </c>
    </row>
    <row r="223" spans="1:8" ht="21" customHeight="1" x14ac:dyDescent="0.2">
      <c r="A223" s="216">
        <v>856</v>
      </c>
      <c r="B223" s="285" t="s">
        <v>2745</v>
      </c>
      <c r="C223" s="286"/>
      <c r="D223" s="210">
        <v>1.0309999999999999</v>
      </c>
      <c r="E223" s="210">
        <v>1.0229999999999999</v>
      </c>
      <c r="F223" s="210">
        <v>1.024</v>
      </c>
      <c r="G223" s="210">
        <v>1.0189999999999999</v>
      </c>
      <c r="H223" s="210">
        <v>1.0229999999999999</v>
      </c>
    </row>
    <row r="224" spans="1:8" ht="21" customHeight="1" x14ac:dyDescent="0.2">
      <c r="A224" s="216">
        <v>857</v>
      </c>
      <c r="B224" s="285" t="s">
        <v>2746</v>
      </c>
      <c r="C224" s="286"/>
      <c r="D224" s="210">
        <v>1.034</v>
      </c>
      <c r="E224" s="210">
        <v>1.0209999999999999</v>
      </c>
      <c r="F224" s="210">
        <v>1.0269999999999999</v>
      </c>
      <c r="G224" s="210">
        <v>1.018</v>
      </c>
      <c r="H224" s="210">
        <v>1.024</v>
      </c>
    </row>
    <row r="225" spans="1:8" ht="21" customHeight="1" x14ac:dyDescent="0.2">
      <c r="A225" s="216">
        <v>858</v>
      </c>
      <c r="B225" s="285" t="s">
        <v>2747</v>
      </c>
      <c r="C225" s="286"/>
      <c r="D225" s="210">
        <v>1.0129999999999999</v>
      </c>
      <c r="E225" s="210">
        <v>1.012</v>
      </c>
      <c r="F225" s="210">
        <v>1.014</v>
      </c>
      <c r="G225" s="210">
        <v>1.0109999999999999</v>
      </c>
      <c r="H225" s="210">
        <v>1.014</v>
      </c>
    </row>
    <row r="226" spans="1:8" ht="21" customHeight="1" x14ac:dyDescent="0.2">
      <c r="A226" s="216">
        <v>859</v>
      </c>
      <c r="B226" s="285" t="s">
        <v>2748</v>
      </c>
      <c r="C226" s="286"/>
      <c r="D226" s="210">
        <v>1.0169999999999999</v>
      </c>
      <c r="E226" s="210">
        <v>1.0149999999999999</v>
      </c>
      <c r="F226" s="210">
        <v>1.016</v>
      </c>
      <c r="G226" s="210">
        <v>1.014</v>
      </c>
      <c r="H226" s="210">
        <v>1.0149999999999999</v>
      </c>
    </row>
    <row r="227" spans="1:8" ht="21" customHeight="1" x14ac:dyDescent="0.2">
      <c r="A227" s="216">
        <v>860</v>
      </c>
      <c r="B227" s="285" t="s">
        <v>2749</v>
      </c>
      <c r="C227" s="286"/>
      <c r="D227" s="210">
        <v>1.014</v>
      </c>
      <c r="E227" s="210">
        <v>1.0109999999999999</v>
      </c>
      <c r="F227" s="210">
        <v>1.0149999999999999</v>
      </c>
      <c r="G227" s="210">
        <v>1.0109999999999999</v>
      </c>
      <c r="H227" s="210">
        <v>1.014</v>
      </c>
    </row>
    <row r="228" spans="1:8" ht="21" customHeight="1" x14ac:dyDescent="0.2">
      <c r="A228" s="216">
        <v>861</v>
      </c>
      <c r="B228" s="285" t="s">
        <v>2750</v>
      </c>
      <c r="C228" s="286"/>
      <c r="D228" s="210">
        <v>1.026</v>
      </c>
      <c r="E228" s="210">
        <v>1.0209999999999999</v>
      </c>
      <c r="F228" s="210">
        <v>1.0229999999999999</v>
      </c>
      <c r="G228" s="210">
        <v>1.018</v>
      </c>
      <c r="H228" s="210">
        <v>1.0209999999999999</v>
      </c>
    </row>
    <row r="229" spans="1:8" ht="21" customHeight="1" x14ac:dyDescent="0.2">
      <c r="A229" s="216">
        <v>862</v>
      </c>
      <c r="B229" s="285" t="s">
        <v>2751</v>
      </c>
      <c r="C229" s="286"/>
      <c r="D229" s="210">
        <v>1.0149999999999999</v>
      </c>
      <c r="E229" s="210">
        <v>1.008</v>
      </c>
      <c r="F229" s="210">
        <v>1.016</v>
      </c>
      <c r="G229" s="210">
        <v>1.006</v>
      </c>
      <c r="H229" s="210">
        <v>1.0109999999999999</v>
      </c>
    </row>
    <row r="230" spans="1:8" ht="21" customHeight="1" x14ac:dyDescent="0.2">
      <c r="A230" s="216">
        <v>863</v>
      </c>
      <c r="B230" s="285" t="s">
        <v>2752</v>
      </c>
      <c r="C230" s="286"/>
      <c r="D230" s="210">
        <v>1.012</v>
      </c>
      <c r="E230" s="210">
        <v>1.0129999999999999</v>
      </c>
      <c r="F230" s="210">
        <v>1.012</v>
      </c>
      <c r="G230" s="210">
        <v>1.012</v>
      </c>
      <c r="H230" s="210">
        <v>1.012</v>
      </c>
    </row>
    <row r="231" spans="1:8" ht="21" customHeight="1" x14ac:dyDescent="0.2">
      <c r="A231" s="216">
        <v>864</v>
      </c>
      <c r="B231" s="285" t="s">
        <v>2753</v>
      </c>
      <c r="C231" s="286"/>
      <c r="D231" s="210">
        <v>1.0129999999999999</v>
      </c>
      <c r="E231" s="210">
        <v>1.0109999999999999</v>
      </c>
      <c r="F231" s="210">
        <v>1.012</v>
      </c>
      <c r="G231" s="210">
        <v>1.0109999999999999</v>
      </c>
      <c r="H231" s="210">
        <v>1.012</v>
      </c>
    </row>
    <row r="232" spans="1:8" ht="21" customHeight="1" x14ac:dyDescent="0.2">
      <c r="A232" s="216">
        <v>865</v>
      </c>
      <c r="B232" s="285" t="s">
        <v>2754</v>
      </c>
      <c r="C232" s="286"/>
      <c r="D232" s="210">
        <v>1.085</v>
      </c>
      <c r="E232" s="210">
        <v>1.08</v>
      </c>
      <c r="F232" s="210">
        <v>1.095</v>
      </c>
      <c r="G232" s="210">
        <v>1.083</v>
      </c>
      <c r="H232" s="210">
        <v>1.087</v>
      </c>
    </row>
    <row r="233" spans="1:8" ht="21" customHeight="1" x14ac:dyDescent="0.2">
      <c r="A233" s="218">
        <v>866</v>
      </c>
      <c r="B233" s="285" t="s">
        <v>2942</v>
      </c>
      <c r="C233" s="286"/>
      <c r="D233" s="210">
        <v>1.004</v>
      </c>
      <c r="E233" s="210">
        <v>1.0029999999999999</v>
      </c>
      <c r="F233" s="210">
        <v>1.004</v>
      </c>
      <c r="G233" s="210">
        <v>1.0029999999999999</v>
      </c>
      <c r="H233" s="210">
        <v>1.004</v>
      </c>
    </row>
    <row r="234" spans="1:8" ht="21" customHeight="1" x14ac:dyDescent="0.2">
      <c r="A234" s="216">
        <v>867</v>
      </c>
      <c r="B234" s="285" t="s">
        <v>2978</v>
      </c>
      <c r="C234" s="286"/>
      <c r="D234" s="210">
        <v>1.0409999999999999</v>
      </c>
      <c r="E234" s="210">
        <v>1.0329999999999999</v>
      </c>
      <c r="F234" s="210">
        <v>1.038</v>
      </c>
      <c r="G234" s="210">
        <v>1.036</v>
      </c>
      <c r="H234" s="210">
        <v>1.0369999999999999</v>
      </c>
    </row>
    <row r="235" spans="1:8" ht="21" customHeight="1" x14ac:dyDescent="0.2">
      <c r="A235" s="216">
        <v>868</v>
      </c>
      <c r="B235" s="285" t="s">
        <v>2755</v>
      </c>
      <c r="C235" s="286"/>
      <c r="D235" s="210">
        <v>1.0189999999999999</v>
      </c>
      <c r="E235" s="210">
        <v>1.0169999999999999</v>
      </c>
      <c r="F235" s="210">
        <v>1.0169999999999999</v>
      </c>
      <c r="G235" s="210">
        <v>1.0169999999999999</v>
      </c>
      <c r="H235" s="210">
        <v>1.018</v>
      </c>
    </row>
    <row r="236" spans="1:8" ht="21" customHeight="1" x14ac:dyDescent="0.2">
      <c r="A236" s="216">
        <v>869</v>
      </c>
      <c r="B236" s="285" t="s">
        <v>2756</v>
      </c>
      <c r="C236" s="286"/>
      <c r="D236" s="210">
        <v>1.026</v>
      </c>
      <c r="E236" s="210">
        <v>1.012</v>
      </c>
      <c r="F236" s="210">
        <v>1.024</v>
      </c>
      <c r="G236" s="210">
        <v>1.0189999999999999</v>
      </c>
      <c r="H236" s="210">
        <v>1.0249999999999999</v>
      </c>
    </row>
    <row r="237" spans="1:8" ht="21" customHeight="1" x14ac:dyDescent="0.2">
      <c r="A237" s="216">
        <v>870</v>
      </c>
      <c r="B237" s="285" t="s">
        <v>2757</v>
      </c>
      <c r="C237" s="286"/>
      <c r="D237" s="210">
        <v>1.0309999999999999</v>
      </c>
      <c r="E237" s="210">
        <v>1.0149999999999999</v>
      </c>
      <c r="F237" s="210">
        <v>1.026</v>
      </c>
      <c r="G237" s="210">
        <v>1.0169999999999999</v>
      </c>
      <c r="H237" s="210">
        <v>1.0289999999999999</v>
      </c>
    </row>
    <row r="238" spans="1:8" ht="21" customHeight="1" x14ac:dyDescent="0.2">
      <c r="A238" s="216">
        <v>871</v>
      </c>
      <c r="B238" s="285" t="s">
        <v>2758</v>
      </c>
      <c r="C238" s="286"/>
      <c r="D238" s="210">
        <v>1.036</v>
      </c>
      <c r="E238" s="210">
        <v>1.024</v>
      </c>
      <c r="F238" s="210">
        <v>1.0329999999999999</v>
      </c>
      <c r="G238" s="210">
        <v>1.024</v>
      </c>
      <c r="H238" s="210">
        <v>1.028</v>
      </c>
    </row>
    <row r="239" spans="1:8" ht="21" customHeight="1" x14ac:dyDescent="0.2">
      <c r="A239" s="216">
        <v>872</v>
      </c>
      <c r="B239" s="285" t="s">
        <v>2759</v>
      </c>
      <c r="C239" s="286"/>
      <c r="D239" s="210">
        <v>1.022</v>
      </c>
      <c r="E239" s="210">
        <v>1.014</v>
      </c>
      <c r="F239" s="210">
        <v>1.02</v>
      </c>
      <c r="G239" s="210">
        <v>1.0189999999999999</v>
      </c>
      <c r="H239" s="210">
        <v>1.0209999999999999</v>
      </c>
    </row>
    <row r="240" spans="1:8" ht="21" customHeight="1" x14ac:dyDescent="0.2">
      <c r="A240" s="216">
        <v>873</v>
      </c>
      <c r="B240" s="285" t="s">
        <v>2760</v>
      </c>
      <c r="C240" s="286"/>
      <c r="D240" s="210">
        <v>0.98799999999999999</v>
      </c>
      <c r="E240" s="210">
        <v>0.99299999999999999</v>
      </c>
      <c r="F240" s="210">
        <v>0.98799999999999999</v>
      </c>
      <c r="G240" s="210">
        <v>0.99299999999999999</v>
      </c>
      <c r="H240" s="210">
        <v>0.99299999999999999</v>
      </c>
    </row>
    <row r="241" spans="1:8" ht="21" customHeight="1" x14ac:dyDescent="0.2">
      <c r="A241" s="216">
        <v>874</v>
      </c>
      <c r="B241" s="285" t="s">
        <v>2761</v>
      </c>
      <c r="C241" s="286"/>
      <c r="D241" s="210">
        <v>1.0089999999999999</v>
      </c>
      <c r="E241" s="210">
        <v>1.016</v>
      </c>
      <c r="F241" s="210">
        <v>1.01</v>
      </c>
      <c r="G241" s="210">
        <v>1.012</v>
      </c>
      <c r="H241" s="210">
        <v>1.012</v>
      </c>
    </row>
    <row r="242" spans="1:8" ht="21" customHeight="1" x14ac:dyDescent="0.2">
      <c r="A242" s="216">
        <v>875</v>
      </c>
      <c r="B242" s="285" t="s">
        <v>2762</v>
      </c>
      <c r="C242" s="286"/>
      <c r="D242" s="210">
        <v>0.99199999999999999</v>
      </c>
      <c r="E242" s="210">
        <v>0.996</v>
      </c>
      <c r="F242" s="210">
        <v>0.99399999999999999</v>
      </c>
      <c r="G242" s="210">
        <v>0.998</v>
      </c>
      <c r="H242" s="210">
        <v>0.99299999999999999</v>
      </c>
    </row>
    <row r="243" spans="1:8" ht="21" customHeight="1" x14ac:dyDescent="0.2">
      <c r="A243" s="216">
        <v>876</v>
      </c>
      <c r="B243" s="285" t="s">
        <v>2763</v>
      </c>
      <c r="C243" s="286"/>
      <c r="D243" s="210">
        <v>1.008</v>
      </c>
      <c r="E243" s="210">
        <v>1.0069999999999999</v>
      </c>
      <c r="F243" s="210">
        <v>1.008</v>
      </c>
      <c r="G243" s="210">
        <v>1.006</v>
      </c>
      <c r="H243" s="210">
        <v>1.008</v>
      </c>
    </row>
    <row r="244" spans="1:8" ht="21" customHeight="1" x14ac:dyDescent="0.2">
      <c r="A244" s="216">
        <v>877</v>
      </c>
      <c r="B244" s="285" t="s">
        <v>2764</v>
      </c>
      <c r="C244" s="286"/>
      <c r="D244" s="210">
        <v>1.008</v>
      </c>
      <c r="E244" s="210">
        <v>1.008</v>
      </c>
      <c r="F244" s="210">
        <v>1.008</v>
      </c>
      <c r="G244" s="210">
        <v>1.008</v>
      </c>
      <c r="H244" s="210">
        <v>1.008</v>
      </c>
    </row>
    <row r="245" spans="1:8" ht="21" customHeight="1" x14ac:dyDescent="0.2">
      <c r="A245" s="216">
        <v>878</v>
      </c>
      <c r="B245" s="285" t="s">
        <v>2765</v>
      </c>
      <c r="C245" s="286"/>
      <c r="D245" s="210">
        <v>1.022</v>
      </c>
      <c r="E245" s="210">
        <v>1.02</v>
      </c>
      <c r="F245" s="210">
        <v>1.022</v>
      </c>
      <c r="G245" s="210">
        <v>1.018</v>
      </c>
      <c r="H245" s="210">
        <v>1.02</v>
      </c>
    </row>
    <row r="246" spans="1:8" ht="21" customHeight="1" x14ac:dyDescent="0.2">
      <c r="A246" s="216">
        <v>879</v>
      </c>
      <c r="B246" s="285" t="s">
        <v>2766</v>
      </c>
      <c r="C246" s="286"/>
      <c r="D246" s="210">
        <v>1.022</v>
      </c>
      <c r="E246" s="210">
        <v>1.022</v>
      </c>
      <c r="F246" s="210">
        <v>1.0229999999999999</v>
      </c>
      <c r="G246" s="210">
        <v>1.02</v>
      </c>
      <c r="H246" s="210">
        <v>1.022</v>
      </c>
    </row>
    <row r="247" spans="1:8" ht="21" customHeight="1" x14ac:dyDescent="0.2">
      <c r="A247" s="216">
        <v>880</v>
      </c>
      <c r="B247" s="285" t="s">
        <v>2767</v>
      </c>
      <c r="C247" s="286"/>
      <c r="D247" s="210">
        <v>0.98599999999999999</v>
      </c>
      <c r="E247" s="210">
        <v>0.99199999999999999</v>
      </c>
      <c r="F247" s="210">
        <v>0.98799999999999999</v>
      </c>
      <c r="G247" s="210">
        <v>0.98799999999999999</v>
      </c>
      <c r="H247" s="210">
        <v>0.98599999999999999</v>
      </c>
    </row>
    <row r="248" spans="1:8" ht="21" customHeight="1" x14ac:dyDescent="0.2">
      <c r="A248" s="216">
        <v>881</v>
      </c>
      <c r="B248" s="285" t="s">
        <v>2768</v>
      </c>
      <c r="C248" s="286"/>
      <c r="D248" s="210">
        <v>1.0049999999999999</v>
      </c>
      <c r="E248" s="210">
        <v>1.0029999999999999</v>
      </c>
      <c r="F248" s="210">
        <v>1.0049999999999999</v>
      </c>
      <c r="G248" s="210">
        <v>1.004</v>
      </c>
      <c r="H248" s="210">
        <v>1.0049999999999999</v>
      </c>
    </row>
    <row r="249" spans="1:8" ht="21" customHeight="1" x14ac:dyDescent="0.2">
      <c r="A249" s="216">
        <v>882</v>
      </c>
      <c r="B249" s="285" t="s">
        <v>2769</v>
      </c>
      <c r="C249" s="286"/>
      <c r="D249" s="210">
        <v>1.0509999999999999</v>
      </c>
      <c r="E249" s="210">
        <v>1.0249999999999999</v>
      </c>
      <c r="F249" s="210">
        <v>1.044</v>
      </c>
      <c r="G249" s="210">
        <v>1.0369999999999999</v>
      </c>
      <c r="H249" s="210">
        <v>1.0469999999999999</v>
      </c>
    </row>
    <row r="250" spans="1:8" ht="21" customHeight="1" x14ac:dyDescent="0.2">
      <c r="A250" s="216">
        <v>883</v>
      </c>
      <c r="B250" s="285" t="s">
        <v>2770</v>
      </c>
      <c r="C250" s="286"/>
      <c r="D250" s="210">
        <v>1.0649999999999999</v>
      </c>
      <c r="E250" s="210">
        <v>1.0549999999999999</v>
      </c>
      <c r="F250" s="210">
        <v>1.0609999999999999</v>
      </c>
      <c r="G250" s="210">
        <v>1.048</v>
      </c>
      <c r="H250" s="210">
        <v>1.0569999999999999</v>
      </c>
    </row>
    <row r="251" spans="1:8" ht="21" customHeight="1" x14ac:dyDescent="0.2">
      <c r="A251" s="216">
        <v>884</v>
      </c>
      <c r="B251" s="285" t="s">
        <v>2771</v>
      </c>
      <c r="C251" s="286"/>
      <c r="D251" s="210">
        <v>1.026</v>
      </c>
      <c r="E251" s="210">
        <v>1.022</v>
      </c>
      <c r="F251" s="210">
        <v>1.032</v>
      </c>
      <c r="G251" s="210">
        <v>1.024</v>
      </c>
      <c r="H251" s="210">
        <v>1.0249999999999999</v>
      </c>
    </row>
    <row r="252" spans="1:8" ht="21" customHeight="1" x14ac:dyDescent="0.2">
      <c r="A252" s="216">
        <v>885</v>
      </c>
      <c r="B252" s="285" t="s">
        <v>2772</v>
      </c>
      <c r="C252" s="286"/>
      <c r="D252" s="210">
        <v>1.042</v>
      </c>
      <c r="E252" s="210">
        <v>1.02</v>
      </c>
      <c r="F252" s="210">
        <v>1.0349999999999999</v>
      </c>
      <c r="G252" s="210">
        <v>1.018</v>
      </c>
      <c r="H252" s="210">
        <v>1.0329999999999999</v>
      </c>
    </row>
    <row r="253" spans="1:8" ht="21" customHeight="1" x14ac:dyDescent="0.2">
      <c r="A253" s="216">
        <v>886</v>
      </c>
      <c r="B253" s="285" t="s">
        <v>2773</v>
      </c>
      <c r="C253" s="286"/>
      <c r="D253" s="210">
        <v>1.0549999999999999</v>
      </c>
      <c r="E253" s="210">
        <v>1.0269999999999999</v>
      </c>
      <c r="F253" s="210">
        <v>1.048</v>
      </c>
      <c r="G253" s="210">
        <v>1.04</v>
      </c>
      <c r="H253" s="210">
        <v>1.052</v>
      </c>
    </row>
    <row r="254" spans="1:8" ht="21" customHeight="1" x14ac:dyDescent="0.2">
      <c r="A254" s="216">
        <v>887</v>
      </c>
      <c r="B254" s="285" t="s">
        <v>2774</v>
      </c>
      <c r="C254" s="286"/>
      <c r="D254" s="210">
        <v>1.0389999999999999</v>
      </c>
      <c r="E254" s="210">
        <v>1.0289999999999999</v>
      </c>
      <c r="F254" s="210">
        <v>1.034</v>
      </c>
      <c r="G254" s="210">
        <v>1.0229999999999999</v>
      </c>
      <c r="H254" s="210">
        <v>1.034</v>
      </c>
    </row>
    <row r="255" spans="1:8" ht="21" customHeight="1" x14ac:dyDescent="0.2">
      <c r="A255" s="216">
        <v>888</v>
      </c>
      <c r="B255" s="285" t="s">
        <v>2775</v>
      </c>
      <c r="C255" s="286"/>
      <c r="D255" s="210">
        <v>1.0169999999999999</v>
      </c>
      <c r="E255" s="210">
        <v>1.0149999999999999</v>
      </c>
      <c r="F255" s="210">
        <v>1.016</v>
      </c>
      <c r="G255" s="210">
        <v>1.0169999999999999</v>
      </c>
      <c r="H255" s="210">
        <v>1.014</v>
      </c>
    </row>
    <row r="256" spans="1:8" ht="21" customHeight="1" x14ac:dyDescent="0.2">
      <c r="A256" s="216">
        <v>889</v>
      </c>
      <c r="B256" s="285" t="s">
        <v>2776</v>
      </c>
      <c r="C256" s="286"/>
      <c r="D256" s="210">
        <v>1.0329999999999999</v>
      </c>
      <c r="E256" s="210">
        <v>1.028</v>
      </c>
      <c r="F256" s="210">
        <v>1.028</v>
      </c>
      <c r="G256" s="210">
        <v>1.03</v>
      </c>
      <c r="H256" s="210">
        <v>1.03</v>
      </c>
    </row>
    <row r="257" spans="1:8" ht="21" customHeight="1" x14ac:dyDescent="0.2">
      <c r="A257" s="216">
        <v>890</v>
      </c>
      <c r="B257" s="285" t="s">
        <v>2777</v>
      </c>
      <c r="C257" s="286"/>
      <c r="D257" s="210">
        <v>1.022</v>
      </c>
      <c r="E257" s="210">
        <v>1.0089999999999999</v>
      </c>
      <c r="F257" s="210">
        <v>1.018</v>
      </c>
      <c r="G257" s="210">
        <v>1.0149999999999999</v>
      </c>
      <c r="H257" s="210">
        <v>1.02</v>
      </c>
    </row>
    <row r="258" spans="1:8" ht="21" customHeight="1" x14ac:dyDescent="0.2">
      <c r="A258" s="216">
        <v>891</v>
      </c>
      <c r="B258" s="285" t="s">
        <v>2778</v>
      </c>
      <c r="C258" s="286"/>
      <c r="D258" s="210">
        <v>1.03</v>
      </c>
      <c r="E258" s="210">
        <v>1.028</v>
      </c>
      <c r="F258" s="210">
        <v>1.024</v>
      </c>
      <c r="G258" s="210">
        <v>1.026</v>
      </c>
      <c r="H258" s="210">
        <v>1.0229999999999999</v>
      </c>
    </row>
    <row r="259" spans="1:8" ht="21" customHeight="1" x14ac:dyDescent="0.2">
      <c r="A259" s="216">
        <v>892</v>
      </c>
      <c r="B259" s="285" t="s">
        <v>2779</v>
      </c>
      <c r="C259" s="286"/>
      <c r="D259" s="210">
        <v>1.0920000000000001</v>
      </c>
      <c r="E259" s="210">
        <v>1.081</v>
      </c>
      <c r="F259" s="210">
        <v>1.089</v>
      </c>
      <c r="G259" s="210">
        <v>1.083</v>
      </c>
      <c r="H259" s="210">
        <v>1.0880000000000001</v>
      </c>
    </row>
    <row r="260" spans="1:8" ht="21" customHeight="1" x14ac:dyDescent="0.2">
      <c r="A260" s="216">
        <v>893</v>
      </c>
      <c r="B260" s="285" t="s">
        <v>2780</v>
      </c>
      <c r="C260" s="286"/>
      <c r="D260" s="210">
        <v>1.0409999999999999</v>
      </c>
      <c r="E260" s="210">
        <v>1.0189999999999999</v>
      </c>
      <c r="F260" s="210">
        <v>1.034</v>
      </c>
      <c r="G260" s="210">
        <v>1.0289999999999999</v>
      </c>
      <c r="H260" s="210">
        <v>1.038</v>
      </c>
    </row>
    <row r="261" spans="1:8" ht="21" customHeight="1" x14ac:dyDescent="0.2">
      <c r="A261" s="216">
        <v>894</v>
      </c>
      <c r="B261" s="285" t="s">
        <v>2781</v>
      </c>
      <c r="C261" s="286"/>
      <c r="D261" s="210">
        <v>1.06</v>
      </c>
      <c r="E261" s="210">
        <v>1.0449999999999999</v>
      </c>
      <c r="F261" s="210">
        <v>1.0580000000000001</v>
      </c>
      <c r="G261" s="210">
        <v>1.048</v>
      </c>
      <c r="H261" s="210">
        <v>1.0569999999999999</v>
      </c>
    </row>
    <row r="262" spans="1:8" ht="21" customHeight="1" x14ac:dyDescent="0.2">
      <c r="A262" s="216">
        <v>895</v>
      </c>
      <c r="B262" s="285" t="s">
        <v>2782</v>
      </c>
      <c r="C262" s="286"/>
      <c r="D262" s="210">
        <v>1.034</v>
      </c>
      <c r="E262" s="210">
        <v>1.018</v>
      </c>
      <c r="F262" s="210">
        <v>1.0289999999999999</v>
      </c>
      <c r="G262" s="210">
        <v>1.026</v>
      </c>
      <c r="H262" s="210">
        <v>1.032</v>
      </c>
    </row>
    <row r="263" spans="1:8" ht="21" customHeight="1" x14ac:dyDescent="0.2">
      <c r="A263" s="216">
        <v>896</v>
      </c>
      <c r="B263" s="285" t="s">
        <v>2783</v>
      </c>
      <c r="C263" s="286"/>
      <c r="D263" s="210">
        <v>1.0640000000000001</v>
      </c>
      <c r="E263" s="210">
        <v>1.0640000000000001</v>
      </c>
      <c r="F263" s="210">
        <v>1.0629999999999999</v>
      </c>
      <c r="G263" s="210">
        <v>1.06</v>
      </c>
      <c r="H263" s="210">
        <v>1.0629999999999999</v>
      </c>
    </row>
    <row r="264" spans="1:8" ht="21" customHeight="1" x14ac:dyDescent="0.2">
      <c r="A264" s="216">
        <v>897</v>
      </c>
      <c r="B264" s="285" t="s">
        <v>2784</v>
      </c>
      <c r="C264" s="286"/>
      <c r="D264" s="210">
        <v>1.0069999999999999</v>
      </c>
      <c r="E264" s="210">
        <v>1.0049999999999999</v>
      </c>
      <c r="F264" s="210">
        <v>1.0069999999999999</v>
      </c>
      <c r="G264" s="210">
        <v>1.006</v>
      </c>
      <c r="H264" s="210">
        <v>1.0069999999999999</v>
      </c>
    </row>
    <row r="265" spans="1:8" ht="21" customHeight="1" x14ac:dyDescent="0.2">
      <c r="A265" s="216">
        <v>898</v>
      </c>
      <c r="B265" s="285" t="s">
        <v>2785</v>
      </c>
      <c r="C265" s="286"/>
      <c r="D265" s="210">
        <v>1.014</v>
      </c>
      <c r="E265" s="210">
        <v>1.008</v>
      </c>
      <c r="F265" s="210">
        <v>1.012</v>
      </c>
      <c r="G265" s="210">
        <v>1.0109999999999999</v>
      </c>
      <c r="H265" s="210">
        <v>1.0129999999999999</v>
      </c>
    </row>
    <row r="266" spans="1:8" ht="21" customHeight="1" x14ac:dyDescent="0.2">
      <c r="A266" s="211"/>
      <c r="B266" s="212"/>
      <c r="C266" s="212"/>
      <c r="D266" s="213"/>
      <c r="E266" s="213"/>
      <c r="F266" s="213"/>
      <c r="G266" s="213"/>
      <c r="H266" s="213"/>
    </row>
    <row r="267" spans="1:8" x14ac:dyDescent="0.2">
      <c r="A267" s="293" t="s">
        <v>478</v>
      </c>
      <c r="B267" s="294"/>
      <c r="C267" s="294"/>
      <c r="D267" s="294"/>
      <c r="E267" s="294"/>
      <c r="F267" s="294"/>
      <c r="G267" s="294"/>
      <c r="H267" s="294"/>
    </row>
    <row r="268" spans="1:8" x14ac:dyDescent="0.2">
      <c r="A268" s="291" t="s">
        <v>61</v>
      </c>
      <c r="B268" s="292"/>
      <c r="C268" s="292"/>
      <c r="D268" s="292"/>
      <c r="E268" s="292"/>
      <c r="F268" s="292"/>
      <c r="G268" s="292"/>
      <c r="H268" s="292"/>
    </row>
    <row r="269" spans="1:8" ht="21" customHeight="1" x14ac:dyDescent="0.2">
      <c r="A269" s="206" t="s">
        <v>468</v>
      </c>
      <c r="B269" s="241" t="s">
        <v>59</v>
      </c>
      <c r="C269" s="242"/>
      <c r="D269" s="206" t="s">
        <v>54</v>
      </c>
      <c r="E269" s="206" t="s">
        <v>55</v>
      </c>
      <c r="F269" s="206" t="s">
        <v>56</v>
      </c>
      <c r="G269" s="206" t="s">
        <v>57</v>
      </c>
      <c r="H269" s="206" t="s">
        <v>716</v>
      </c>
    </row>
    <row r="270" spans="1:8" ht="21" customHeight="1" x14ac:dyDescent="0.2">
      <c r="A270" s="218">
        <v>432</v>
      </c>
      <c r="B270" s="285" t="s">
        <v>2558</v>
      </c>
      <c r="C270" s="286"/>
      <c r="D270" s="210">
        <v>1.0509999999999999</v>
      </c>
      <c r="E270" s="210">
        <v>1.0389999999999999</v>
      </c>
      <c r="F270" s="210">
        <v>1.046</v>
      </c>
      <c r="G270" s="210">
        <v>1.0349999999999999</v>
      </c>
      <c r="H270" s="210">
        <v>1.04</v>
      </c>
    </row>
    <row r="271" spans="1:8" ht="21" customHeight="1" x14ac:dyDescent="0.2">
      <c r="A271" s="216">
        <v>434</v>
      </c>
      <c r="B271" s="285" t="s">
        <v>2934</v>
      </c>
      <c r="C271" s="286"/>
      <c r="D271" s="210">
        <v>0.996</v>
      </c>
      <c r="E271" s="210">
        <v>0.997</v>
      </c>
      <c r="F271" s="210">
        <v>0.997</v>
      </c>
      <c r="G271" s="210">
        <v>0.997</v>
      </c>
      <c r="H271" s="210">
        <v>0.997</v>
      </c>
    </row>
    <row r="272" spans="1:8" ht="21" customHeight="1" x14ac:dyDescent="0.2">
      <c r="A272" s="218">
        <v>435</v>
      </c>
      <c r="B272" s="285" t="s">
        <v>2559</v>
      </c>
      <c r="C272" s="286"/>
      <c r="D272" s="210">
        <v>1.0509999999999999</v>
      </c>
      <c r="E272" s="210">
        <v>1.0389999999999999</v>
      </c>
      <c r="F272" s="210">
        <v>1.046</v>
      </c>
      <c r="G272" s="210">
        <v>1.0349999999999999</v>
      </c>
      <c r="H272" s="210">
        <v>1.04</v>
      </c>
    </row>
    <row r="273" spans="1:8" ht="21" customHeight="1" x14ac:dyDescent="0.2">
      <c r="A273" s="216">
        <v>436</v>
      </c>
      <c r="B273" s="285" t="s">
        <v>2931</v>
      </c>
      <c r="C273" s="286"/>
      <c r="D273" s="210">
        <v>0.999</v>
      </c>
      <c r="E273" s="210">
        <v>0.999</v>
      </c>
      <c r="F273" s="210">
        <v>1</v>
      </c>
      <c r="G273" s="210">
        <v>1</v>
      </c>
      <c r="H273" s="210">
        <v>1</v>
      </c>
    </row>
    <row r="274" spans="1:8" ht="21" customHeight="1" x14ac:dyDescent="0.2">
      <c r="A274" s="216">
        <v>437</v>
      </c>
      <c r="B274" s="285" t="s">
        <v>2932</v>
      </c>
      <c r="C274" s="286"/>
      <c r="D274" s="210">
        <v>0.999</v>
      </c>
      <c r="E274" s="210">
        <v>0.999</v>
      </c>
      <c r="F274" s="210">
        <v>1</v>
      </c>
      <c r="G274" s="210">
        <v>1</v>
      </c>
      <c r="H274" s="210">
        <v>0.999</v>
      </c>
    </row>
    <row r="275" spans="1:8" ht="21" customHeight="1" x14ac:dyDescent="0.2">
      <c r="A275" s="216">
        <v>438</v>
      </c>
      <c r="B275" s="285" t="s">
        <v>2936</v>
      </c>
      <c r="C275" s="286"/>
      <c r="D275" s="210">
        <v>0.999</v>
      </c>
      <c r="E275" s="210">
        <v>0.998</v>
      </c>
      <c r="F275" s="210">
        <v>0.998</v>
      </c>
      <c r="G275" s="210">
        <v>0.998</v>
      </c>
      <c r="H275" s="210">
        <v>0.998</v>
      </c>
    </row>
    <row r="276" spans="1:8" ht="21" customHeight="1" x14ac:dyDescent="0.2">
      <c r="A276" s="216">
        <v>439</v>
      </c>
      <c r="B276" s="285" t="s">
        <v>2937</v>
      </c>
      <c r="C276" s="286"/>
      <c r="D276" s="210">
        <v>1.022</v>
      </c>
      <c r="E276" s="210">
        <v>1.0029999999999999</v>
      </c>
      <c r="F276" s="210">
        <v>1.014</v>
      </c>
      <c r="G276" s="210">
        <v>1.004</v>
      </c>
      <c r="H276" s="210">
        <v>1.012</v>
      </c>
    </row>
    <row r="277" spans="1:8" ht="21" customHeight="1" x14ac:dyDescent="0.2">
      <c r="A277" s="216">
        <v>441</v>
      </c>
      <c r="B277" s="285" t="s">
        <v>2933</v>
      </c>
      <c r="C277" s="286"/>
      <c r="D277" s="210">
        <v>1</v>
      </c>
      <c r="E277" s="210">
        <v>0.998</v>
      </c>
      <c r="F277" s="210">
        <v>0.999</v>
      </c>
      <c r="G277" s="210">
        <v>0.998</v>
      </c>
      <c r="H277" s="210">
        <v>1</v>
      </c>
    </row>
    <row r="278" spans="1:8" ht="21" customHeight="1" x14ac:dyDescent="0.2">
      <c r="A278" s="218">
        <v>443</v>
      </c>
      <c r="B278" s="285" t="s">
        <v>2560</v>
      </c>
      <c r="C278" s="286"/>
      <c r="D278" s="210">
        <v>1.016</v>
      </c>
      <c r="E278" s="210">
        <v>1.0129999999999999</v>
      </c>
      <c r="F278" s="210">
        <v>1.0149999999999999</v>
      </c>
      <c r="G278" s="210">
        <v>1.0129999999999999</v>
      </c>
      <c r="H278" s="210">
        <v>1.0129999999999999</v>
      </c>
    </row>
    <row r="279" spans="1:8" ht="21" customHeight="1" x14ac:dyDescent="0.2">
      <c r="A279" s="218">
        <v>444</v>
      </c>
      <c r="B279" s="285" t="s">
        <v>2561</v>
      </c>
      <c r="C279" s="286"/>
      <c r="D279" s="210">
        <v>1.016</v>
      </c>
      <c r="E279" s="210">
        <v>1.0129999999999999</v>
      </c>
      <c r="F279" s="210">
        <v>1.0149999999999999</v>
      </c>
      <c r="G279" s="210">
        <v>1.0129999999999999</v>
      </c>
      <c r="H279" s="210">
        <v>1.0129999999999999</v>
      </c>
    </row>
    <row r="280" spans="1:8" ht="21" customHeight="1" x14ac:dyDescent="0.2">
      <c r="A280" s="218">
        <v>445</v>
      </c>
      <c r="B280" s="285" t="s">
        <v>2562</v>
      </c>
      <c r="C280" s="286"/>
      <c r="D280" s="210">
        <v>1.002</v>
      </c>
      <c r="E280" s="210">
        <v>1</v>
      </c>
      <c r="F280" s="210">
        <v>1.0009999999999999</v>
      </c>
      <c r="G280" s="210">
        <v>1</v>
      </c>
      <c r="H280" s="210">
        <v>1.0009999999999999</v>
      </c>
    </row>
    <row r="281" spans="1:8" ht="21" customHeight="1" x14ac:dyDescent="0.2">
      <c r="A281" s="216">
        <v>446</v>
      </c>
      <c r="B281" s="285" t="s">
        <v>2938</v>
      </c>
      <c r="C281" s="286"/>
      <c r="D281" s="210">
        <v>1.0009999999999999</v>
      </c>
      <c r="E281" s="210">
        <v>1.0009999999999999</v>
      </c>
      <c r="F281" s="210">
        <v>1.002</v>
      </c>
      <c r="G281" s="210">
        <v>1.0009999999999999</v>
      </c>
      <c r="H281" s="210">
        <v>1</v>
      </c>
    </row>
    <row r="282" spans="1:8" ht="21" customHeight="1" x14ac:dyDescent="0.2">
      <c r="A282" s="218">
        <v>447</v>
      </c>
      <c r="B282" s="285" t="s">
        <v>2563</v>
      </c>
      <c r="C282" s="286"/>
      <c r="D282" s="210">
        <v>1.004</v>
      </c>
      <c r="E282" s="210">
        <v>1.0029999999999999</v>
      </c>
      <c r="F282" s="210">
        <v>1.0029999999999999</v>
      </c>
      <c r="G282" s="210">
        <v>1.002</v>
      </c>
      <c r="H282" s="210">
        <v>1.0029999999999999</v>
      </c>
    </row>
    <row r="283" spans="1:8" ht="21" customHeight="1" x14ac:dyDescent="0.2">
      <c r="A283" s="216">
        <v>448</v>
      </c>
      <c r="B283" s="285" t="s">
        <v>2935</v>
      </c>
      <c r="C283" s="286"/>
      <c r="D283" s="210">
        <v>0.999</v>
      </c>
      <c r="E283" s="210">
        <v>0.996</v>
      </c>
      <c r="F283" s="210">
        <v>0.996</v>
      </c>
      <c r="G283" s="210">
        <v>0.999</v>
      </c>
      <c r="H283" s="210">
        <v>0.995</v>
      </c>
    </row>
    <row r="284" spans="1:8" ht="21" customHeight="1" x14ac:dyDescent="0.2">
      <c r="A284" s="203">
        <v>450</v>
      </c>
      <c r="B284" s="285" t="s">
        <v>2799</v>
      </c>
      <c r="C284" s="286"/>
      <c r="D284" s="210">
        <v>1.008</v>
      </c>
      <c r="E284" s="210">
        <v>0.996</v>
      </c>
      <c r="F284" s="210">
        <v>1.0029999999999999</v>
      </c>
      <c r="G284" s="210">
        <v>1.004</v>
      </c>
      <c r="H284" s="210">
        <v>1</v>
      </c>
    </row>
    <row r="285" spans="1:8" ht="21" customHeight="1" x14ac:dyDescent="0.2">
      <c r="A285" s="216">
        <v>451</v>
      </c>
      <c r="B285" s="285" t="s">
        <v>2800</v>
      </c>
      <c r="C285" s="286"/>
      <c r="D285" s="210">
        <v>1.004</v>
      </c>
      <c r="E285" s="210">
        <v>0.99399999999999999</v>
      </c>
      <c r="F285" s="210">
        <v>1.0069999999999999</v>
      </c>
      <c r="G285" s="210">
        <v>0.99399999999999999</v>
      </c>
      <c r="H285" s="210">
        <v>1.0029999999999999</v>
      </c>
    </row>
    <row r="286" spans="1:8" ht="21" customHeight="1" x14ac:dyDescent="0.2">
      <c r="A286" s="216">
        <v>452</v>
      </c>
      <c r="B286" s="285" t="s">
        <v>2801</v>
      </c>
      <c r="C286" s="286"/>
      <c r="D286" s="210">
        <v>1.012</v>
      </c>
      <c r="E286" s="210">
        <v>1.012</v>
      </c>
      <c r="F286" s="210">
        <v>1.0329999999999999</v>
      </c>
      <c r="G286" s="210">
        <v>1.0189999999999999</v>
      </c>
      <c r="H286" s="210">
        <v>1.034</v>
      </c>
    </row>
    <row r="287" spans="1:8" ht="21" customHeight="1" x14ac:dyDescent="0.2">
      <c r="A287" s="216">
        <v>453</v>
      </c>
      <c r="B287" s="285" t="s">
        <v>2802</v>
      </c>
      <c r="C287" s="286"/>
      <c r="D287" s="210">
        <v>1.0229999999999999</v>
      </c>
      <c r="E287" s="210">
        <v>1.01</v>
      </c>
      <c r="F287" s="210">
        <v>1.016</v>
      </c>
      <c r="G287" s="210">
        <v>1.0149999999999999</v>
      </c>
      <c r="H287" s="210">
        <v>1.0169999999999999</v>
      </c>
    </row>
    <row r="288" spans="1:8" ht="21" customHeight="1" x14ac:dyDescent="0.2">
      <c r="A288" s="216">
        <v>454</v>
      </c>
      <c r="B288" s="285" t="s">
        <v>2803</v>
      </c>
      <c r="C288" s="286"/>
      <c r="D288" s="210">
        <v>1.0189999999999999</v>
      </c>
      <c r="E288" s="210">
        <v>0.997</v>
      </c>
      <c r="F288" s="210">
        <v>1.0069999999999999</v>
      </c>
      <c r="G288" s="210">
        <v>1.032</v>
      </c>
      <c r="H288" s="210">
        <v>1.01</v>
      </c>
    </row>
    <row r="289" spans="1:8" ht="21" customHeight="1" x14ac:dyDescent="0.2">
      <c r="A289" s="216">
        <v>455</v>
      </c>
      <c r="B289" s="285" t="s">
        <v>2804</v>
      </c>
      <c r="C289" s="286"/>
      <c r="D289" s="210">
        <v>1.022</v>
      </c>
      <c r="E289" s="210">
        <v>1.0109999999999999</v>
      </c>
      <c r="F289" s="210">
        <v>1.0189999999999999</v>
      </c>
      <c r="G289" s="210">
        <v>1.0129999999999999</v>
      </c>
      <c r="H289" s="210">
        <v>1.02</v>
      </c>
    </row>
    <row r="290" spans="1:8" ht="21" customHeight="1" x14ac:dyDescent="0.2">
      <c r="A290" s="216">
        <v>456</v>
      </c>
      <c r="B290" s="285" t="s">
        <v>2805</v>
      </c>
      <c r="C290" s="286"/>
      <c r="D290" s="210">
        <v>1.0269999999999999</v>
      </c>
      <c r="E290" s="210">
        <v>1.0149999999999999</v>
      </c>
      <c r="F290" s="210">
        <v>1.0229999999999999</v>
      </c>
      <c r="G290" s="210">
        <v>1.0129999999999999</v>
      </c>
      <c r="H290" s="210">
        <v>1.024</v>
      </c>
    </row>
    <row r="291" spans="1:8" ht="21" customHeight="1" x14ac:dyDescent="0.2">
      <c r="A291" s="216">
        <v>457</v>
      </c>
      <c r="B291" s="285" t="s">
        <v>2940</v>
      </c>
      <c r="C291" s="286"/>
      <c r="D291" s="210">
        <v>1.024</v>
      </c>
      <c r="E291" s="210">
        <v>1.0069999999999999</v>
      </c>
      <c r="F291" s="210">
        <v>1.022</v>
      </c>
      <c r="G291" s="210">
        <v>1.0660000000000001</v>
      </c>
      <c r="H291" s="210">
        <v>1.026</v>
      </c>
    </row>
    <row r="292" spans="1:8" ht="21" customHeight="1" x14ac:dyDescent="0.2">
      <c r="A292" s="216">
        <v>458</v>
      </c>
      <c r="B292" s="285" t="s">
        <v>2806</v>
      </c>
      <c r="C292" s="286"/>
      <c r="D292" s="210">
        <v>1.0549999999999999</v>
      </c>
      <c r="E292" s="210">
        <v>1.022</v>
      </c>
      <c r="F292" s="210">
        <v>1.046</v>
      </c>
      <c r="G292" s="210">
        <v>1.0249999999999999</v>
      </c>
      <c r="H292" s="210">
        <v>1.0289999999999999</v>
      </c>
    </row>
    <row r="293" spans="1:8" ht="21" customHeight="1" x14ac:dyDescent="0.2">
      <c r="A293" s="216">
        <v>459</v>
      </c>
      <c r="B293" s="285" t="s">
        <v>2807</v>
      </c>
      <c r="C293" s="286"/>
      <c r="D293" s="210">
        <v>1.0209999999999999</v>
      </c>
      <c r="E293" s="210">
        <v>1.0149999999999999</v>
      </c>
      <c r="F293" s="210">
        <v>1.018</v>
      </c>
      <c r="G293" s="210">
        <v>1.0169999999999999</v>
      </c>
      <c r="H293" s="210">
        <v>1.0209999999999999</v>
      </c>
    </row>
    <row r="294" spans="1:8" ht="21" customHeight="1" x14ac:dyDescent="0.2">
      <c r="A294" s="216">
        <v>460</v>
      </c>
      <c r="B294" s="285" t="s">
        <v>2808</v>
      </c>
      <c r="C294" s="286"/>
      <c r="D294" s="210">
        <v>1.0109999999999999</v>
      </c>
      <c r="E294" s="210">
        <v>0.99</v>
      </c>
      <c r="F294" s="210">
        <v>0.995</v>
      </c>
      <c r="G294" s="210">
        <v>1.0069999999999999</v>
      </c>
      <c r="H294" s="210">
        <v>0.995</v>
      </c>
    </row>
    <row r="295" spans="1:8" ht="21" customHeight="1" x14ac:dyDescent="0.2">
      <c r="A295" s="216">
        <v>461</v>
      </c>
      <c r="B295" s="285" t="s">
        <v>2809</v>
      </c>
      <c r="C295" s="286"/>
      <c r="D295" s="210">
        <v>1.014</v>
      </c>
      <c r="E295" s="210">
        <v>1.0049999999999999</v>
      </c>
      <c r="F295" s="210">
        <v>1.0089999999999999</v>
      </c>
      <c r="G295" s="210">
        <v>1.0049999999999999</v>
      </c>
      <c r="H295" s="210">
        <v>1.0089999999999999</v>
      </c>
    </row>
    <row r="296" spans="1:8" ht="21" customHeight="1" x14ac:dyDescent="0.2">
      <c r="A296" s="216">
        <v>462</v>
      </c>
      <c r="B296" s="285" t="s">
        <v>2810</v>
      </c>
      <c r="C296" s="286"/>
      <c r="D296" s="210">
        <v>1.002</v>
      </c>
      <c r="E296" s="210">
        <v>0.98899999999999999</v>
      </c>
      <c r="F296" s="210">
        <v>0.99399999999999999</v>
      </c>
      <c r="G296" s="210">
        <v>1.0009999999999999</v>
      </c>
      <c r="H296" s="210">
        <v>0.99099999999999999</v>
      </c>
    </row>
    <row r="297" spans="1:8" ht="21" customHeight="1" x14ac:dyDescent="0.2">
      <c r="A297" s="216">
        <v>463</v>
      </c>
      <c r="B297" s="285" t="s">
        <v>2811</v>
      </c>
      <c r="C297" s="286"/>
      <c r="D297" s="210">
        <v>1.04</v>
      </c>
      <c r="E297" s="210">
        <v>1.014</v>
      </c>
      <c r="F297" s="210">
        <v>1.0229999999999999</v>
      </c>
      <c r="G297" s="210">
        <v>1.0249999999999999</v>
      </c>
      <c r="H297" s="210">
        <v>1.0249999999999999</v>
      </c>
    </row>
    <row r="298" spans="1:8" ht="21" customHeight="1" x14ac:dyDescent="0.2">
      <c r="A298" s="216">
        <v>464</v>
      </c>
      <c r="B298" s="285" t="s">
        <v>2812</v>
      </c>
      <c r="C298" s="286"/>
      <c r="D298" s="210">
        <v>0.999</v>
      </c>
      <c r="E298" s="210">
        <v>0.995</v>
      </c>
      <c r="F298" s="210">
        <v>0.998</v>
      </c>
      <c r="G298" s="210">
        <v>0.995</v>
      </c>
      <c r="H298" s="210">
        <v>0.99399999999999999</v>
      </c>
    </row>
    <row r="299" spans="1:8" ht="21" customHeight="1" x14ac:dyDescent="0.2">
      <c r="A299" s="216">
        <v>465</v>
      </c>
      <c r="B299" s="285" t="s">
        <v>2813</v>
      </c>
      <c r="C299" s="286"/>
      <c r="D299" s="210">
        <v>1.014</v>
      </c>
      <c r="E299" s="210">
        <v>0.99399999999999999</v>
      </c>
      <c r="F299" s="210">
        <v>1.0029999999999999</v>
      </c>
      <c r="G299" s="210">
        <v>1.006</v>
      </c>
      <c r="H299" s="210">
        <v>1.002</v>
      </c>
    </row>
    <row r="300" spans="1:8" ht="21" customHeight="1" x14ac:dyDescent="0.2">
      <c r="A300" s="216">
        <v>466</v>
      </c>
      <c r="B300" s="285" t="s">
        <v>2814</v>
      </c>
      <c r="C300" s="286"/>
      <c r="D300" s="210">
        <v>1</v>
      </c>
      <c r="E300" s="210">
        <v>0.98899999999999999</v>
      </c>
      <c r="F300" s="210">
        <v>1.0029999999999999</v>
      </c>
      <c r="G300" s="210">
        <v>1</v>
      </c>
      <c r="H300" s="210">
        <v>0.99399999999999999</v>
      </c>
    </row>
    <row r="301" spans="1:8" ht="21" customHeight="1" x14ac:dyDescent="0.2">
      <c r="A301" s="216">
        <v>467</v>
      </c>
      <c r="B301" s="285" t="s">
        <v>2815</v>
      </c>
      <c r="C301" s="286"/>
      <c r="D301" s="210">
        <v>1.0229999999999999</v>
      </c>
      <c r="E301" s="210">
        <v>1.006</v>
      </c>
      <c r="F301" s="210">
        <v>1.01</v>
      </c>
      <c r="G301" s="210">
        <v>1.0169999999999999</v>
      </c>
      <c r="H301" s="210">
        <v>1.0109999999999999</v>
      </c>
    </row>
    <row r="302" spans="1:8" ht="21" customHeight="1" x14ac:dyDescent="0.2">
      <c r="A302" s="216">
        <v>468</v>
      </c>
      <c r="B302" s="285" t="s">
        <v>2816</v>
      </c>
      <c r="C302" s="286"/>
      <c r="D302" s="210">
        <v>1.004</v>
      </c>
      <c r="E302" s="210">
        <v>0.99399999999999999</v>
      </c>
      <c r="F302" s="210">
        <v>0.99</v>
      </c>
      <c r="G302" s="210">
        <v>0.98</v>
      </c>
      <c r="H302" s="210">
        <v>0.999</v>
      </c>
    </row>
    <row r="303" spans="1:8" ht="21" customHeight="1" x14ac:dyDescent="0.2">
      <c r="A303" s="216">
        <v>469</v>
      </c>
      <c r="B303" s="285" t="s">
        <v>2817</v>
      </c>
      <c r="C303" s="286"/>
      <c r="D303" s="210">
        <v>1.0089999999999999</v>
      </c>
      <c r="E303" s="210">
        <v>0.999</v>
      </c>
      <c r="F303" s="210">
        <v>1.0029999999999999</v>
      </c>
      <c r="G303" s="210">
        <v>1.004</v>
      </c>
      <c r="H303" s="210">
        <v>1.004</v>
      </c>
    </row>
    <row r="304" spans="1:8" ht="21" customHeight="1" x14ac:dyDescent="0.2">
      <c r="A304" s="216">
        <v>470</v>
      </c>
      <c r="B304" s="285" t="s">
        <v>2818</v>
      </c>
      <c r="C304" s="286"/>
      <c r="D304" s="210">
        <v>0.98699999999999999</v>
      </c>
      <c r="E304" s="210">
        <v>0.98899999999999999</v>
      </c>
      <c r="F304" s="210">
        <v>1.012</v>
      </c>
      <c r="G304" s="210">
        <v>0.99199999999999999</v>
      </c>
      <c r="H304" s="210">
        <v>1.0009999999999999</v>
      </c>
    </row>
    <row r="305" spans="1:8" ht="21" customHeight="1" x14ac:dyDescent="0.2">
      <c r="A305" s="216">
        <v>471</v>
      </c>
      <c r="B305" s="285" t="s">
        <v>2819</v>
      </c>
      <c r="C305" s="286"/>
      <c r="D305" s="210">
        <v>1.0269999999999999</v>
      </c>
      <c r="E305" s="210">
        <v>1.0189999999999999</v>
      </c>
      <c r="F305" s="210">
        <v>1.0449999999999999</v>
      </c>
      <c r="G305" s="210">
        <v>1.014</v>
      </c>
      <c r="H305" s="210">
        <v>1.02</v>
      </c>
    </row>
    <row r="306" spans="1:8" ht="21" customHeight="1" x14ac:dyDescent="0.2">
      <c r="A306" s="218">
        <v>472</v>
      </c>
      <c r="B306" s="285" t="s">
        <v>2943</v>
      </c>
      <c r="C306" s="286"/>
      <c r="D306" s="210">
        <v>0.97199999999999998</v>
      </c>
      <c r="E306" s="210">
        <v>0.97299999999999998</v>
      </c>
      <c r="F306" s="210">
        <v>0.97199999999999998</v>
      </c>
      <c r="G306" s="210">
        <v>0.97299999999999998</v>
      </c>
      <c r="H306" s="210">
        <v>0.97299999999999998</v>
      </c>
    </row>
    <row r="307" spans="1:8" ht="21" customHeight="1" x14ac:dyDescent="0.2">
      <c r="A307" s="218">
        <v>473</v>
      </c>
      <c r="B307" s="285" t="s">
        <v>2944</v>
      </c>
      <c r="C307" s="286"/>
      <c r="D307" s="210">
        <v>0.98599999999999999</v>
      </c>
      <c r="E307" s="210">
        <v>0.98599999999999999</v>
      </c>
      <c r="F307" s="210">
        <v>0.98599999999999999</v>
      </c>
      <c r="G307" s="210">
        <v>0.98499999999999999</v>
      </c>
      <c r="H307" s="210">
        <v>0.97799999999999998</v>
      </c>
    </row>
    <row r="308" spans="1:8" ht="21" customHeight="1" x14ac:dyDescent="0.2">
      <c r="A308" s="221">
        <v>650</v>
      </c>
      <c r="B308" s="285" t="s">
        <v>2976</v>
      </c>
      <c r="C308" s="286"/>
      <c r="D308" s="210">
        <v>0.98799999999999999</v>
      </c>
      <c r="E308" s="210">
        <v>0.99199999999999999</v>
      </c>
      <c r="F308" s="210">
        <v>0.98699999999999999</v>
      </c>
      <c r="G308" s="210">
        <v>0.98799999999999999</v>
      </c>
      <c r="H308" s="210">
        <v>0.98799999999999999</v>
      </c>
    </row>
    <row r="309" spans="1:8" ht="21" customHeight="1" x14ac:dyDescent="0.2">
      <c r="A309" s="216">
        <v>651</v>
      </c>
      <c r="B309" s="285" t="s">
        <v>2820</v>
      </c>
      <c r="C309" s="286"/>
      <c r="D309" s="210">
        <v>1.016</v>
      </c>
      <c r="E309" s="210">
        <v>1.0129999999999999</v>
      </c>
      <c r="F309" s="210">
        <v>1.0149999999999999</v>
      </c>
      <c r="G309" s="210">
        <v>1.0129999999999999</v>
      </c>
      <c r="H309" s="210">
        <v>1.0129999999999999</v>
      </c>
    </row>
    <row r="310" spans="1:8" ht="21" customHeight="1" x14ac:dyDescent="0.2">
      <c r="A310" s="216">
        <v>652</v>
      </c>
      <c r="B310" s="285" t="s">
        <v>2821</v>
      </c>
      <c r="C310" s="286"/>
      <c r="D310" s="210">
        <v>0.98899999999999999</v>
      </c>
      <c r="E310" s="210">
        <v>0.98799999999999999</v>
      </c>
      <c r="F310" s="210">
        <v>0.99099999999999999</v>
      </c>
      <c r="G310" s="210">
        <v>0.99199999999999999</v>
      </c>
      <c r="H310" s="210">
        <v>0.98899999999999999</v>
      </c>
    </row>
    <row r="311" spans="1:8" ht="21" customHeight="1" x14ac:dyDescent="0.2">
      <c r="A311" s="216">
        <v>653</v>
      </c>
      <c r="B311" s="285" t="s">
        <v>2822</v>
      </c>
      <c r="C311" s="286"/>
      <c r="D311" s="210">
        <v>0.98099999999999998</v>
      </c>
      <c r="E311" s="210">
        <v>0.97599999999999998</v>
      </c>
      <c r="F311" s="210">
        <v>0.98099999999999998</v>
      </c>
      <c r="G311" s="210">
        <v>0.98799999999999999</v>
      </c>
      <c r="H311" s="210">
        <v>0.97299999999999998</v>
      </c>
    </row>
    <row r="312" spans="1:8" ht="21" customHeight="1" x14ac:dyDescent="0.2">
      <c r="A312" s="216">
        <v>654</v>
      </c>
      <c r="B312" s="285" t="s">
        <v>2823</v>
      </c>
      <c r="C312" s="286"/>
      <c r="D312" s="210">
        <v>1.0569999999999999</v>
      </c>
      <c r="E312" s="210">
        <v>1.0029999999999999</v>
      </c>
      <c r="F312" s="210">
        <v>1.0069999999999999</v>
      </c>
      <c r="G312" s="210">
        <v>1.004</v>
      </c>
      <c r="H312" s="210">
        <v>1.0049999999999999</v>
      </c>
    </row>
    <row r="313" spans="1:8" ht="21" customHeight="1" x14ac:dyDescent="0.2">
      <c r="A313" s="216">
        <v>655</v>
      </c>
      <c r="B313" s="285" t="s">
        <v>2824</v>
      </c>
      <c r="C313" s="286"/>
      <c r="D313" s="210">
        <v>0.97099999999999997</v>
      </c>
      <c r="E313" s="210">
        <v>0.99299999999999999</v>
      </c>
      <c r="F313" s="210">
        <v>0.97499999999999998</v>
      </c>
      <c r="G313" s="210">
        <v>0.98099999999999998</v>
      </c>
      <c r="H313" s="210">
        <v>0.97299999999999998</v>
      </c>
    </row>
    <row r="314" spans="1:8" ht="21" customHeight="1" x14ac:dyDescent="0.2">
      <c r="A314" s="216">
        <v>656</v>
      </c>
      <c r="B314" s="285" t="s">
        <v>2825</v>
      </c>
      <c r="C314" s="286"/>
      <c r="D314" s="210">
        <v>1.006</v>
      </c>
      <c r="E314" s="210">
        <v>1</v>
      </c>
      <c r="F314" s="210">
        <v>1</v>
      </c>
      <c r="G314" s="210">
        <v>1</v>
      </c>
      <c r="H314" s="210">
        <v>1</v>
      </c>
    </row>
    <row r="315" spans="1:8" ht="21" customHeight="1" x14ac:dyDescent="0.2">
      <c r="A315" s="216">
        <v>657</v>
      </c>
      <c r="B315" s="285" t="s">
        <v>2826</v>
      </c>
      <c r="C315" s="286"/>
      <c r="D315" s="210">
        <v>1.0009999999999999</v>
      </c>
      <c r="E315" s="210">
        <v>1</v>
      </c>
      <c r="F315" s="210">
        <v>1.0009999999999999</v>
      </c>
      <c r="G315" s="210">
        <v>1.0009999999999999</v>
      </c>
      <c r="H315" s="210">
        <v>1.0009999999999999</v>
      </c>
    </row>
    <row r="316" spans="1:8" ht="21" customHeight="1" x14ac:dyDescent="0.2">
      <c r="A316" s="216">
        <v>658</v>
      </c>
      <c r="B316" s="285" t="s">
        <v>2827</v>
      </c>
      <c r="C316" s="286"/>
      <c r="D316" s="210">
        <v>1.032</v>
      </c>
      <c r="E316" s="210">
        <v>1.0029999999999999</v>
      </c>
      <c r="F316" s="210">
        <v>1.004</v>
      </c>
      <c r="G316" s="210">
        <v>1.0029999999999999</v>
      </c>
      <c r="H316" s="210">
        <v>1.004</v>
      </c>
    </row>
    <row r="317" spans="1:8" ht="21" customHeight="1" x14ac:dyDescent="0.2">
      <c r="A317" s="216">
        <v>659</v>
      </c>
      <c r="B317" s="285" t="s">
        <v>2828</v>
      </c>
      <c r="C317" s="286"/>
      <c r="D317" s="210">
        <v>1.0349999999999999</v>
      </c>
      <c r="E317" s="210">
        <v>0.999</v>
      </c>
      <c r="F317" s="210">
        <v>0.997</v>
      </c>
      <c r="G317" s="210">
        <v>0.999</v>
      </c>
      <c r="H317" s="210">
        <v>0.997</v>
      </c>
    </row>
    <row r="318" spans="1:8" ht="21" customHeight="1" x14ac:dyDescent="0.2">
      <c r="A318" s="216">
        <v>660</v>
      </c>
      <c r="B318" s="285" t="s">
        <v>2829</v>
      </c>
      <c r="C318" s="286"/>
      <c r="D318" s="210">
        <v>0.998</v>
      </c>
      <c r="E318" s="210">
        <v>0.999</v>
      </c>
      <c r="F318" s="210">
        <v>0.998</v>
      </c>
      <c r="G318" s="210">
        <v>0.998</v>
      </c>
      <c r="H318" s="210">
        <v>0.998</v>
      </c>
    </row>
    <row r="319" spans="1:8" ht="21" customHeight="1" x14ac:dyDescent="0.2">
      <c r="A319" s="216">
        <v>661</v>
      </c>
      <c r="B319" s="285" t="s">
        <v>2830</v>
      </c>
      <c r="C319" s="286"/>
      <c r="D319" s="210">
        <v>0.995</v>
      </c>
      <c r="E319" s="210">
        <v>0.98499999999999999</v>
      </c>
      <c r="F319" s="210">
        <v>0.99399999999999999</v>
      </c>
      <c r="G319" s="210">
        <v>0.996</v>
      </c>
      <c r="H319" s="210">
        <v>0.99199999999999999</v>
      </c>
    </row>
    <row r="320" spans="1:8" ht="21" customHeight="1" x14ac:dyDescent="0.2">
      <c r="A320" s="216">
        <v>662</v>
      </c>
      <c r="B320" s="285" t="s">
        <v>2831</v>
      </c>
      <c r="C320" s="286"/>
      <c r="D320" s="210">
        <v>1</v>
      </c>
      <c r="E320" s="210">
        <v>1.0009999999999999</v>
      </c>
      <c r="F320" s="210">
        <v>1.0029999999999999</v>
      </c>
      <c r="G320" s="210">
        <v>1.0009999999999999</v>
      </c>
      <c r="H320" s="210">
        <v>1.0029999999999999</v>
      </c>
    </row>
    <row r="321" spans="1:8" ht="21" customHeight="1" x14ac:dyDescent="0.2">
      <c r="A321" s="216">
        <v>663</v>
      </c>
      <c r="B321" s="285" t="s">
        <v>2832</v>
      </c>
      <c r="C321" s="286"/>
      <c r="D321" s="210">
        <v>1.0129999999999999</v>
      </c>
      <c r="E321" s="210">
        <v>1.002</v>
      </c>
      <c r="F321" s="210">
        <v>1.0149999999999999</v>
      </c>
      <c r="G321" s="210">
        <v>1.0009999999999999</v>
      </c>
      <c r="H321" s="210">
        <v>0.98899999999999999</v>
      </c>
    </row>
    <row r="322" spans="1:8" ht="21" customHeight="1" x14ac:dyDescent="0.2">
      <c r="A322" s="216">
        <v>664</v>
      </c>
      <c r="B322" s="285" t="s">
        <v>2833</v>
      </c>
      <c r="C322" s="286"/>
      <c r="D322" s="210">
        <v>1.0509999999999999</v>
      </c>
      <c r="E322" s="210">
        <v>1.0389999999999999</v>
      </c>
      <c r="F322" s="210">
        <v>1.046</v>
      </c>
      <c r="G322" s="210">
        <v>1.0349999999999999</v>
      </c>
      <c r="H322" s="210">
        <v>1.04</v>
      </c>
    </row>
    <row r="323" spans="1:8" ht="21" customHeight="1" x14ac:dyDescent="0.2">
      <c r="A323" s="216">
        <v>665</v>
      </c>
      <c r="B323" s="285" t="s">
        <v>2834</v>
      </c>
      <c r="C323" s="286"/>
      <c r="D323" s="210">
        <v>0.98</v>
      </c>
      <c r="E323" s="210">
        <v>0.98499999999999999</v>
      </c>
      <c r="F323" s="210">
        <v>0.99199999999999999</v>
      </c>
      <c r="G323" s="210">
        <v>0.97199999999999998</v>
      </c>
      <c r="H323" s="210">
        <v>0.99099999999999999</v>
      </c>
    </row>
    <row r="324" spans="1:8" ht="21" customHeight="1" x14ac:dyDescent="0.2">
      <c r="A324" s="216">
        <v>666</v>
      </c>
      <c r="B324" s="285" t="s">
        <v>2835</v>
      </c>
      <c r="C324" s="286"/>
      <c r="D324" s="210">
        <v>1.0209999999999999</v>
      </c>
      <c r="E324" s="210">
        <v>1</v>
      </c>
      <c r="F324" s="210">
        <v>1.0089999999999999</v>
      </c>
      <c r="G324" s="210">
        <v>1.034</v>
      </c>
      <c r="H324" s="210">
        <v>1.018</v>
      </c>
    </row>
    <row r="325" spans="1:8" ht="21" customHeight="1" x14ac:dyDescent="0.2">
      <c r="A325" s="216">
        <v>667</v>
      </c>
      <c r="B325" s="285" t="s">
        <v>2836</v>
      </c>
      <c r="C325" s="286"/>
      <c r="D325" s="210">
        <v>1.0149999999999999</v>
      </c>
      <c r="E325" s="210">
        <v>1.0009999999999999</v>
      </c>
      <c r="F325" s="210">
        <v>1.0089999999999999</v>
      </c>
      <c r="G325" s="210">
        <v>1.0089999999999999</v>
      </c>
      <c r="H325" s="210">
        <v>1.01</v>
      </c>
    </row>
    <row r="326" spans="1:8" ht="21" customHeight="1" x14ac:dyDescent="0.2">
      <c r="A326" s="216">
        <v>668</v>
      </c>
      <c r="B326" s="285" t="s">
        <v>2837</v>
      </c>
      <c r="C326" s="286"/>
      <c r="D326" s="210">
        <v>1.026</v>
      </c>
      <c r="E326" s="210">
        <v>0.998</v>
      </c>
      <c r="F326" s="210">
        <v>1.0009999999999999</v>
      </c>
      <c r="G326" s="210">
        <v>1</v>
      </c>
      <c r="H326" s="210">
        <v>1</v>
      </c>
    </row>
    <row r="327" spans="1:8" ht="21" customHeight="1" x14ac:dyDescent="0.2">
      <c r="A327" s="216">
        <v>669</v>
      </c>
      <c r="B327" s="285" t="s">
        <v>2838</v>
      </c>
      <c r="C327" s="286"/>
      <c r="D327" s="210">
        <v>1.008</v>
      </c>
      <c r="E327" s="210">
        <v>1.0049999999999999</v>
      </c>
      <c r="F327" s="210">
        <v>1.006</v>
      </c>
      <c r="G327" s="210">
        <v>1.006</v>
      </c>
      <c r="H327" s="210">
        <v>1.0069999999999999</v>
      </c>
    </row>
    <row r="328" spans="1:8" ht="21" customHeight="1" x14ac:dyDescent="0.2">
      <c r="A328" s="216">
        <v>670</v>
      </c>
      <c r="B328" s="285" t="s">
        <v>2839</v>
      </c>
      <c r="C328" s="286"/>
      <c r="D328" s="210">
        <v>1.012</v>
      </c>
      <c r="E328" s="210">
        <v>0.999</v>
      </c>
      <c r="F328" s="210">
        <v>1.0009999999999999</v>
      </c>
      <c r="G328" s="210">
        <v>1.0009999999999999</v>
      </c>
      <c r="H328" s="210">
        <v>1.0009999999999999</v>
      </c>
    </row>
    <row r="329" spans="1:8" ht="21" customHeight="1" x14ac:dyDescent="0.2">
      <c r="A329" s="216">
        <v>671</v>
      </c>
      <c r="B329" s="285" t="s">
        <v>2840</v>
      </c>
      <c r="C329" s="286"/>
      <c r="D329" s="210">
        <v>1.0529999999999999</v>
      </c>
      <c r="E329" s="210">
        <v>1.034</v>
      </c>
      <c r="F329" s="210">
        <v>1.038</v>
      </c>
      <c r="G329" s="210">
        <v>1.0189999999999999</v>
      </c>
      <c r="H329" s="210">
        <v>1.044</v>
      </c>
    </row>
    <row r="330" spans="1:8" ht="21" customHeight="1" x14ac:dyDescent="0.2">
      <c r="A330" s="216">
        <v>672</v>
      </c>
      <c r="B330" s="285" t="s">
        <v>2841</v>
      </c>
      <c r="C330" s="286"/>
      <c r="D330" s="210">
        <v>1.0129999999999999</v>
      </c>
      <c r="E330" s="210">
        <v>1.002</v>
      </c>
      <c r="F330" s="210">
        <v>1.0049999999999999</v>
      </c>
      <c r="G330" s="210">
        <v>1.004</v>
      </c>
      <c r="H330" s="210">
        <v>1.0049999999999999</v>
      </c>
    </row>
    <row r="331" spans="1:8" ht="21" customHeight="1" x14ac:dyDescent="0.2">
      <c r="A331" s="216">
        <v>673</v>
      </c>
      <c r="B331" s="285" t="s">
        <v>2842</v>
      </c>
      <c r="C331" s="286"/>
      <c r="D331" s="210">
        <v>1.032</v>
      </c>
      <c r="E331" s="210">
        <v>0.997</v>
      </c>
      <c r="F331" s="210">
        <v>1.004</v>
      </c>
      <c r="G331" s="210">
        <v>0.99299999999999999</v>
      </c>
      <c r="H331" s="210">
        <v>1.004</v>
      </c>
    </row>
    <row r="332" spans="1:8" ht="21" customHeight="1" x14ac:dyDescent="0.2">
      <c r="A332" s="216">
        <v>674</v>
      </c>
      <c r="B332" s="285" t="s">
        <v>2843</v>
      </c>
      <c r="C332" s="286"/>
      <c r="D332" s="210">
        <v>0.98099999999999998</v>
      </c>
      <c r="E332" s="210">
        <v>0.97599999999999998</v>
      </c>
      <c r="F332" s="210">
        <v>0.98099999999999998</v>
      </c>
      <c r="G332" s="210">
        <v>0.98799999999999999</v>
      </c>
      <c r="H332" s="210">
        <v>0.97299999999999998</v>
      </c>
    </row>
    <row r="333" spans="1:8" ht="21" customHeight="1" x14ac:dyDescent="0.2">
      <c r="A333" s="216">
        <v>675</v>
      </c>
      <c r="B333" s="285" t="s">
        <v>2844</v>
      </c>
      <c r="C333" s="286"/>
      <c r="D333" s="210">
        <v>0.97799999999999998</v>
      </c>
      <c r="E333" s="210">
        <v>0.99099999999999999</v>
      </c>
      <c r="F333" s="210">
        <v>0.98499999999999999</v>
      </c>
      <c r="G333" s="210">
        <v>0.97299999999999998</v>
      </c>
      <c r="H333" s="210">
        <v>0.97899999999999998</v>
      </c>
    </row>
    <row r="334" spans="1:8" ht="21" customHeight="1" x14ac:dyDescent="0.2">
      <c r="A334" s="216">
        <v>676</v>
      </c>
      <c r="B334" s="285" t="s">
        <v>2845</v>
      </c>
      <c r="C334" s="286"/>
      <c r="D334" s="210">
        <v>0.97799999999999998</v>
      </c>
      <c r="E334" s="210">
        <v>0.97699999999999998</v>
      </c>
      <c r="F334" s="210">
        <v>0.97699999999999998</v>
      </c>
      <c r="G334" s="210">
        <v>0.98499999999999999</v>
      </c>
      <c r="H334" s="210">
        <v>0.97599999999999998</v>
      </c>
    </row>
    <row r="335" spans="1:8" ht="21" customHeight="1" x14ac:dyDescent="0.2">
      <c r="A335" s="216">
        <v>677</v>
      </c>
      <c r="B335" s="285" t="s">
        <v>2846</v>
      </c>
      <c r="C335" s="286"/>
      <c r="D335" s="210">
        <v>0.996</v>
      </c>
      <c r="E335" s="210">
        <v>0.99299999999999999</v>
      </c>
      <c r="F335" s="210">
        <v>0.99299999999999999</v>
      </c>
      <c r="G335" s="210">
        <v>0.997</v>
      </c>
      <c r="H335" s="210">
        <v>0.995</v>
      </c>
    </row>
    <row r="336" spans="1:8" ht="21" customHeight="1" x14ac:dyDescent="0.2">
      <c r="A336" s="216">
        <v>678</v>
      </c>
      <c r="B336" s="285" t="s">
        <v>2847</v>
      </c>
      <c r="C336" s="286"/>
      <c r="D336" s="210">
        <v>1.0029999999999999</v>
      </c>
      <c r="E336" s="210">
        <v>1.0009999999999999</v>
      </c>
      <c r="F336" s="210">
        <v>1.0009999999999999</v>
      </c>
      <c r="G336" s="210">
        <v>1.0009999999999999</v>
      </c>
      <c r="H336" s="210">
        <v>1.002</v>
      </c>
    </row>
    <row r="337" spans="1:8" ht="21" customHeight="1" x14ac:dyDescent="0.2">
      <c r="A337" s="216">
        <v>679</v>
      </c>
      <c r="B337" s="285" t="s">
        <v>2848</v>
      </c>
      <c r="C337" s="286"/>
      <c r="D337" s="210">
        <v>1.0680000000000001</v>
      </c>
      <c r="E337" s="210">
        <v>0.99399999999999999</v>
      </c>
      <c r="F337" s="210">
        <v>1</v>
      </c>
      <c r="G337" s="210">
        <v>0.999</v>
      </c>
      <c r="H337" s="210">
        <v>0.997</v>
      </c>
    </row>
    <row r="338" spans="1:8" ht="21" customHeight="1" x14ac:dyDescent="0.2">
      <c r="A338" s="216">
        <v>680</v>
      </c>
      <c r="B338" s="285" t="s">
        <v>2849</v>
      </c>
      <c r="C338" s="286"/>
      <c r="D338" s="210">
        <v>1.0409999999999999</v>
      </c>
      <c r="E338" s="210">
        <v>1.012</v>
      </c>
      <c r="F338" s="210">
        <v>1.0209999999999999</v>
      </c>
      <c r="G338" s="210">
        <v>1.012</v>
      </c>
      <c r="H338" s="210">
        <v>1.0169999999999999</v>
      </c>
    </row>
    <row r="339" spans="1:8" ht="21" customHeight="1" x14ac:dyDescent="0.2">
      <c r="A339" s="216">
        <v>681</v>
      </c>
      <c r="B339" s="285" t="s">
        <v>2850</v>
      </c>
      <c r="C339" s="286"/>
      <c r="D339" s="210">
        <v>0.99299999999999999</v>
      </c>
      <c r="E339" s="210">
        <v>0.98799999999999999</v>
      </c>
      <c r="F339" s="210">
        <v>0.98899999999999999</v>
      </c>
      <c r="G339" s="210">
        <v>0.99199999999999999</v>
      </c>
      <c r="H339" s="210">
        <v>0.98799999999999999</v>
      </c>
    </row>
    <row r="340" spans="1:8" ht="21" customHeight="1" x14ac:dyDescent="0.2">
      <c r="A340" s="216">
        <v>682</v>
      </c>
      <c r="B340" s="285" t="s">
        <v>2851</v>
      </c>
      <c r="C340" s="286"/>
      <c r="D340" s="210">
        <v>0.99299999999999999</v>
      </c>
      <c r="E340" s="210">
        <v>0.99</v>
      </c>
      <c r="F340" s="210">
        <v>1.0009999999999999</v>
      </c>
      <c r="G340" s="210">
        <v>0.99399999999999999</v>
      </c>
      <c r="H340" s="210">
        <v>0.99399999999999999</v>
      </c>
    </row>
    <row r="341" spans="1:8" ht="21" customHeight="1" x14ac:dyDescent="0.2">
      <c r="A341" s="216">
        <v>683</v>
      </c>
      <c r="B341" s="285" t="s">
        <v>2852</v>
      </c>
      <c r="C341" s="286"/>
      <c r="D341" s="210">
        <v>1.0049999999999999</v>
      </c>
      <c r="E341" s="210">
        <v>1.006</v>
      </c>
      <c r="F341" s="210">
        <v>1.008</v>
      </c>
      <c r="G341" s="210">
        <v>1.004</v>
      </c>
      <c r="H341" s="210">
        <v>1.012</v>
      </c>
    </row>
    <row r="342" spans="1:8" ht="21" customHeight="1" x14ac:dyDescent="0.2">
      <c r="A342" s="216">
        <v>684</v>
      </c>
      <c r="B342" s="285" t="s">
        <v>2853</v>
      </c>
      <c r="C342" s="286"/>
      <c r="D342" s="210">
        <v>1.006</v>
      </c>
      <c r="E342" s="210">
        <v>1.0029999999999999</v>
      </c>
      <c r="F342" s="210">
        <v>1.004</v>
      </c>
      <c r="G342" s="210">
        <v>1.0049999999999999</v>
      </c>
      <c r="H342" s="210">
        <v>1.0009999999999999</v>
      </c>
    </row>
    <row r="343" spans="1:8" ht="21" customHeight="1" x14ac:dyDescent="0.2">
      <c r="A343" s="216">
        <v>685</v>
      </c>
      <c r="B343" s="285" t="s">
        <v>2854</v>
      </c>
      <c r="C343" s="286"/>
      <c r="D343" s="210">
        <v>1.0029999999999999</v>
      </c>
      <c r="E343" s="210">
        <v>1.0009999999999999</v>
      </c>
      <c r="F343" s="210">
        <v>1.004</v>
      </c>
      <c r="G343" s="210">
        <v>1.0029999999999999</v>
      </c>
      <c r="H343" s="210">
        <v>1.0049999999999999</v>
      </c>
    </row>
    <row r="344" spans="1:8" ht="21" customHeight="1" x14ac:dyDescent="0.2">
      <c r="A344" s="216">
        <v>686</v>
      </c>
      <c r="B344" s="285" t="s">
        <v>2855</v>
      </c>
      <c r="C344" s="286"/>
      <c r="D344" s="210">
        <v>1.002</v>
      </c>
      <c r="E344" s="210">
        <v>1</v>
      </c>
      <c r="F344" s="210">
        <v>1.0009999999999999</v>
      </c>
      <c r="G344" s="210">
        <v>1</v>
      </c>
      <c r="H344" s="210">
        <v>1.0009999999999999</v>
      </c>
    </row>
    <row r="345" spans="1:8" ht="21" customHeight="1" x14ac:dyDescent="0.2">
      <c r="A345" s="216">
        <v>687</v>
      </c>
      <c r="B345" s="285" t="s">
        <v>2856</v>
      </c>
      <c r="C345" s="286"/>
      <c r="D345" s="210">
        <v>1.0329999999999999</v>
      </c>
      <c r="E345" s="210">
        <v>1.006</v>
      </c>
      <c r="F345" s="210">
        <v>1.008</v>
      </c>
      <c r="G345" s="210">
        <v>1.006</v>
      </c>
      <c r="H345" s="210">
        <v>1.01</v>
      </c>
    </row>
    <row r="346" spans="1:8" ht="21" customHeight="1" x14ac:dyDescent="0.2">
      <c r="A346" s="216">
        <v>688</v>
      </c>
      <c r="B346" s="285" t="s">
        <v>2857</v>
      </c>
      <c r="C346" s="286"/>
      <c r="D346" s="210">
        <v>1.006</v>
      </c>
      <c r="E346" s="210">
        <v>1.004</v>
      </c>
      <c r="F346" s="210">
        <v>1.0089999999999999</v>
      </c>
      <c r="G346" s="210">
        <v>1.004</v>
      </c>
      <c r="H346" s="210">
        <v>1.0009999999999999</v>
      </c>
    </row>
    <row r="347" spans="1:8" ht="21" customHeight="1" x14ac:dyDescent="0.2">
      <c r="A347" s="216">
        <v>689</v>
      </c>
      <c r="B347" s="285" t="s">
        <v>2858</v>
      </c>
      <c r="C347" s="286"/>
      <c r="D347" s="210">
        <v>0.999</v>
      </c>
      <c r="E347" s="210">
        <v>1</v>
      </c>
      <c r="F347" s="210">
        <v>1.0009999999999999</v>
      </c>
      <c r="G347" s="210">
        <v>0.998</v>
      </c>
      <c r="H347" s="210">
        <v>1.0009999999999999</v>
      </c>
    </row>
    <row r="348" spans="1:8" ht="21" customHeight="1" x14ac:dyDescent="0.2">
      <c r="A348" s="216">
        <v>690</v>
      </c>
      <c r="B348" s="285" t="s">
        <v>2859</v>
      </c>
      <c r="C348" s="286"/>
      <c r="D348" s="210">
        <v>1.0089999999999999</v>
      </c>
      <c r="E348" s="210">
        <v>1.002</v>
      </c>
      <c r="F348" s="210">
        <v>1</v>
      </c>
      <c r="G348" s="210">
        <v>1.0069999999999999</v>
      </c>
      <c r="H348" s="210">
        <v>1</v>
      </c>
    </row>
    <row r="349" spans="1:8" ht="21" customHeight="1" x14ac:dyDescent="0.2">
      <c r="A349" s="216">
        <v>691</v>
      </c>
      <c r="B349" s="285" t="s">
        <v>2860</v>
      </c>
      <c r="C349" s="286"/>
      <c r="D349" s="210">
        <v>1.0229999999999999</v>
      </c>
      <c r="E349" s="210">
        <v>1.0049999999999999</v>
      </c>
      <c r="F349" s="210">
        <v>1.016</v>
      </c>
      <c r="G349" s="210">
        <v>1.0189999999999999</v>
      </c>
      <c r="H349" s="210">
        <v>1.0209999999999999</v>
      </c>
    </row>
    <row r="350" spans="1:8" ht="21" customHeight="1" x14ac:dyDescent="0.2">
      <c r="A350" s="216">
        <v>692</v>
      </c>
      <c r="B350" s="285" t="s">
        <v>2861</v>
      </c>
      <c r="C350" s="286"/>
      <c r="D350" s="210">
        <v>1.002</v>
      </c>
      <c r="E350" s="210">
        <v>1.0009999999999999</v>
      </c>
      <c r="F350" s="210">
        <v>1.002</v>
      </c>
      <c r="G350" s="210">
        <v>1.0009999999999999</v>
      </c>
      <c r="H350" s="210">
        <v>1.002</v>
      </c>
    </row>
    <row r="351" spans="1:8" ht="21" customHeight="1" x14ac:dyDescent="0.2">
      <c r="A351" s="216">
        <v>693</v>
      </c>
      <c r="B351" s="285" t="s">
        <v>2862</v>
      </c>
      <c r="C351" s="286"/>
      <c r="D351" s="210">
        <v>1.0029999999999999</v>
      </c>
      <c r="E351" s="210">
        <v>0.998</v>
      </c>
      <c r="F351" s="210">
        <v>0.998</v>
      </c>
      <c r="G351" s="210">
        <v>1.0009999999999999</v>
      </c>
      <c r="H351" s="210">
        <v>1.004</v>
      </c>
    </row>
    <row r="352" spans="1:8" ht="21" customHeight="1" x14ac:dyDescent="0.2">
      <c r="A352" s="216">
        <v>694</v>
      </c>
      <c r="B352" s="285" t="s">
        <v>2863</v>
      </c>
      <c r="C352" s="286"/>
      <c r="D352" s="210">
        <v>1.034</v>
      </c>
      <c r="E352" s="210">
        <v>1.026</v>
      </c>
      <c r="F352" s="210">
        <v>1.032</v>
      </c>
      <c r="G352" s="210">
        <v>1.0329999999999999</v>
      </c>
      <c r="H352" s="210">
        <v>1.0369999999999999</v>
      </c>
    </row>
    <row r="353" spans="1:8" ht="21" customHeight="1" x14ac:dyDescent="0.2">
      <c r="A353" s="216">
        <v>695</v>
      </c>
      <c r="B353" s="285" t="s">
        <v>2864</v>
      </c>
      <c r="C353" s="286"/>
      <c r="D353" s="210">
        <v>0.99099999999999999</v>
      </c>
      <c r="E353" s="210">
        <v>0.98</v>
      </c>
      <c r="F353" s="210">
        <v>0.99399999999999999</v>
      </c>
      <c r="G353" s="210">
        <v>0.98799999999999999</v>
      </c>
      <c r="H353" s="210">
        <v>0.99299999999999999</v>
      </c>
    </row>
    <row r="354" spans="1:8" ht="21" customHeight="1" x14ac:dyDescent="0.2">
      <c r="A354" s="216">
        <v>696</v>
      </c>
      <c r="B354" s="285" t="s">
        <v>2865</v>
      </c>
      <c r="C354" s="286"/>
      <c r="D354" s="210">
        <v>1.01</v>
      </c>
      <c r="E354" s="210">
        <v>1.002</v>
      </c>
      <c r="F354" s="210">
        <v>1.0089999999999999</v>
      </c>
      <c r="G354" s="210">
        <v>1.032</v>
      </c>
      <c r="H354" s="210">
        <v>1.0129999999999999</v>
      </c>
    </row>
    <row r="355" spans="1:8" ht="21" customHeight="1" x14ac:dyDescent="0.2">
      <c r="A355" s="216">
        <v>697</v>
      </c>
      <c r="B355" s="285" t="s">
        <v>2866</v>
      </c>
      <c r="C355" s="286"/>
      <c r="D355" s="210">
        <v>1.0069999999999999</v>
      </c>
      <c r="E355" s="210">
        <v>1.002</v>
      </c>
      <c r="F355" s="210">
        <v>1.006</v>
      </c>
      <c r="G355" s="210">
        <v>1.022</v>
      </c>
      <c r="H355" s="210">
        <v>1.008</v>
      </c>
    </row>
    <row r="356" spans="1:8" ht="21" customHeight="1" x14ac:dyDescent="0.2">
      <c r="A356" s="216">
        <v>698</v>
      </c>
      <c r="B356" s="285" t="s">
        <v>2867</v>
      </c>
      <c r="C356" s="286"/>
      <c r="D356" s="210">
        <v>0.97499999999999998</v>
      </c>
      <c r="E356" s="210">
        <v>0.98299999999999998</v>
      </c>
      <c r="F356" s="210">
        <v>0.97399999999999998</v>
      </c>
      <c r="G356" s="210">
        <v>0.97799999999999998</v>
      </c>
      <c r="H356" s="210">
        <v>0.97599999999999998</v>
      </c>
    </row>
    <row r="357" spans="1:8" ht="21" customHeight="1" x14ac:dyDescent="0.2">
      <c r="A357" s="216">
        <v>699</v>
      </c>
      <c r="B357" s="285" t="s">
        <v>2868</v>
      </c>
      <c r="C357" s="286"/>
      <c r="D357" s="210">
        <v>1.0229999999999999</v>
      </c>
      <c r="E357" s="210">
        <v>1.002</v>
      </c>
      <c r="F357" s="210">
        <v>1.02</v>
      </c>
      <c r="G357" s="210">
        <v>1.012</v>
      </c>
      <c r="H357" s="210">
        <v>1.0189999999999999</v>
      </c>
    </row>
    <row r="358" spans="1:8" ht="21" customHeight="1" x14ac:dyDescent="0.2">
      <c r="A358" s="216">
        <v>700</v>
      </c>
      <c r="B358" s="285" t="s">
        <v>2869</v>
      </c>
      <c r="C358" s="286"/>
      <c r="D358" s="210">
        <v>1.012</v>
      </c>
      <c r="E358" s="210">
        <v>1.0049999999999999</v>
      </c>
      <c r="F358" s="210">
        <v>1.01</v>
      </c>
      <c r="G358" s="210">
        <v>1.0049999999999999</v>
      </c>
      <c r="H358" s="210">
        <v>1.012</v>
      </c>
    </row>
    <row r="359" spans="1:8" ht="21" customHeight="1" x14ac:dyDescent="0.2">
      <c r="A359" s="218">
        <v>701</v>
      </c>
      <c r="B359" s="285" t="s">
        <v>2945</v>
      </c>
      <c r="C359" s="286"/>
      <c r="D359" s="210">
        <v>0.998</v>
      </c>
      <c r="E359" s="210">
        <v>0.998</v>
      </c>
      <c r="F359" s="210">
        <v>0.999</v>
      </c>
      <c r="G359" s="210">
        <v>1.0029999999999999</v>
      </c>
      <c r="H359" s="210">
        <v>0.999</v>
      </c>
    </row>
    <row r="360" spans="1:8" ht="21" customHeight="1" x14ac:dyDescent="0.2">
      <c r="A360" s="218">
        <v>702</v>
      </c>
      <c r="B360" s="285" t="s">
        <v>2946</v>
      </c>
      <c r="C360" s="286"/>
      <c r="D360" s="210">
        <v>1</v>
      </c>
      <c r="E360" s="210">
        <v>0.998</v>
      </c>
      <c r="F360" s="210">
        <v>1.0009999999999999</v>
      </c>
      <c r="G360" s="210">
        <v>0.998</v>
      </c>
      <c r="H360" s="210">
        <v>1</v>
      </c>
    </row>
    <row r="361" spans="1:8" ht="21" customHeight="1" x14ac:dyDescent="0.2">
      <c r="A361" s="218">
        <v>703</v>
      </c>
      <c r="B361" s="285" t="s">
        <v>2947</v>
      </c>
      <c r="C361" s="286"/>
      <c r="D361" s="210">
        <v>1.016</v>
      </c>
      <c r="E361" s="210">
        <v>1.0069999999999999</v>
      </c>
      <c r="F361" s="210">
        <v>1.014</v>
      </c>
      <c r="G361" s="210">
        <v>1.0089999999999999</v>
      </c>
      <c r="H361" s="210">
        <v>1.014</v>
      </c>
    </row>
    <row r="362" spans="1:8" ht="21" customHeight="1" x14ac:dyDescent="0.2">
      <c r="A362" s="218">
        <v>704</v>
      </c>
      <c r="B362" s="285" t="s">
        <v>2948</v>
      </c>
      <c r="C362" s="286"/>
      <c r="D362" s="210">
        <v>0.997</v>
      </c>
      <c r="E362" s="210">
        <v>0.997</v>
      </c>
      <c r="F362" s="210">
        <v>0.997</v>
      </c>
      <c r="G362" s="210">
        <v>0.997</v>
      </c>
      <c r="H362" s="210">
        <v>0.997</v>
      </c>
    </row>
    <row r="363" spans="1:8" ht="21" customHeight="1" x14ac:dyDescent="0.2">
      <c r="A363" s="218">
        <v>705</v>
      </c>
      <c r="B363" s="285" t="s">
        <v>2870</v>
      </c>
      <c r="C363" s="286"/>
      <c r="D363" s="210">
        <v>0.996</v>
      </c>
      <c r="E363" s="210">
        <v>0.99399999999999999</v>
      </c>
      <c r="F363" s="210">
        <v>0.998</v>
      </c>
      <c r="G363" s="210">
        <v>0.99299999999999999</v>
      </c>
      <c r="H363" s="210">
        <v>0.998</v>
      </c>
    </row>
    <row r="364" spans="1:8" ht="21" customHeight="1" x14ac:dyDescent="0.2">
      <c r="A364" s="218">
        <v>706</v>
      </c>
      <c r="B364" s="285" t="s">
        <v>2949</v>
      </c>
      <c r="C364" s="286"/>
      <c r="D364" s="210">
        <v>1</v>
      </c>
      <c r="E364" s="210">
        <v>1</v>
      </c>
      <c r="F364" s="210">
        <v>0.998</v>
      </c>
      <c r="G364" s="210">
        <v>1</v>
      </c>
      <c r="H364" s="210">
        <v>1</v>
      </c>
    </row>
    <row r="365" spans="1:8" ht="21" customHeight="1" x14ac:dyDescent="0.2">
      <c r="A365" s="218">
        <v>707</v>
      </c>
      <c r="B365" s="285" t="s">
        <v>2871</v>
      </c>
      <c r="C365" s="286"/>
      <c r="D365" s="210">
        <v>1.018</v>
      </c>
      <c r="E365" s="210">
        <v>1.008</v>
      </c>
      <c r="F365" s="210">
        <v>1.0189999999999999</v>
      </c>
      <c r="G365" s="210">
        <v>1.008</v>
      </c>
      <c r="H365" s="210">
        <v>1.0169999999999999</v>
      </c>
    </row>
    <row r="366" spans="1:8" ht="21" customHeight="1" x14ac:dyDescent="0.2">
      <c r="A366" s="218">
        <v>708</v>
      </c>
      <c r="B366" s="285" t="s">
        <v>2872</v>
      </c>
      <c r="C366" s="286"/>
      <c r="D366" s="210">
        <v>1.0009999999999999</v>
      </c>
      <c r="E366" s="210">
        <v>0.996</v>
      </c>
      <c r="F366" s="210">
        <v>0.998</v>
      </c>
      <c r="G366" s="210">
        <v>0.995</v>
      </c>
      <c r="H366" s="210">
        <v>0.999</v>
      </c>
    </row>
    <row r="367" spans="1:8" ht="21" customHeight="1" x14ac:dyDescent="0.2">
      <c r="A367" s="218">
        <v>709</v>
      </c>
      <c r="B367" s="285" t="s">
        <v>2964</v>
      </c>
      <c r="C367" s="286"/>
      <c r="D367" s="210">
        <v>0.997</v>
      </c>
      <c r="E367" s="210">
        <v>0.98599999999999999</v>
      </c>
      <c r="F367" s="210">
        <v>0.99399999999999999</v>
      </c>
      <c r="G367" s="210">
        <v>0.98899999999999999</v>
      </c>
      <c r="H367" s="210">
        <v>0.99099999999999999</v>
      </c>
    </row>
    <row r="368" spans="1:8" ht="21" customHeight="1" x14ac:dyDescent="0.2">
      <c r="A368" s="218">
        <v>710</v>
      </c>
      <c r="B368" s="285" t="s">
        <v>2602</v>
      </c>
      <c r="C368" s="286"/>
      <c r="D368" s="210">
        <v>1.016</v>
      </c>
      <c r="E368" s="210">
        <v>1.0129999999999999</v>
      </c>
      <c r="F368" s="210">
        <v>1.0149999999999999</v>
      </c>
      <c r="G368" s="210">
        <v>1.0129999999999999</v>
      </c>
      <c r="H368" s="210">
        <v>1.0129999999999999</v>
      </c>
    </row>
    <row r="369" spans="1:8" ht="21" customHeight="1" x14ac:dyDescent="0.2">
      <c r="A369" s="218">
        <v>711</v>
      </c>
      <c r="B369" s="285" t="s">
        <v>2873</v>
      </c>
      <c r="C369" s="286"/>
      <c r="D369" s="210">
        <v>0.99399999999999999</v>
      </c>
      <c r="E369" s="210">
        <v>0.99</v>
      </c>
      <c r="F369" s="210">
        <v>0.99399999999999999</v>
      </c>
      <c r="G369" s="210">
        <v>0.99199999999999999</v>
      </c>
      <c r="H369" s="210">
        <v>0.995</v>
      </c>
    </row>
    <row r="370" spans="1:8" ht="21" customHeight="1" x14ac:dyDescent="0.2">
      <c r="A370" s="218">
        <v>712</v>
      </c>
      <c r="B370" s="285" t="s">
        <v>2950</v>
      </c>
      <c r="C370" s="286"/>
      <c r="D370" s="210">
        <v>1.0129999999999999</v>
      </c>
      <c r="E370" s="210">
        <v>1.0069999999999999</v>
      </c>
      <c r="F370" s="210">
        <v>1.01</v>
      </c>
      <c r="G370" s="210">
        <v>1.0089999999999999</v>
      </c>
      <c r="H370" s="210">
        <v>1.012</v>
      </c>
    </row>
    <row r="371" spans="1:8" ht="21" customHeight="1" x14ac:dyDescent="0.2">
      <c r="A371" s="218">
        <v>713</v>
      </c>
      <c r="B371" s="285" t="s">
        <v>2951</v>
      </c>
      <c r="C371" s="286"/>
      <c r="D371" s="210">
        <v>1.0089999999999999</v>
      </c>
      <c r="E371" s="210">
        <v>1.006</v>
      </c>
      <c r="F371" s="210">
        <v>1.0069999999999999</v>
      </c>
      <c r="G371" s="210">
        <v>1.0049999999999999</v>
      </c>
      <c r="H371" s="210">
        <v>1.0069999999999999</v>
      </c>
    </row>
    <row r="372" spans="1:8" ht="21" customHeight="1" x14ac:dyDescent="0.2">
      <c r="A372" s="218">
        <v>714</v>
      </c>
      <c r="B372" s="285" t="s">
        <v>2952</v>
      </c>
      <c r="C372" s="286"/>
      <c r="D372" s="210">
        <v>1.0089999999999999</v>
      </c>
      <c r="E372" s="210">
        <v>0.98199999999999998</v>
      </c>
      <c r="F372" s="210">
        <v>1.016</v>
      </c>
      <c r="G372" s="210">
        <v>1.01</v>
      </c>
      <c r="H372" s="210">
        <v>1.0069999999999999</v>
      </c>
    </row>
    <row r="373" spans="1:8" ht="21" customHeight="1" x14ac:dyDescent="0.2">
      <c r="A373" s="218">
        <v>715</v>
      </c>
      <c r="B373" s="285" t="s">
        <v>2953</v>
      </c>
      <c r="C373" s="286"/>
      <c r="D373" s="210">
        <v>0.98799999999999999</v>
      </c>
      <c r="E373" s="210">
        <v>0.99299999999999999</v>
      </c>
      <c r="F373" s="210">
        <v>0.98499999999999999</v>
      </c>
      <c r="G373" s="210">
        <v>0.98899999999999999</v>
      </c>
      <c r="H373" s="210">
        <v>0.98699999999999999</v>
      </c>
    </row>
    <row r="374" spans="1:8" ht="21" customHeight="1" x14ac:dyDescent="0.2">
      <c r="A374" s="218">
        <v>716</v>
      </c>
      <c r="B374" s="285" t="s">
        <v>2954</v>
      </c>
      <c r="C374" s="286"/>
      <c r="D374" s="210">
        <v>1.0009999999999999</v>
      </c>
      <c r="E374" s="210">
        <v>1</v>
      </c>
      <c r="F374" s="210">
        <v>1.0009999999999999</v>
      </c>
      <c r="G374" s="210">
        <v>1.002</v>
      </c>
      <c r="H374" s="210">
        <v>1.0009999999999999</v>
      </c>
    </row>
    <row r="375" spans="1:8" ht="21" customHeight="1" x14ac:dyDescent="0.2">
      <c r="A375" s="218">
        <v>717</v>
      </c>
      <c r="B375" s="285" t="s">
        <v>2874</v>
      </c>
      <c r="C375" s="286"/>
      <c r="D375" s="210">
        <v>0.99199999999999999</v>
      </c>
      <c r="E375" s="210">
        <v>0.99399999999999999</v>
      </c>
      <c r="F375" s="210">
        <v>0.98799999999999999</v>
      </c>
      <c r="G375" s="210">
        <v>0.99299999999999999</v>
      </c>
      <c r="H375" s="210">
        <v>0.99299999999999999</v>
      </c>
    </row>
    <row r="376" spans="1:8" ht="21" customHeight="1" x14ac:dyDescent="0.2">
      <c r="A376" s="218">
        <v>718</v>
      </c>
      <c r="B376" s="285" t="s">
        <v>2875</v>
      </c>
      <c r="C376" s="286"/>
      <c r="D376" s="210">
        <v>1.0589999999999999</v>
      </c>
      <c r="E376" s="210">
        <v>0.995</v>
      </c>
      <c r="F376" s="210">
        <v>1.046</v>
      </c>
      <c r="G376" s="210">
        <v>1.0189999999999999</v>
      </c>
      <c r="H376" s="210">
        <v>1.0429999999999999</v>
      </c>
    </row>
    <row r="377" spans="1:8" ht="21" customHeight="1" x14ac:dyDescent="0.2">
      <c r="A377" s="218">
        <v>719</v>
      </c>
      <c r="B377" s="285" t="s">
        <v>2876</v>
      </c>
      <c r="C377" s="286"/>
      <c r="D377" s="210">
        <v>1.0029999999999999</v>
      </c>
      <c r="E377" s="210">
        <v>1.0029999999999999</v>
      </c>
      <c r="F377" s="210">
        <v>1</v>
      </c>
      <c r="G377" s="210">
        <v>0.998</v>
      </c>
      <c r="H377" s="210">
        <v>1.002</v>
      </c>
    </row>
    <row r="378" spans="1:8" ht="21" customHeight="1" x14ac:dyDescent="0.2">
      <c r="A378" s="218">
        <v>720</v>
      </c>
      <c r="B378" s="285" t="s">
        <v>2877</v>
      </c>
      <c r="C378" s="286"/>
      <c r="D378" s="210">
        <v>0.95799999999999996</v>
      </c>
      <c r="E378" s="210">
        <v>0.95899999999999996</v>
      </c>
      <c r="F378" s="210">
        <v>0.95899999999999996</v>
      </c>
      <c r="G378" s="210">
        <v>0.95899999999999996</v>
      </c>
      <c r="H378" s="210">
        <v>0.95899999999999996</v>
      </c>
    </row>
    <row r="379" spans="1:8" ht="21" customHeight="1" x14ac:dyDescent="0.2">
      <c r="A379" s="218">
        <v>721</v>
      </c>
      <c r="B379" s="285" t="s">
        <v>2955</v>
      </c>
      <c r="C379" s="286"/>
      <c r="D379" s="210">
        <v>0.95199999999999996</v>
      </c>
      <c r="E379" s="210">
        <v>0.95199999999999996</v>
      </c>
      <c r="F379" s="210">
        <v>0.95199999999999996</v>
      </c>
      <c r="G379" s="210">
        <v>0.95199999999999996</v>
      </c>
      <c r="H379" s="210">
        <v>0.95099999999999996</v>
      </c>
    </row>
    <row r="380" spans="1:8" ht="21" customHeight="1" x14ac:dyDescent="0.2">
      <c r="A380" s="218">
        <v>722</v>
      </c>
      <c r="B380" s="285" t="s">
        <v>2956</v>
      </c>
      <c r="C380" s="286"/>
      <c r="D380" s="210">
        <v>0.98099999999999998</v>
      </c>
      <c r="E380" s="210">
        <v>0.98099999999999998</v>
      </c>
      <c r="F380" s="210">
        <v>0.98099999999999998</v>
      </c>
      <c r="G380" s="210">
        <v>0.98099999999999998</v>
      </c>
      <c r="H380" s="210">
        <v>0.98099999999999998</v>
      </c>
    </row>
    <row r="381" spans="1:8" ht="21" customHeight="1" x14ac:dyDescent="0.2">
      <c r="A381" s="218">
        <v>723</v>
      </c>
      <c r="B381" s="285" t="s">
        <v>2957</v>
      </c>
      <c r="C381" s="286"/>
      <c r="D381" s="210">
        <v>0.98399999999999999</v>
      </c>
      <c r="E381" s="210">
        <v>0.97899999999999998</v>
      </c>
      <c r="F381" s="210">
        <v>0.98</v>
      </c>
      <c r="G381" s="210">
        <v>0.97899999999999998</v>
      </c>
      <c r="H381" s="210">
        <v>0.98099999999999998</v>
      </c>
    </row>
    <row r="382" spans="1:8" ht="21" customHeight="1" x14ac:dyDescent="0.2">
      <c r="A382" s="218">
        <v>724</v>
      </c>
      <c r="B382" s="285" t="s">
        <v>2958</v>
      </c>
      <c r="C382" s="286"/>
      <c r="D382" s="210">
        <v>1.016</v>
      </c>
      <c r="E382" s="210">
        <v>1.0129999999999999</v>
      </c>
      <c r="F382" s="210">
        <v>1.0149999999999999</v>
      </c>
      <c r="G382" s="210">
        <v>1.0129999999999999</v>
      </c>
      <c r="H382" s="210">
        <v>1.0129999999999999</v>
      </c>
    </row>
    <row r="383" spans="1:8" ht="21" customHeight="1" x14ac:dyDescent="0.2">
      <c r="A383" s="218">
        <v>725</v>
      </c>
      <c r="B383" s="285" t="s">
        <v>2959</v>
      </c>
      <c r="C383" s="286"/>
      <c r="D383" s="210">
        <v>0.98199999999999998</v>
      </c>
      <c r="E383" s="210">
        <v>0.98199999999999998</v>
      </c>
      <c r="F383" s="210">
        <v>0.98299999999999998</v>
      </c>
      <c r="G383" s="210">
        <v>0.98199999999999998</v>
      </c>
      <c r="H383" s="210">
        <v>0.98199999999999998</v>
      </c>
    </row>
    <row r="384" spans="1:8" ht="21" customHeight="1" x14ac:dyDescent="0.2">
      <c r="A384" s="218">
        <v>726</v>
      </c>
      <c r="B384" s="285" t="s">
        <v>2960</v>
      </c>
      <c r="C384" s="286"/>
      <c r="D384" s="210">
        <v>0.95599999999999996</v>
      </c>
      <c r="E384" s="210">
        <v>0.95599999999999996</v>
      </c>
      <c r="F384" s="210">
        <v>0.95599999999999996</v>
      </c>
      <c r="G384" s="210">
        <v>0.95599999999999996</v>
      </c>
      <c r="H384" s="210">
        <v>0.95599999999999996</v>
      </c>
    </row>
    <row r="385" spans="1:8" ht="21" customHeight="1" x14ac:dyDescent="0.2">
      <c r="A385" s="218">
        <v>727</v>
      </c>
      <c r="B385" s="285" t="s">
        <v>2961</v>
      </c>
      <c r="C385" s="286"/>
      <c r="D385" s="210">
        <v>0.98499999999999999</v>
      </c>
      <c r="E385" s="210">
        <v>0.98399999999999999</v>
      </c>
      <c r="F385" s="210">
        <v>0.98499999999999999</v>
      </c>
      <c r="G385" s="210">
        <v>0.98399999999999999</v>
      </c>
      <c r="H385" s="210">
        <v>0.98399999999999999</v>
      </c>
    </row>
    <row r="386" spans="1:8" ht="21" customHeight="1" x14ac:dyDescent="0.2">
      <c r="A386" s="218">
        <v>728</v>
      </c>
      <c r="B386" s="285" t="s">
        <v>2962</v>
      </c>
      <c r="C386" s="286"/>
      <c r="D386" s="210">
        <v>0.98399999999999999</v>
      </c>
      <c r="E386" s="210">
        <v>0.98099999999999998</v>
      </c>
      <c r="F386" s="210">
        <v>0.98299999999999998</v>
      </c>
      <c r="G386" s="210">
        <v>0.98</v>
      </c>
      <c r="H386" s="210">
        <v>0.98199999999999998</v>
      </c>
    </row>
    <row r="387" spans="1:8" ht="21" customHeight="1" x14ac:dyDescent="0.2">
      <c r="A387" s="218">
        <v>729</v>
      </c>
      <c r="B387" s="285" t="s">
        <v>2963</v>
      </c>
      <c r="C387" s="286"/>
      <c r="D387" s="210">
        <v>0.98899999999999999</v>
      </c>
      <c r="E387" s="210">
        <v>0.98599999999999999</v>
      </c>
      <c r="F387" s="210">
        <v>0.98699999999999999</v>
      </c>
      <c r="G387" s="210">
        <v>0.98699999999999999</v>
      </c>
      <c r="H387" s="210">
        <v>0.98699999999999999</v>
      </c>
    </row>
    <row r="388" spans="1:8" ht="21" customHeight="1" x14ac:dyDescent="0.2">
      <c r="A388" s="216">
        <v>730</v>
      </c>
      <c r="B388" s="285" t="s">
        <v>2878</v>
      </c>
      <c r="C388" s="286"/>
      <c r="D388" s="210">
        <v>1.0209999999999999</v>
      </c>
      <c r="E388" s="210">
        <v>1.0029999999999999</v>
      </c>
      <c r="F388" s="210">
        <v>1.0049999999999999</v>
      </c>
      <c r="G388" s="210">
        <v>1.0249999999999999</v>
      </c>
      <c r="H388" s="210">
        <v>1.0049999999999999</v>
      </c>
    </row>
    <row r="389" spans="1:8" ht="21" customHeight="1" x14ac:dyDescent="0.2">
      <c r="A389" s="216">
        <v>731</v>
      </c>
      <c r="B389" s="285" t="s">
        <v>2879</v>
      </c>
      <c r="C389" s="286"/>
      <c r="D389" s="210">
        <v>1</v>
      </c>
      <c r="E389" s="210">
        <v>1.034</v>
      </c>
      <c r="F389" s="210">
        <v>1.046</v>
      </c>
      <c r="G389" s="210">
        <v>1.0269999999999999</v>
      </c>
      <c r="H389" s="210">
        <v>1.052</v>
      </c>
    </row>
    <row r="390" spans="1:8" ht="21" customHeight="1" x14ac:dyDescent="0.2">
      <c r="A390" s="216">
        <v>732</v>
      </c>
      <c r="B390" s="285" t="s">
        <v>2880</v>
      </c>
      <c r="C390" s="286"/>
      <c r="D390" s="210">
        <v>1.002</v>
      </c>
      <c r="E390" s="210">
        <v>0.998</v>
      </c>
      <c r="F390" s="210">
        <v>0.999</v>
      </c>
      <c r="G390" s="210">
        <v>1.0009999999999999</v>
      </c>
      <c r="H390" s="210">
        <v>0.999</v>
      </c>
    </row>
    <row r="391" spans="1:8" ht="21" customHeight="1" x14ac:dyDescent="0.2">
      <c r="A391" s="216">
        <v>733</v>
      </c>
      <c r="B391" s="285" t="s">
        <v>2881</v>
      </c>
      <c r="C391" s="286"/>
      <c r="D391" s="210">
        <v>1.002</v>
      </c>
      <c r="E391" s="210">
        <v>1.0009999999999999</v>
      </c>
      <c r="F391" s="210">
        <v>1.0009999999999999</v>
      </c>
      <c r="G391" s="210">
        <v>1.0009999999999999</v>
      </c>
      <c r="H391" s="210">
        <v>1.0009999999999999</v>
      </c>
    </row>
    <row r="392" spans="1:8" ht="21" customHeight="1" x14ac:dyDescent="0.2">
      <c r="A392" s="216">
        <v>734</v>
      </c>
      <c r="B392" s="285" t="s">
        <v>2882</v>
      </c>
      <c r="C392" s="286"/>
      <c r="D392" s="210">
        <v>0.99</v>
      </c>
      <c r="E392" s="210">
        <v>0.99199999999999999</v>
      </c>
      <c r="F392" s="210">
        <v>0.98799999999999999</v>
      </c>
      <c r="G392" s="210">
        <v>0.98899999999999999</v>
      </c>
      <c r="H392" s="210">
        <v>0.99</v>
      </c>
    </row>
    <row r="393" spans="1:8" ht="21" customHeight="1" x14ac:dyDescent="0.2">
      <c r="A393" s="216">
        <v>735</v>
      </c>
      <c r="B393" s="285" t="s">
        <v>2883</v>
      </c>
      <c r="C393" s="286"/>
      <c r="D393" s="210">
        <v>0.98499999999999999</v>
      </c>
      <c r="E393" s="210">
        <v>0.98599999999999999</v>
      </c>
      <c r="F393" s="210">
        <v>0.98499999999999999</v>
      </c>
      <c r="G393" s="210">
        <v>0.99099999999999999</v>
      </c>
      <c r="H393" s="210">
        <v>0.98399999999999999</v>
      </c>
    </row>
    <row r="394" spans="1:8" ht="21" customHeight="1" x14ac:dyDescent="0.2">
      <c r="A394" s="216">
        <v>736</v>
      </c>
      <c r="B394" s="285" t="s">
        <v>2884</v>
      </c>
      <c r="C394" s="286"/>
      <c r="D394" s="210">
        <v>0.99399999999999999</v>
      </c>
      <c r="E394" s="210">
        <v>0.99399999999999999</v>
      </c>
      <c r="F394" s="210">
        <v>0.99299999999999999</v>
      </c>
      <c r="G394" s="210">
        <v>0.99299999999999999</v>
      </c>
      <c r="H394" s="210">
        <v>0.99399999999999999</v>
      </c>
    </row>
    <row r="395" spans="1:8" ht="21" customHeight="1" x14ac:dyDescent="0.2">
      <c r="A395" s="216">
        <v>737</v>
      </c>
      <c r="B395" s="285" t="s">
        <v>2885</v>
      </c>
      <c r="C395" s="286"/>
      <c r="D395" s="210">
        <v>1.004</v>
      </c>
      <c r="E395" s="210">
        <v>0.998</v>
      </c>
      <c r="F395" s="210">
        <v>0.998</v>
      </c>
      <c r="G395" s="210">
        <v>1</v>
      </c>
      <c r="H395" s="210">
        <v>1</v>
      </c>
    </row>
    <row r="396" spans="1:8" ht="21" customHeight="1" x14ac:dyDescent="0.2">
      <c r="A396" s="216">
        <v>738</v>
      </c>
      <c r="B396" s="285" t="s">
        <v>2886</v>
      </c>
      <c r="C396" s="286"/>
      <c r="D396" s="210">
        <v>1.0580000000000001</v>
      </c>
      <c r="E396" s="210">
        <v>0.98499999999999999</v>
      </c>
      <c r="F396" s="210">
        <v>1.0249999999999999</v>
      </c>
      <c r="G396" s="210">
        <v>1</v>
      </c>
      <c r="H396" s="210">
        <v>1.02</v>
      </c>
    </row>
    <row r="397" spans="1:8" ht="21" customHeight="1" x14ac:dyDescent="0.2">
      <c r="A397" s="218">
        <v>739</v>
      </c>
      <c r="B397" s="285" t="s">
        <v>2965</v>
      </c>
      <c r="C397" s="286"/>
      <c r="D397" s="210">
        <v>0.995</v>
      </c>
      <c r="E397" s="210">
        <v>0.99299999999999999</v>
      </c>
      <c r="F397" s="210">
        <v>1.0009999999999999</v>
      </c>
      <c r="G397" s="210">
        <v>0.99299999999999999</v>
      </c>
      <c r="H397" s="210">
        <v>0.995</v>
      </c>
    </row>
    <row r="398" spans="1:8" ht="21" customHeight="1" x14ac:dyDescent="0.2">
      <c r="A398" s="218">
        <v>740</v>
      </c>
      <c r="B398" s="285" t="s">
        <v>2966</v>
      </c>
      <c r="C398" s="286"/>
      <c r="D398" s="210">
        <v>0.97199999999999998</v>
      </c>
      <c r="E398" s="210">
        <v>0.97099999999999997</v>
      </c>
      <c r="F398" s="210">
        <v>0.97099999999999997</v>
      </c>
      <c r="G398" s="210">
        <v>0.97099999999999997</v>
      </c>
      <c r="H398" s="210">
        <v>0.97199999999999998</v>
      </c>
    </row>
    <row r="399" spans="1:8" ht="21" customHeight="1" x14ac:dyDescent="0.2">
      <c r="A399" s="218">
        <v>741</v>
      </c>
      <c r="B399" s="285" t="s">
        <v>2967</v>
      </c>
      <c r="C399" s="286"/>
      <c r="D399" s="210">
        <v>0.97199999999999998</v>
      </c>
      <c r="E399" s="210">
        <v>0.97199999999999998</v>
      </c>
      <c r="F399" s="210">
        <v>0.97199999999999998</v>
      </c>
      <c r="G399" s="210">
        <v>0.97199999999999998</v>
      </c>
      <c r="H399" s="210">
        <v>0.98399999999999999</v>
      </c>
    </row>
    <row r="400" spans="1:8" ht="21" customHeight="1" x14ac:dyDescent="0.2">
      <c r="A400" s="216">
        <v>742</v>
      </c>
      <c r="B400" s="285" t="s">
        <v>2977</v>
      </c>
      <c r="C400" s="286"/>
      <c r="D400" s="210">
        <v>0.99399999999999999</v>
      </c>
      <c r="E400" s="210">
        <v>0.99399999999999999</v>
      </c>
      <c r="F400" s="210">
        <v>0.99199999999999999</v>
      </c>
      <c r="G400" s="210">
        <v>0.99199999999999999</v>
      </c>
      <c r="H400" s="210">
        <v>0.99299999999999999</v>
      </c>
    </row>
    <row r="401" spans="1:8" ht="21" customHeight="1" x14ac:dyDescent="0.2">
      <c r="A401" s="216">
        <v>743</v>
      </c>
      <c r="B401" s="285" t="s">
        <v>2887</v>
      </c>
      <c r="C401" s="286"/>
      <c r="D401" s="210">
        <v>0.99299999999999999</v>
      </c>
      <c r="E401" s="210">
        <v>0.996</v>
      </c>
      <c r="F401" s="210">
        <v>0.99199999999999999</v>
      </c>
      <c r="G401" s="210">
        <v>0.99399999999999999</v>
      </c>
      <c r="H401" s="210">
        <v>0.99299999999999999</v>
      </c>
    </row>
    <row r="402" spans="1:8" ht="21" customHeight="1" x14ac:dyDescent="0.2">
      <c r="A402" s="216">
        <v>744</v>
      </c>
      <c r="B402" s="285" t="s">
        <v>2888</v>
      </c>
      <c r="C402" s="286"/>
      <c r="D402" s="210">
        <v>1.0089999999999999</v>
      </c>
      <c r="E402" s="210">
        <v>1.0009999999999999</v>
      </c>
      <c r="F402" s="210">
        <v>1.0029999999999999</v>
      </c>
      <c r="G402" s="210">
        <v>1.006</v>
      </c>
      <c r="H402" s="210">
        <v>1.004</v>
      </c>
    </row>
    <row r="403" spans="1:8" ht="21" customHeight="1" x14ac:dyDescent="0.2">
      <c r="A403" s="216">
        <v>745</v>
      </c>
      <c r="B403" s="285" t="s">
        <v>2889</v>
      </c>
      <c r="C403" s="286"/>
      <c r="D403" s="210">
        <v>1.018</v>
      </c>
      <c r="E403" s="210">
        <v>1.0009999999999999</v>
      </c>
      <c r="F403" s="210">
        <v>1.008</v>
      </c>
      <c r="G403" s="210">
        <v>1.0089999999999999</v>
      </c>
      <c r="H403" s="210">
        <v>1.0049999999999999</v>
      </c>
    </row>
    <row r="404" spans="1:8" ht="21" customHeight="1" x14ac:dyDescent="0.2">
      <c r="A404" s="216">
        <v>746</v>
      </c>
      <c r="B404" s="285" t="s">
        <v>2890</v>
      </c>
      <c r="C404" s="286"/>
      <c r="D404" s="210">
        <v>1</v>
      </c>
      <c r="E404" s="210">
        <v>0.997</v>
      </c>
      <c r="F404" s="210">
        <v>1</v>
      </c>
      <c r="G404" s="210">
        <v>0.995</v>
      </c>
      <c r="H404" s="210">
        <v>0.999</v>
      </c>
    </row>
    <row r="405" spans="1:8" ht="21" customHeight="1" x14ac:dyDescent="0.2">
      <c r="A405" s="216">
        <v>747</v>
      </c>
      <c r="B405" s="285" t="s">
        <v>2891</v>
      </c>
      <c r="C405" s="286"/>
      <c r="D405" s="210">
        <v>1.0049999999999999</v>
      </c>
      <c r="E405" s="210">
        <v>0.98699999999999999</v>
      </c>
      <c r="F405" s="210">
        <v>0.99199999999999999</v>
      </c>
      <c r="G405" s="210">
        <v>1.0009999999999999</v>
      </c>
      <c r="H405" s="210">
        <v>0.99099999999999999</v>
      </c>
    </row>
    <row r="406" spans="1:8" ht="21" customHeight="1" x14ac:dyDescent="0.2">
      <c r="A406" s="216">
        <v>748</v>
      </c>
      <c r="B406" s="285" t="s">
        <v>2892</v>
      </c>
      <c r="C406" s="286"/>
      <c r="D406" s="210">
        <v>0.98299999999999998</v>
      </c>
      <c r="E406" s="210">
        <v>0.99</v>
      </c>
      <c r="F406" s="210">
        <v>0.98</v>
      </c>
      <c r="G406" s="210">
        <v>0.98599999999999999</v>
      </c>
      <c r="H406" s="210">
        <v>0.97699999999999998</v>
      </c>
    </row>
    <row r="407" spans="1:8" ht="21" customHeight="1" x14ac:dyDescent="0.2">
      <c r="A407" s="216">
        <v>749</v>
      </c>
      <c r="B407" s="285" t="s">
        <v>2893</v>
      </c>
      <c r="C407" s="286"/>
      <c r="D407" s="210">
        <v>0.99</v>
      </c>
      <c r="E407" s="210">
        <v>0.99099999999999999</v>
      </c>
      <c r="F407" s="210">
        <v>0.99199999999999999</v>
      </c>
      <c r="G407" s="210">
        <v>0.996</v>
      </c>
      <c r="H407" s="210">
        <v>0.99</v>
      </c>
    </row>
    <row r="408" spans="1:8" ht="21" customHeight="1" x14ac:dyDescent="0.2">
      <c r="A408" s="216">
        <v>750</v>
      </c>
      <c r="B408" s="285" t="s">
        <v>2894</v>
      </c>
      <c r="C408" s="286"/>
      <c r="D408" s="210">
        <v>1.002</v>
      </c>
      <c r="E408" s="210">
        <v>0.996</v>
      </c>
      <c r="F408" s="210">
        <v>1.002</v>
      </c>
      <c r="G408" s="210">
        <v>1.0009999999999999</v>
      </c>
      <c r="H408" s="210">
        <v>0.999</v>
      </c>
    </row>
    <row r="409" spans="1:8" ht="21" customHeight="1" x14ac:dyDescent="0.2">
      <c r="A409" s="216">
        <v>751</v>
      </c>
      <c r="B409" s="285" t="s">
        <v>2895</v>
      </c>
      <c r="C409" s="286"/>
      <c r="D409" s="210">
        <v>0.997</v>
      </c>
      <c r="E409" s="210">
        <v>0.98899999999999999</v>
      </c>
      <c r="F409" s="210">
        <v>0.996</v>
      </c>
      <c r="G409" s="210">
        <v>0.997</v>
      </c>
      <c r="H409" s="210">
        <v>0.99</v>
      </c>
    </row>
    <row r="410" spans="1:8" ht="21" customHeight="1" x14ac:dyDescent="0.2">
      <c r="A410" s="216">
        <v>752</v>
      </c>
      <c r="B410" s="285" t="s">
        <v>2896</v>
      </c>
      <c r="C410" s="286"/>
      <c r="D410" s="210">
        <v>1.014</v>
      </c>
      <c r="E410" s="210">
        <v>1.0049999999999999</v>
      </c>
      <c r="F410" s="210">
        <v>1.008</v>
      </c>
      <c r="G410" s="210">
        <v>1.006</v>
      </c>
      <c r="H410" s="210">
        <v>1.01</v>
      </c>
    </row>
    <row r="411" spans="1:8" ht="21" customHeight="1" x14ac:dyDescent="0.2">
      <c r="A411" s="216">
        <v>753</v>
      </c>
      <c r="B411" s="285" t="s">
        <v>2897</v>
      </c>
      <c r="C411" s="286"/>
      <c r="D411" s="210">
        <v>1.004</v>
      </c>
      <c r="E411" s="210">
        <v>0.999</v>
      </c>
      <c r="F411" s="210">
        <v>1</v>
      </c>
      <c r="G411" s="210">
        <v>1.002</v>
      </c>
      <c r="H411" s="210">
        <v>1</v>
      </c>
    </row>
    <row r="412" spans="1:8" ht="21" customHeight="1" x14ac:dyDescent="0.2">
      <c r="A412" s="216">
        <v>754</v>
      </c>
      <c r="B412" s="285" t="s">
        <v>2898</v>
      </c>
      <c r="C412" s="286"/>
      <c r="D412" s="210">
        <v>0.98899999999999999</v>
      </c>
      <c r="E412" s="210">
        <v>0.98299999999999998</v>
      </c>
      <c r="F412" s="210">
        <v>0.98599999999999999</v>
      </c>
      <c r="G412" s="210">
        <v>0.99299999999999999</v>
      </c>
      <c r="H412" s="210">
        <v>0.98499999999999999</v>
      </c>
    </row>
    <row r="413" spans="1:8" ht="21" customHeight="1" x14ac:dyDescent="0.2">
      <c r="A413" s="216">
        <v>755</v>
      </c>
      <c r="B413" s="285" t="s">
        <v>2899</v>
      </c>
      <c r="C413" s="286"/>
      <c r="D413" s="210">
        <v>1</v>
      </c>
      <c r="E413" s="210">
        <v>0.99099999999999999</v>
      </c>
      <c r="F413" s="210">
        <v>0.995</v>
      </c>
      <c r="G413" s="210">
        <v>1</v>
      </c>
      <c r="H413" s="210">
        <v>0.99299999999999999</v>
      </c>
    </row>
    <row r="414" spans="1:8" ht="21" customHeight="1" x14ac:dyDescent="0.2">
      <c r="A414" s="216">
        <v>756</v>
      </c>
      <c r="B414" s="285" t="s">
        <v>2900</v>
      </c>
      <c r="C414" s="286"/>
      <c r="D414" s="210">
        <v>1.028</v>
      </c>
      <c r="E414" s="210">
        <v>1.018</v>
      </c>
      <c r="F414" s="210">
        <v>1.0189999999999999</v>
      </c>
      <c r="G414" s="210">
        <v>1.079</v>
      </c>
      <c r="H414" s="210">
        <v>1.026</v>
      </c>
    </row>
    <row r="415" spans="1:8" ht="21" customHeight="1" x14ac:dyDescent="0.2">
      <c r="A415" s="216">
        <v>757</v>
      </c>
      <c r="B415" s="285" t="s">
        <v>2901</v>
      </c>
      <c r="C415" s="286"/>
      <c r="D415" s="210">
        <v>1.0269999999999999</v>
      </c>
      <c r="E415" s="210">
        <v>1.014</v>
      </c>
      <c r="F415" s="210">
        <v>1.0169999999999999</v>
      </c>
      <c r="G415" s="210">
        <v>1.02</v>
      </c>
      <c r="H415" s="210">
        <v>1.0149999999999999</v>
      </c>
    </row>
    <row r="416" spans="1:8" ht="21" customHeight="1" x14ac:dyDescent="0.2">
      <c r="A416" s="216">
        <v>758</v>
      </c>
      <c r="B416" s="285" t="s">
        <v>2902</v>
      </c>
      <c r="C416" s="286"/>
      <c r="D416" s="210">
        <v>1.0169999999999999</v>
      </c>
      <c r="E416" s="210">
        <v>1.0089999999999999</v>
      </c>
      <c r="F416" s="210">
        <v>1.02</v>
      </c>
      <c r="G416" s="210">
        <v>1.032</v>
      </c>
      <c r="H416" s="210">
        <v>1.0209999999999999</v>
      </c>
    </row>
    <row r="417" spans="1:8" ht="21" customHeight="1" x14ac:dyDescent="0.2">
      <c r="A417" s="216">
        <v>759</v>
      </c>
      <c r="B417" s="285" t="s">
        <v>2903</v>
      </c>
      <c r="C417" s="286"/>
      <c r="D417" s="210">
        <v>1.0169999999999999</v>
      </c>
      <c r="E417" s="210">
        <v>1.008</v>
      </c>
      <c r="F417" s="210">
        <v>1.0129999999999999</v>
      </c>
      <c r="G417" s="210">
        <v>1.034</v>
      </c>
      <c r="H417" s="210">
        <v>1.0149999999999999</v>
      </c>
    </row>
    <row r="418" spans="1:8" ht="21" customHeight="1" x14ac:dyDescent="0.2">
      <c r="A418" s="216">
        <v>760</v>
      </c>
      <c r="B418" s="285" t="s">
        <v>2904</v>
      </c>
      <c r="C418" s="286"/>
      <c r="D418" s="210">
        <v>1.022</v>
      </c>
      <c r="E418" s="210">
        <v>1.012</v>
      </c>
      <c r="F418" s="210">
        <v>1.0189999999999999</v>
      </c>
      <c r="G418" s="210">
        <v>1.0209999999999999</v>
      </c>
      <c r="H418" s="210">
        <v>1.024</v>
      </c>
    </row>
    <row r="419" spans="1:8" ht="21" customHeight="1" x14ac:dyDescent="0.2">
      <c r="A419" s="216">
        <v>761</v>
      </c>
      <c r="B419" s="285" t="s">
        <v>2905</v>
      </c>
      <c r="C419" s="286"/>
      <c r="D419" s="210">
        <v>1.0189999999999999</v>
      </c>
      <c r="E419" s="210">
        <v>1.014</v>
      </c>
      <c r="F419" s="210">
        <v>1.0169999999999999</v>
      </c>
      <c r="G419" s="210">
        <v>1.0169999999999999</v>
      </c>
      <c r="H419" s="210">
        <v>1.0209999999999999</v>
      </c>
    </row>
    <row r="420" spans="1:8" ht="21" customHeight="1" x14ac:dyDescent="0.2">
      <c r="A420" s="216">
        <v>762</v>
      </c>
      <c r="B420" s="285" t="s">
        <v>2906</v>
      </c>
      <c r="C420" s="286"/>
      <c r="D420" s="210">
        <v>1.01</v>
      </c>
      <c r="E420" s="210">
        <v>1.002</v>
      </c>
      <c r="F420" s="210">
        <v>1.0049999999999999</v>
      </c>
      <c r="G420" s="210">
        <v>1.006</v>
      </c>
      <c r="H420" s="210">
        <v>1.0069999999999999</v>
      </c>
    </row>
    <row r="421" spans="1:8" ht="21" customHeight="1" x14ac:dyDescent="0.2">
      <c r="A421" s="216">
        <v>763</v>
      </c>
      <c r="B421" s="285" t="s">
        <v>2907</v>
      </c>
      <c r="C421" s="286"/>
      <c r="D421" s="210">
        <v>0.99299999999999999</v>
      </c>
      <c r="E421" s="210">
        <v>0.98399999999999999</v>
      </c>
      <c r="F421" s="210">
        <v>1.0109999999999999</v>
      </c>
      <c r="G421" s="210">
        <v>0.99299999999999999</v>
      </c>
      <c r="H421" s="210">
        <v>1.0389999999999999</v>
      </c>
    </row>
    <row r="422" spans="1:8" ht="21" customHeight="1" x14ac:dyDescent="0.2">
      <c r="A422" s="216">
        <v>764</v>
      </c>
      <c r="B422" s="285" t="s">
        <v>2908</v>
      </c>
      <c r="C422" s="286"/>
      <c r="D422" s="210">
        <v>1.0089999999999999</v>
      </c>
      <c r="E422" s="210">
        <v>0.998</v>
      </c>
      <c r="F422" s="210">
        <v>1.002</v>
      </c>
      <c r="G422" s="210">
        <v>1.008</v>
      </c>
      <c r="H422" s="210">
        <v>1.002</v>
      </c>
    </row>
    <row r="423" spans="1:8" ht="21" customHeight="1" x14ac:dyDescent="0.2">
      <c r="A423" s="216">
        <v>765</v>
      </c>
      <c r="B423" s="285" t="s">
        <v>2909</v>
      </c>
      <c r="C423" s="286"/>
      <c r="D423" s="210">
        <v>1.008</v>
      </c>
      <c r="E423" s="210">
        <v>0.995</v>
      </c>
      <c r="F423" s="210">
        <v>0.99399999999999999</v>
      </c>
      <c r="G423" s="210">
        <v>1.0089999999999999</v>
      </c>
      <c r="H423" s="210">
        <v>0.995</v>
      </c>
    </row>
    <row r="424" spans="1:8" ht="21" customHeight="1" x14ac:dyDescent="0.2">
      <c r="A424" s="216">
        <v>766</v>
      </c>
      <c r="B424" s="285" t="s">
        <v>2910</v>
      </c>
      <c r="C424" s="286"/>
      <c r="D424" s="210">
        <v>1.004</v>
      </c>
      <c r="E424" s="210">
        <v>1.0029999999999999</v>
      </c>
      <c r="F424" s="210">
        <v>1.0029999999999999</v>
      </c>
      <c r="G424" s="210">
        <v>1.002</v>
      </c>
      <c r="H424" s="210">
        <v>1.0029999999999999</v>
      </c>
    </row>
    <row r="425" spans="1:8" ht="21" customHeight="1" x14ac:dyDescent="0.2">
      <c r="A425" s="216">
        <v>767</v>
      </c>
      <c r="B425" s="285" t="s">
        <v>2911</v>
      </c>
      <c r="C425" s="286"/>
      <c r="D425" s="210">
        <v>1.0009999999999999</v>
      </c>
      <c r="E425" s="210">
        <v>0.995</v>
      </c>
      <c r="F425" s="210">
        <v>1.0009999999999999</v>
      </c>
      <c r="G425" s="210">
        <v>1.002</v>
      </c>
      <c r="H425" s="210">
        <v>0.999</v>
      </c>
    </row>
    <row r="426" spans="1:8" ht="21" customHeight="1" x14ac:dyDescent="0.2">
      <c r="A426" s="216">
        <v>768</v>
      </c>
      <c r="B426" s="285" t="s">
        <v>2912</v>
      </c>
      <c r="C426" s="286"/>
      <c r="D426" s="210">
        <v>1.008</v>
      </c>
      <c r="E426" s="210">
        <v>0.996</v>
      </c>
      <c r="F426" s="210">
        <v>1.002</v>
      </c>
      <c r="G426" s="210">
        <v>1.002</v>
      </c>
      <c r="H426" s="210">
        <v>0.999</v>
      </c>
    </row>
    <row r="427" spans="1:8" ht="21" customHeight="1" x14ac:dyDescent="0.2">
      <c r="A427" s="216">
        <v>769</v>
      </c>
      <c r="B427" s="285" t="s">
        <v>2913</v>
      </c>
      <c r="C427" s="286"/>
      <c r="D427" s="210">
        <v>1.0049999999999999</v>
      </c>
      <c r="E427" s="210">
        <v>0.995</v>
      </c>
      <c r="F427" s="210">
        <v>0.999</v>
      </c>
      <c r="G427" s="210">
        <v>1.004</v>
      </c>
      <c r="H427" s="210">
        <v>0.999</v>
      </c>
    </row>
    <row r="428" spans="1:8" ht="21" customHeight="1" x14ac:dyDescent="0.2">
      <c r="A428" s="216">
        <v>770</v>
      </c>
      <c r="B428" s="285" t="s">
        <v>2914</v>
      </c>
      <c r="C428" s="286"/>
      <c r="D428" s="210">
        <v>1.008</v>
      </c>
      <c r="E428" s="210">
        <v>0.996</v>
      </c>
      <c r="F428" s="210">
        <v>0.999</v>
      </c>
      <c r="G428" s="210">
        <v>1.0029999999999999</v>
      </c>
      <c r="H428" s="210">
        <v>0.997</v>
      </c>
    </row>
    <row r="429" spans="1:8" ht="21" customHeight="1" x14ac:dyDescent="0.2">
      <c r="A429" s="216">
        <v>775</v>
      </c>
      <c r="B429" s="285" t="s">
        <v>2915</v>
      </c>
      <c r="C429" s="286"/>
      <c r="D429" s="210">
        <v>1.024</v>
      </c>
      <c r="E429" s="210">
        <v>1.01</v>
      </c>
      <c r="F429" s="210">
        <v>1.01</v>
      </c>
      <c r="G429" s="210">
        <v>1.008</v>
      </c>
      <c r="H429" s="210">
        <v>1.0189999999999999</v>
      </c>
    </row>
    <row r="430" spans="1:8" ht="21" customHeight="1" x14ac:dyDescent="0.2">
      <c r="A430" s="216">
        <v>776</v>
      </c>
      <c r="B430" s="285" t="s">
        <v>2916</v>
      </c>
      <c r="C430" s="286"/>
      <c r="D430" s="210">
        <v>1.022</v>
      </c>
      <c r="E430" s="210">
        <v>1.0089999999999999</v>
      </c>
      <c r="F430" s="210">
        <v>1.0069999999999999</v>
      </c>
      <c r="G430" s="210">
        <v>1.0089999999999999</v>
      </c>
      <c r="H430" s="210">
        <v>1.0109999999999999</v>
      </c>
    </row>
    <row r="431" spans="1:8" ht="21" customHeight="1" x14ac:dyDescent="0.2">
      <c r="A431" s="216">
        <v>777</v>
      </c>
      <c r="B431" s="285" t="s">
        <v>2917</v>
      </c>
      <c r="C431" s="286"/>
      <c r="D431" s="210">
        <v>1.032</v>
      </c>
      <c r="E431" s="210">
        <v>1.0049999999999999</v>
      </c>
      <c r="F431" s="210">
        <v>1.004</v>
      </c>
      <c r="G431" s="210">
        <v>0.99399999999999999</v>
      </c>
      <c r="H431" s="210">
        <v>1.0069999999999999</v>
      </c>
    </row>
    <row r="432" spans="1:8" ht="21" customHeight="1" x14ac:dyDescent="0.2">
      <c r="A432" s="216">
        <v>778</v>
      </c>
      <c r="B432" s="285" t="s">
        <v>2918</v>
      </c>
      <c r="C432" s="286"/>
      <c r="D432" s="210">
        <v>1.0069999999999999</v>
      </c>
      <c r="E432" s="210">
        <v>1.002</v>
      </c>
      <c r="F432" s="210">
        <v>1.002</v>
      </c>
      <c r="G432" s="210">
        <v>1.002</v>
      </c>
      <c r="H432" s="210">
        <v>1.002</v>
      </c>
    </row>
    <row r="433" spans="1:8" ht="21" customHeight="1" x14ac:dyDescent="0.2">
      <c r="A433" s="216">
        <v>779</v>
      </c>
      <c r="B433" s="285" t="s">
        <v>2919</v>
      </c>
      <c r="C433" s="286"/>
      <c r="D433" s="210">
        <v>1.0009999999999999</v>
      </c>
      <c r="E433" s="210">
        <v>1.002</v>
      </c>
      <c r="F433" s="210">
        <v>1.006</v>
      </c>
      <c r="G433" s="210">
        <v>1.0009999999999999</v>
      </c>
      <c r="H433" s="210">
        <v>0.99399999999999999</v>
      </c>
    </row>
    <row r="434" spans="1:8" ht="21" customHeight="1" x14ac:dyDescent="0.2">
      <c r="A434" s="216">
        <v>780</v>
      </c>
      <c r="B434" s="285" t="s">
        <v>2920</v>
      </c>
      <c r="C434" s="286"/>
      <c r="D434" s="210">
        <v>1.012</v>
      </c>
      <c r="E434" s="210">
        <v>1.006</v>
      </c>
      <c r="F434" s="210">
        <v>1.008</v>
      </c>
      <c r="G434" s="210">
        <v>1.008</v>
      </c>
      <c r="H434" s="210">
        <v>1.012</v>
      </c>
    </row>
    <row r="435" spans="1:8" ht="21" customHeight="1" x14ac:dyDescent="0.2">
      <c r="A435" s="216">
        <v>781</v>
      </c>
      <c r="B435" s="285" t="s">
        <v>2921</v>
      </c>
      <c r="C435" s="286"/>
      <c r="D435" s="210">
        <v>1.008</v>
      </c>
      <c r="E435" s="210">
        <v>1.0029999999999999</v>
      </c>
      <c r="F435" s="210">
        <v>1.004</v>
      </c>
      <c r="G435" s="210">
        <v>1.0049999999999999</v>
      </c>
      <c r="H435" s="210">
        <v>1.006</v>
      </c>
    </row>
    <row r="436" spans="1:8" ht="21" customHeight="1" x14ac:dyDescent="0.2">
      <c r="A436" s="216">
        <v>782</v>
      </c>
      <c r="B436" s="285" t="s">
        <v>2922</v>
      </c>
      <c r="C436" s="286"/>
      <c r="D436" s="210">
        <v>0.99299999999999999</v>
      </c>
      <c r="E436" s="210">
        <v>0.995</v>
      </c>
      <c r="F436" s="210">
        <v>0.99099999999999999</v>
      </c>
      <c r="G436" s="210">
        <v>0.99299999999999999</v>
      </c>
      <c r="H436" s="210">
        <v>0.99199999999999999</v>
      </c>
    </row>
    <row r="437" spans="1:8" ht="21" customHeight="1" x14ac:dyDescent="0.2">
      <c r="A437" s="216">
        <v>783</v>
      </c>
      <c r="B437" s="285" t="s">
        <v>2923</v>
      </c>
      <c r="C437" s="286"/>
      <c r="D437" s="210">
        <v>1.0009999999999999</v>
      </c>
      <c r="E437" s="210">
        <v>0.99099999999999999</v>
      </c>
      <c r="F437" s="210">
        <v>0.998</v>
      </c>
      <c r="G437" s="210">
        <v>1</v>
      </c>
      <c r="H437" s="210">
        <v>0.99199999999999999</v>
      </c>
    </row>
    <row r="438" spans="1:8" ht="21" customHeight="1" x14ac:dyDescent="0.2">
      <c r="A438" s="216">
        <v>784</v>
      </c>
      <c r="B438" s="285" t="s">
        <v>2924</v>
      </c>
      <c r="C438" s="286"/>
      <c r="D438" s="210">
        <v>0.997</v>
      </c>
      <c r="E438" s="210">
        <v>0.98799999999999999</v>
      </c>
      <c r="F438" s="210">
        <v>0.996</v>
      </c>
      <c r="G438" s="210">
        <v>0.997</v>
      </c>
      <c r="H438" s="210">
        <v>0.98899999999999999</v>
      </c>
    </row>
    <row r="439" spans="1:8" ht="21" customHeight="1" x14ac:dyDescent="0.2">
      <c r="A439" s="216">
        <v>785</v>
      </c>
      <c r="B439" s="285" t="s">
        <v>2925</v>
      </c>
      <c r="C439" s="286"/>
      <c r="D439" s="210">
        <v>0.98499999999999999</v>
      </c>
      <c r="E439" s="210">
        <v>0.98399999999999999</v>
      </c>
      <c r="F439" s="210">
        <v>0.98299999999999998</v>
      </c>
      <c r="G439" s="210">
        <v>0.98899999999999999</v>
      </c>
      <c r="H439" s="210">
        <v>0.96</v>
      </c>
    </row>
    <row r="440" spans="1:8" ht="21" customHeight="1" x14ac:dyDescent="0.2">
      <c r="A440" s="216">
        <v>786</v>
      </c>
      <c r="B440" s="285" t="s">
        <v>2926</v>
      </c>
      <c r="C440" s="286"/>
      <c r="D440" s="210">
        <v>0.996</v>
      </c>
      <c r="E440" s="210">
        <v>0.99199999999999999</v>
      </c>
      <c r="F440" s="210">
        <v>0.995</v>
      </c>
      <c r="G440" s="210">
        <v>0.996</v>
      </c>
      <c r="H440" s="210">
        <v>0.99299999999999999</v>
      </c>
    </row>
    <row r="441" spans="1:8" ht="21" customHeight="1" x14ac:dyDescent="0.2">
      <c r="A441" s="216">
        <v>787</v>
      </c>
      <c r="B441" s="285" t="s">
        <v>2927</v>
      </c>
      <c r="C441" s="286"/>
      <c r="D441" s="210">
        <v>0.98799999999999999</v>
      </c>
      <c r="E441" s="210">
        <v>0.98499999999999999</v>
      </c>
      <c r="F441" s="210">
        <v>0.99</v>
      </c>
      <c r="G441" s="210">
        <v>0.995</v>
      </c>
      <c r="H441" s="210">
        <v>0.98599999999999999</v>
      </c>
    </row>
    <row r="442" spans="1:8" ht="21" customHeight="1" x14ac:dyDescent="0.2">
      <c r="A442" s="216">
        <v>788</v>
      </c>
      <c r="B442" s="285" t="s">
        <v>2928</v>
      </c>
      <c r="C442" s="286"/>
      <c r="D442" s="210">
        <v>0.997</v>
      </c>
      <c r="E442" s="210">
        <v>0.98899999999999999</v>
      </c>
      <c r="F442" s="210">
        <v>0.99199999999999999</v>
      </c>
      <c r="G442" s="210">
        <v>0.998</v>
      </c>
      <c r="H442" s="210">
        <v>0.98899999999999999</v>
      </c>
    </row>
    <row r="443" spans="1:8" ht="21" customHeight="1" x14ac:dyDescent="0.2">
      <c r="A443" s="216">
        <v>789</v>
      </c>
      <c r="B443" s="285" t="s">
        <v>2929</v>
      </c>
      <c r="C443" s="286"/>
      <c r="D443" s="210">
        <v>0.98599999999999999</v>
      </c>
      <c r="E443" s="210">
        <v>0.97799999999999998</v>
      </c>
      <c r="F443" s="210">
        <v>0.98199999999999998</v>
      </c>
      <c r="G443" s="210">
        <v>0.99099999999999999</v>
      </c>
      <c r="H443" s="210">
        <v>0.97499999999999998</v>
      </c>
    </row>
    <row r="444" spans="1:8" ht="21" customHeight="1" x14ac:dyDescent="0.2">
      <c r="A444" s="216">
        <v>790</v>
      </c>
      <c r="B444" s="285" t="s">
        <v>2930</v>
      </c>
      <c r="C444" s="286"/>
      <c r="D444" s="210">
        <v>1.0089999999999999</v>
      </c>
      <c r="E444" s="210">
        <v>1.0029999999999999</v>
      </c>
      <c r="F444" s="210">
        <v>1.004</v>
      </c>
      <c r="G444" s="210">
        <v>1.006</v>
      </c>
      <c r="H444" s="210">
        <v>1.004</v>
      </c>
    </row>
    <row r="445" spans="1:8" ht="21" customHeight="1" x14ac:dyDescent="0.2">
      <c r="B445" s="295"/>
      <c r="C445" s="295"/>
    </row>
    <row r="446" spans="1:8" ht="21" customHeight="1" x14ac:dyDescent="0.2">
      <c r="A446" s="296" t="s">
        <v>2426</v>
      </c>
      <c r="B446" s="290"/>
      <c r="C446" s="290"/>
      <c r="D446" s="290"/>
      <c r="E446" s="290"/>
      <c r="F446" s="290"/>
      <c r="G446" s="290"/>
      <c r="H446" s="290"/>
    </row>
    <row r="447" spans="1:8" ht="21" customHeight="1" x14ac:dyDescent="0.2">
      <c r="A447" s="206" t="s">
        <v>2427</v>
      </c>
      <c r="B447" s="290" t="s">
        <v>59</v>
      </c>
      <c r="C447" s="290"/>
      <c r="D447" s="206" t="s">
        <v>54</v>
      </c>
      <c r="E447" s="206" t="s">
        <v>55</v>
      </c>
      <c r="F447" s="206" t="s">
        <v>56</v>
      </c>
      <c r="G447" s="206" t="s">
        <v>57</v>
      </c>
      <c r="H447" s="206" t="s">
        <v>716</v>
      </c>
    </row>
    <row r="448" spans="1:8" ht="21" customHeight="1" x14ac:dyDescent="0.2">
      <c r="A448" s="218">
        <v>1413</v>
      </c>
      <c r="B448" s="285" t="s">
        <v>2969</v>
      </c>
      <c r="C448" s="286"/>
      <c r="D448" s="210">
        <v>0.999</v>
      </c>
      <c r="E448" s="210">
        <v>1</v>
      </c>
      <c r="F448" s="210">
        <v>1</v>
      </c>
      <c r="G448" s="210">
        <v>0.999</v>
      </c>
      <c r="H448" s="210">
        <v>1</v>
      </c>
    </row>
    <row r="449" spans="1:8" ht="21" customHeight="1" x14ac:dyDescent="0.2">
      <c r="A449" s="218">
        <v>1414</v>
      </c>
      <c r="B449" s="285" t="s">
        <v>2969</v>
      </c>
      <c r="C449" s="286"/>
      <c r="D449" s="210">
        <v>0.999</v>
      </c>
      <c r="E449" s="210">
        <v>1</v>
      </c>
      <c r="F449" s="210">
        <v>0.999</v>
      </c>
      <c r="G449" s="210">
        <v>1</v>
      </c>
      <c r="H449" s="210">
        <v>0.999</v>
      </c>
    </row>
    <row r="450" spans="1:8" ht="21" customHeight="1" x14ac:dyDescent="0.2">
      <c r="A450" s="218">
        <v>1419</v>
      </c>
      <c r="B450" s="285" t="s">
        <v>2970</v>
      </c>
      <c r="C450" s="286"/>
      <c r="D450" s="210">
        <v>1</v>
      </c>
      <c r="E450" s="210">
        <v>1</v>
      </c>
      <c r="F450" s="210">
        <v>1</v>
      </c>
      <c r="G450" s="210">
        <v>1</v>
      </c>
      <c r="H450" s="210">
        <v>1</v>
      </c>
    </row>
    <row r="451" spans="1:8" ht="21" customHeight="1" x14ac:dyDescent="0.2">
      <c r="A451" s="218">
        <v>1440</v>
      </c>
      <c r="B451" s="285" t="s">
        <v>2968</v>
      </c>
      <c r="C451" s="286"/>
      <c r="D451" s="210">
        <v>1.0049999999999999</v>
      </c>
      <c r="E451" s="210">
        <v>1.0029999999999999</v>
      </c>
      <c r="F451" s="210">
        <v>1.004</v>
      </c>
      <c r="G451" s="210">
        <v>1.0029999999999999</v>
      </c>
      <c r="H451" s="210">
        <v>1.0029999999999999</v>
      </c>
    </row>
    <row r="452" spans="1:8" ht="21" customHeight="1" x14ac:dyDescent="0.2">
      <c r="A452" s="218">
        <v>1622</v>
      </c>
      <c r="B452" s="285" t="s">
        <v>2971</v>
      </c>
      <c r="C452" s="286"/>
      <c r="D452" s="210">
        <v>1.0049999999999999</v>
      </c>
      <c r="E452" s="210">
        <v>1.004</v>
      </c>
      <c r="F452" s="210">
        <v>1.0049999999999999</v>
      </c>
      <c r="G452" s="210">
        <v>1.0029999999999999</v>
      </c>
      <c r="H452" s="210">
        <v>1.004</v>
      </c>
    </row>
    <row r="453" spans="1:8" ht="21" customHeight="1" x14ac:dyDescent="0.2">
      <c r="A453" s="218">
        <v>2035</v>
      </c>
      <c r="B453" s="285" t="s">
        <v>810</v>
      </c>
      <c r="C453" s="286"/>
      <c r="D453" s="210">
        <v>1.006</v>
      </c>
      <c r="E453" s="210">
        <v>1.0029999999999999</v>
      </c>
      <c r="F453" s="210">
        <v>1.0049999999999999</v>
      </c>
      <c r="G453" s="210">
        <v>1.004</v>
      </c>
      <c r="H453" s="210">
        <v>1.0049999999999999</v>
      </c>
    </row>
    <row r="454" spans="1:8" ht="21" customHeight="1" x14ac:dyDescent="0.2">
      <c r="A454" s="218">
        <v>7006</v>
      </c>
      <c r="B454" s="285" t="s">
        <v>933</v>
      </c>
      <c r="C454" s="286"/>
      <c r="D454" s="210">
        <v>0.99299999999999999</v>
      </c>
      <c r="E454" s="210">
        <v>0.98599999999999999</v>
      </c>
      <c r="F454" s="210">
        <v>0.995</v>
      </c>
      <c r="G454" s="210">
        <v>0.997</v>
      </c>
      <c r="H454" s="210">
        <v>0.996</v>
      </c>
    </row>
    <row r="455" spans="1:8" ht="21" customHeight="1" x14ac:dyDescent="0.2">
      <c r="A455" s="218">
        <v>7044</v>
      </c>
      <c r="B455" s="285" t="s">
        <v>2972</v>
      </c>
      <c r="C455" s="286"/>
      <c r="D455" s="210">
        <v>1.0009999999999999</v>
      </c>
      <c r="E455" s="210">
        <v>0.999</v>
      </c>
      <c r="F455" s="210">
        <v>1.0009999999999999</v>
      </c>
      <c r="G455" s="210">
        <v>1.0009999999999999</v>
      </c>
      <c r="H455" s="210">
        <v>1.0009999999999999</v>
      </c>
    </row>
    <row r="456" spans="1:8" ht="21" customHeight="1" x14ac:dyDescent="0.2">
      <c r="A456" s="218">
        <v>7074</v>
      </c>
      <c r="B456" s="285" t="s">
        <v>2973</v>
      </c>
      <c r="C456" s="286"/>
      <c r="D456" s="210">
        <v>1.052</v>
      </c>
      <c r="E456" s="210">
        <v>1.0389999999999999</v>
      </c>
      <c r="F456" s="210">
        <v>1.0469999999999999</v>
      </c>
      <c r="G456" s="210">
        <v>1.036</v>
      </c>
      <c r="H456" s="210">
        <v>1.0409999999999999</v>
      </c>
    </row>
    <row r="457" spans="1:8" ht="21" customHeight="1" x14ac:dyDescent="0.2">
      <c r="A457" s="218">
        <v>7111</v>
      </c>
      <c r="B457" s="285" t="s">
        <v>887</v>
      </c>
      <c r="C457" s="286"/>
      <c r="D457" s="210">
        <v>0.995</v>
      </c>
      <c r="E457" s="210">
        <v>1</v>
      </c>
      <c r="F457" s="210">
        <v>0.99299999999999999</v>
      </c>
      <c r="G457" s="210">
        <v>0.99099999999999999</v>
      </c>
      <c r="H457" s="210">
        <v>0.99399999999999999</v>
      </c>
    </row>
    <row r="458" spans="1:8" ht="21" customHeight="1" x14ac:dyDescent="0.2">
      <c r="A458" s="218">
        <v>7277</v>
      </c>
      <c r="B458" s="285" t="s">
        <v>888</v>
      </c>
      <c r="C458" s="286"/>
      <c r="D458" s="210">
        <v>1.0169999999999999</v>
      </c>
      <c r="E458" s="210">
        <v>1.0069999999999999</v>
      </c>
      <c r="F458" s="210">
        <v>1.0189999999999999</v>
      </c>
      <c r="G458" s="210">
        <v>1.01</v>
      </c>
      <c r="H458" s="210">
        <v>1.0169999999999999</v>
      </c>
    </row>
    <row r="459" spans="1:8" ht="21" customHeight="1" x14ac:dyDescent="0.2">
      <c r="A459" s="218">
        <v>7308</v>
      </c>
      <c r="B459" s="285" t="s">
        <v>831</v>
      </c>
      <c r="C459" s="286"/>
      <c r="D459" s="210">
        <v>1.006</v>
      </c>
      <c r="E459" s="210">
        <v>1.0009999999999999</v>
      </c>
      <c r="F459" s="210">
        <v>1.0029999999999999</v>
      </c>
      <c r="G459" s="210">
        <v>1.002</v>
      </c>
      <c r="H459" s="210">
        <v>1.0029999999999999</v>
      </c>
    </row>
    <row r="460" spans="1:8" ht="21" customHeight="1" x14ac:dyDescent="0.2">
      <c r="A460" s="218">
        <v>7309</v>
      </c>
      <c r="B460" s="285" t="s">
        <v>831</v>
      </c>
      <c r="C460" s="286"/>
      <c r="D460" s="210">
        <v>1.01</v>
      </c>
      <c r="E460" s="210">
        <v>1.0089999999999999</v>
      </c>
      <c r="F460" s="210">
        <v>1.0109999999999999</v>
      </c>
      <c r="G460" s="210">
        <v>1.01</v>
      </c>
      <c r="H460" s="210">
        <v>1.0109999999999999</v>
      </c>
    </row>
    <row r="461" spans="1:8" ht="21" customHeight="1" x14ac:dyDescent="0.2">
      <c r="A461" s="218">
        <v>7323</v>
      </c>
      <c r="B461" s="285" t="s">
        <v>958</v>
      </c>
      <c r="C461" s="286"/>
      <c r="D461" s="210">
        <v>0.998</v>
      </c>
      <c r="E461" s="210">
        <v>0.998</v>
      </c>
      <c r="F461" s="210">
        <v>0.998</v>
      </c>
      <c r="G461" s="210">
        <v>0.998</v>
      </c>
      <c r="H461" s="210">
        <v>0.998</v>
      </c>
    </row>
    <row r="462" spans="1:8" ht="21" customHeight="1" x14ac:dyDescent="0.2">
      <c r="A462" s="218">
        <v>7369</v>
      </c>
      <c r="B462" s="285" t="s">
        <v>2974</v>
      </c>
      <c r="C462" s="286"/>
      <c r="D462" s="210">
        <v>1.052</v>
      </c>
      <c r="E462" s="210">
        <v>1.0389999999999999</v>
      </c>
      <c r="F462" s="210">
        <v>1.0469999999999999</v>
      </c>
      <c r="G462" s="210">
        <v>1.036</v>
      </c>
      <c r="H462" s="210">
        <v>1.0409999999999999</v>
      </c>
    </row>
  </sheetData>
  <mergeCells count="458">
    <mergeCell ref="B460:C460"/>
    <mergeCell ref="B461:C461"/>
    <mergeCell ref="B462:C462"/>
    <mergeCell ref="B455:C455"/>
    <mergeCell ref="B456:C456"/>
    <mergeCell ref="B457:C457"/>
    <mergeCell ref="B458:C458"/>
    <mergeCell ref="B459:C459"/>
    <mergeCell ref="B308:C308"/>
    <mergeCell ref="B414:C414"/>
    <mergeCell ref="B415:C415"/>
    <mergeCell ref="B416:C416"/>
    <mergeCell ref="B407:C407"/>
    <mergeCell ref="B408:C408"/>
    <mergeCell ref="B409:C409"/>
    <mergeCell ref="B410:C410"/>
    <mergeCell ref="B411:C411"/>
    <mergeCell ref="B402:C402"/>
    <mergeCell ref="B403:C403"/>
    <mergeCell ref="B404:C404"/>
    <mergeCell ref="B405:C405"/>
    <mergeCell ref="B406:C406"/>
    <mergeCell ref="B397:C397"/>
    <mergeCell ref="B398:C398"/>
    <mergeCell ref="B425:C425"/>
    <mergeCell ref="B426:C426"/>
    <mergeCell ref="B417:C417"/>
    <mergeCell ref="B418:C418"/>
    <mergeCell ref="B419:C419"/>
    <mergeCell ref="B420:C420"/>
    <mergeCell ref="B421:C421"/>
    <mergeCell ref="B412:C412"/>
    <mergeCell ref="B413:C413"/>
    <mergeCell ref="B452:C452"/>
    <mergeCell ref="B454:C454"/>
    <mergeCell ref="B453:C453"/>
    <mergeCell ref="B445:C445"/>
    <mergeCell ref="A446:H446"/>
    <mergeCell ref="B447:C447"/>
    <mergeCell ref="B451:C451"/>
    <mergeCell ref="B448:C448"/>
    <mergeCell ref="B449:C449"/>
    <mergeCell ref="B450:C450"/>
    <mergeCell ref="B442:C442"/>
    <mergeCell ref="B443:C443"/>
    <mergeCell ref="B444:C444"/>
    <mergeCell ref="B273:C273"/>
    <mergeCell ref="B274:C274"/>
    <mergeCell ref="B437:C437"/>
    <mergeCell ref="B438:C438"/>
    <mergeCell ref="B439:C439"/>
    <mergeCell ref="B440:C440"/>
    <mergeCell ref="B441:C441"/>
    <mergeCell ref="B432:C432"/>
    <mergeCell ref="B433:C433"/>
    <mergeCell ref="B434:C434"/>
    <mergeCell ref="B435:C435"/>
    <mergeCell ref="B436:C436"/>
    <mergeCell ref="B427:C427"/>
    <mergeCell ref="B428:C428"/>
    <mergeCell ref="B429:C429"/>
    <mergeCell ref="B430:C430"/>
    <mergeCell ref="B281:C281"/>
    <mergeCell ref="B431:C431"/>
    <mergeCell ref="B422:C422"/>
    <mergeCell ref="B423:C423"/>
    <mergeCell ref="B424:C424"/>
    <mergeCell ref="B399:C399"/>
    <mergeCell ref="B400:C400"/>
    <mergeCell ref="B401:C401"/>
    <mergeCell ref="B392:C392"/>
    <mergeCell ref="B393:C393"/>
    <mergeCell ref="B394:C394"/>
    <mergeCell ref="B395:C395"/>
    <mergeCell ref="B396:C396"/>
    <mergeCell ref="B387:C387"/>
    <mergeCell ref="B388:C388"/>
    <mergeCell ref="B389:C389"/>
    <mergeCell ref="B390:C390"/>
    <mergeCell ref="B391:C391"/>
    <mergeCell ref="B382:C382"/>
    <mergeCell ref="B383:C383"/>
    <mergeCell ref="B384:C384"/>
    <mergeCell ref="B385:C385"/>
    <mergeCell ref="B386:C386"/>
    <mergeCell ref="B377:C377"/>
    <mergeCell ref="B378:C378"/>
    <mergeCell ref="B379:C379"/>
    <mergeCell ref="B380:C380"/>
    <mergeCell ref="B381:C381"/>
    <mergeCell ref="B372:C372"/>
    <mergeCell ref="B373:C373"/>
    <mergeCell ref="B374:C374"/>
    <mergeCell ref="B375:C375"/>
    <mergeCell ref="B376:C376"/>
    <mergeCell ref="B367:C367"/>
    <mergeCell ref="B368:C368"/>
    <mergeCell ref="B369:C369"/>
    <mergeCell ref="B370:C370"/>
    <mergeCell ref="B371:C371"/>
    <mergeCell ref="B362:C362"/>
    <mergeCell ref="B363:C363"/>
    <mergeCell ref="B364:C364"/>
    <mergeCell ref="B365:C365"/>
    <mergeCell ref="B366:C366"/>
    <mergeCell ref="B357:C357"/>
    <mergeCell ref="B358:C358"/>
    <mergeCell ref="B359:C359"/>
    <mergeCell ref="B360:C360"/>
    <mergeCell ref="B361:C361"/>
    <mergeCell ref="B352:C352"/>
    <mergeCell ref="B353:C353"/>
    <mergeCell ref="B354:C354"/>
    <mergeCell ref="B355:C355"/>
    <mergeCell ref="B356:C356"/>
    <mergeCell ref="B347:C347"/>
    <mergeCell ref="B348:C348"/>
    <mergeCell ref="B349:C349"/>
    <mergeCell ref="B350:C350"/>
    <mergeCell ref="B351:C351"/>
    <mergeCell ref="B342:C342"/>
    <mergeCell ref="B343:C343"/>
    <mergeCell ref="B344:C344"/>
    <mergeCell ref="B345:C345"/>
    <mergeCell ref="B346:C346"/>
    <mergeCell ref="B337:C337"/>
    <mergeCell ref="B338:C338"/>
    <mergeCell ref="B339:C339"/>
    <mergeCell ref="B340:C340"/>
    <mergeCell ref="B341:C341"/>
    <mergeCell ref="B332:C332"/>
    <mergeCell ref="B333:C333"/>
    <mergeCell ref="B334:C334"/>
    <mergeCell ref="B335:C335"/>
    <mergeCell ref="B336:C336"/>
    <mergeCell ref="B327:C327"/>
    <mergeCell ref="B328:C328"/>
    <mergeCell ref="B329:C329"/>
    <mergeCell ref="B330:C330"/>
    <mergeCell ref="B331:C331"/>
    <mergeCell ref="B322:C322"/>
    <mergeCell ref="B323:C323"/>
    <mergeCell ref="B324:C324"/>
    <mergeCell ref="B325:C325"/>
    <mergeCell ref="B326:C326"/>
    <mergeCell ref="B317:C317"/>
    <mergeCell ref="B318:C318"/>
    <mergeCell ref="B319:C319"/>
    <mergeCell ref="B320:C320"/>
    <mergeCell ref="B321:C321"/>
    <mergeCell ref="B312:C312"/>
    <mergeCell ref="B313:C313"/>
    <mergeCell ref="B314:C314"/>
    <mergeCell ref="B315:C315"/>
    <mergeCell ref="B316:C316"/>
    <mergeCell ref="B306:C306"/>
    <mergeCell ref="B307:C307"/>
    <mergeCell ref="B309:C309"/>
    <mergeCell ref="B310:C310"/>
    <mergeCell ref="B311:C311"/>
    <mergeCell ref="B301:C301"/>
    <mergeCell ref="B302:C302"/>
    <mergeCell ref="B303:C303"/>
    <mergeCell ref="B304:C304"/>
    <mergeCell ref="B305:C305"/>
    <mergeCell ref="B296:C296"/>
    <mergeCell ref="B297:C297"/>
    <mergeCell ref="B298:C298"/>
    <mergeCell ref="B299:C299"/>
    <mergeCell ref="B300:C300"/>
    <mergeCell ref="B41:C41"/>
    <mergeCell ref="B38:C38"/>
    <mergeCell ref="B289:C289"/>
    <mergeCell ref="B290:C290"/>
    <mergeCell ref="B291:C291"/>
    <mergeCell ref="B285:C285"/>
    <mergeCell ref="B286:C286"/>
    <mergeCell ref="B287:C287"/>
    <mergeCell ref="B288:C288"/>
    <mergeCell ref="B42:C42"/>
    <mergeCell ref="B263:C263"/>
    <mergeCell ref="B264:C264"/>
    <mergeCell ref="B265:C265"/>
    <mergeCell ref="B240:C240"/>
    <mergeCell ref="B241:C241"/>
    <mergeCell ref="B242:C242"/>
    <mergeCell ref="B233:C233"/>
    <mergeCell ref="B234:C234"/>
    <mergeCell ref="B235:C235"/>
    <mergeCell ref="B236:C236"/>
    <mergeCell ref="B237:C237"/>
    <mergeCell ref="B228:C228"/>
    <mergeCell ref="B229:C229"/>
    <mergeCell ref="B230:C230"/>
    <mergeCell ref="B292:C292"/>
    <mergeCell ref="B293:C293"/>
    <mergeCell ref="B294:C294"/>
    <mergeCell ref="B295:C295"/>
    <mergeCell ref="A267:H267"/>
    <mergeCell ref="A268:H268"/>
    <mergeCell ref="B269:C269"/>
    <mergeCell ref="B284:C284"/>
    <mergeCell ref="B270:C270"/>
    <mergeCell ref="B272:C272"/>
    <mergeCell ref="B278:C278"/>
    <mergeCell ref="B279:C279"/>
    <mergeCell ref="B280:C280"/>
    <mergeCell ref="B282:C282"/>
    <mergeCell ref="B277:C277"/>
    <mergeCell ref="B271:C271"/>
    <mergeCell ref="B283:C283"/>
    <mergeCell ref="B275:C275"/>
    <mergeCell ref="B276:C276"/>
    <mergeCell ref="B37:C37"/>
    <mergeCell ref="B40:C40"/>
    <mergeCell ref="B29:C29"/>
    <mergeCell ref="B30:C30"/>
    <mergeCell ref="B28:C28"/>
    <mergeCell ref="B31:C31"/>
    <mergeCell ref="B32:C32"/>
    <mergeCell ref="B34:C34"/>
    <mergeCell ref="B36:C36"/>
    <mergeCell ref="B26:C26"/>
    <mergeCell ref="B27:C27"/>
    <mergeCell ref="B258:C258"/>
    <mergeCell ref="B259:C259"/>
    <mergeCell ref="B260:C260"/>
    <mergeCell ref="B261:C261"/>
    <mergeCell ref="B262:C262"/>
    <mergeCell ref="B253:C253"/>
    <mergeCell ref="B254:C254"/>
    <mergeCell ref="B255:C255"/>
    <mergeCell ref="B256:C256"/>
    <mergeCell ref="B257:C257"/>
    <mergeCell ref="B248:C248"/>
    <mergeCell ref="B249:C249"/>
    <mergeCell ref="B250:C250"/>
    <mergeCell ref="B251:C251"/>
    <mergeCell ref="B252:C252"/>
    <mergeCell ref="B243:C243"/>
    <mergeCell ref="B244:C244"/>
    <mergeCell ref="B245:C245"/>
    <mergeCell ref="B246:C246"/>
    <mergeCell ref="B247:C247"/>
    <mergeCell ref="B238:C238"/>
    <mergeCell ref="B239:C239"/>
    <mergeCell ref="B231:C231"/>
    <mergeCell ref="B232:C232"/>
    <mergeCell ref="B223:C223"/>
    <mergeCell ref="B224:C224"/>
    <mergeCell ref="B225:C225"/>
    <mergeCell ref="B226:C226"/>
    <mergeCell ref="B227:C227"/>
    <mergeCell ref="B218:C218"/>
    <mergeCell ref="B219:C219"/>
    <mergeCell ref="B220:C220"/>
    <mergeCell ref="B221:C221"/>
    <mergeCell ref="B222:C222"/>
    <mergeCell ref="B213:C213"/>
    <mergeCell ref="B214:C214"/>
    <mergeCell ref="B215:C215"/>
    <mergeCell ref="B216:C216"/>
    <mergeCell ref="B217:C217"/>
    <mergeCell ref="B208:C208"/>
    <mergeCell ref="B209:C209"/>
    <mergeCell ref="B210:C210"/>
    <mergeCell ref="B211:C211"/>
    <mergeCell ref="B212:C212"/>
    <mergeCell ref="B203:C203"/>
    <mergeCell ref="B204:C204"/>
    <mergeCell ref="B205:C205"/>
    <mergeCell ref="B206:C206"/>
    <mergeCell ref="B207:C207"/>
    <mergeCell ref="B198:C198"/>
    <mergeCell ref="B199:C199"/>
    <mergeCell ref="B200:C200"/>
    <mergeCell ref="B201:C201"/>
    <mergeCell ref="B202:C202"/>
    <mergeCell ref="B193:C193"/>
    <mergeCell ref="B194:C194"/>
    <mergeCell ref="B195:C195"/>
    <mergeCell ref="B196:C196"/>
    <mergeCell ref="B197:C197"/>
    <mergeCell ref="B188:C188"/>
    <mergeCell ref="B189:C189"/>
    <mergeCell ref="B190:C190"/>
    <mergeCell ref="B191:C191"/>
    <mergeCell ref="B192:C192"/>
    <mergeCell ref="B183:C183"/>
    <mergeCell ref="B184:C184"/>
    <mergeCell ref="B185:C185"/>
    <mergeCell ref="B186:C186"/>
    <mergeCell ref="B187:C187"/>
    <mergeCell ref="B178:C178"/>
    <mergeCell ref="B179:C179"/>
    <mergeCell ref="B180:C180"/>
    <mergeCell ref="B181:C181"/>
    <mergeCell ref="B182:C182"/>
    <mergeCell ref="B173:C173"/>
    <mergeCell ref="B174:C174"/>
    <mergeCell ref="B175:C175"/>
    <mergeCell ref="B176:C176"/>
    <mergeCell ref="B177:C177"/>
    <mergeCell ref="B168:C168"/>
    <mergeCell ref="B169:C169"/>
    <mergeCell ref="B170:C170"/>
    <mergeCell ref="B171:C171"/>
    <mergeCell ref="B172:C172"/>
    <mergeCell ref="B148:C148"/>
    <mergeCell ref="B149:C149"/>
    <mergeCell ref="B150:C150"/>
    <mergeCell ref="B151:C151"/>
    <mergeCell ref="B167:C167"/>
    <mergeCell ref="B143:C143"/>
    <mergeCell ref="B144:C144"/>
    <mergeCell ref="B145:C145"/>
    <mergeCell ref="B146:C146"/>
    <mergeCell ref="B147:C147"/>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39:C139"/>
    <mergeCell ref="B140:C140"/>
    <mergeCell ref="B141:C141"/>
    <mergeCell ref="B142:C142"/>
    <mergeCell ref="B133:C133"/>
    <mergeCell ref="B134:C134"/>
    <mergeCell ref="B135:C135"/>
    <mergeCell ref="B136:C136"/>
    <mergeCell ref="B137:C137"/>
    <mergeCell ref="B130:C130"/>
    <mergeCell ref="B131:C131"/>
    <mergeCell ref="B132:C132"/>
    <mergeCell ref="B123:C123"/>
    <mergeCell ref="B124:C124"/>
    <mergeCell ref="B125:C125"/>
    <mergeCell ref="B126:C126"/>
    <mergeCell ref="B127:C127"/>
    <mergeCell ref="B138:C138"/>
    <mergeCell ref="B121:C121"/>
    <mergeCell ref="B122:C122"/>
    <mergeCell ref="B113:C113"/>
    <mergeCell ref="B114:C114"/>
    <mergeCell ref="B115:C115"/>
    <mergeCell ref="B116:C116"/>
    <mergeCell ref="B117:C117"/>
    <mergeCell ref="B128:C128"/>
    <mergeCell ref="B129:C129"/>
    <mergeCell ref="B112:C112"/>
    <mergeCell ref="B103:C103"/>
    <mergeCell ref="B104:C104"/>
    <mergeCell ref="B105:C105"/>
    <mergeCell ref="B106:C106"/>
    <mergeCell ref="B107:C107"/>
    <mergeCell ref="B118:C118"/>
    <mergeCell ref="B119:C119"/>
    <mergeCell ref="B120:C120"/>
    <mergeCell ref="B45:C45"/>
    <mergeCell ref="B46:C46"/>
    <mergeCell ref="B47:C47"/>
    <mergeCell ref="B48:C48"/>
    <mergeCell ref="B98:C98"/>
    <mergeCell ref="B99:C99"/>
    <mergeCell ref="B100:C100"/>
    <mergeCell ref="B101:C101"/>
    <mergeCell ref="B102:C102"/>
    <mergeCell ref="B93:C93"/>
    <mergeCell ref="B94:C94"/>
    <mergeCell ref="B95:C95"/>
    <mergeCell ref="B96:C96"/>
    <mergeCell ref="B97:C97"/>
    <mergeCell ref="B87:C87"/>
    <mergeCell ref="B80:C80"/>
    <mergeCell ref="B81:C81"/>
    <mergeCell ref="B82:C82"/>
    <mergeCell ref="B53:C53"/>
    <mergeCell ref="B54:C54"/>
    <mergeCell ref="B55:C55"/>
    <mergeCell ref="B56:C56"/>
    <mergeCell ref="B57:C57"/>
    <mergeCell ref="A23:H23"/>
    <mergeCell ref="B24:C24"/>
    <mergeCell ref="B67:C67"/>
    <mergeCell ref="B68:C68"/>
    <mergeCell ref="B69:C69"/>
    <mergeCell ref="B77:C77"/>
    <mergeCell ref="B78:C78"/>
    <mergeCell ref="B71:C71"/>
    <mergeCell ref="B72:C72"/>
    <mergeCell ref="B73:C73"/>
    <mergeCell ref="B74:C74"/>
    <mergeCell ref="B75:C75"/>
    <mergeCell ref="B76:C76"/>
    <mergeCell ref="B70:C70"/>
    <mergeCell ref="B25:C25"/>
    <mergeCell ref="B33:C33"/>
    <mergeCell ref="B35:C35"/>
    <mergeCell ref="B39:C39"/>
    <mergeCell ref="B43:C43"/>
    <mergeCell ref="B44:C44"/>
    <mergeCell ref="B49:C49"/>
    <mergeCell ref="B50:C50"/>
    <mergeCell ref="B51:C51"/>
    <mergeCell ref="B52:C52"/>
    <mergeCell ref="A19:B19"/>
    <mergeCell ref="A20:B20"/>
    <mergeCell ref="A22:H22"/>
    <mergeCell ref="A2:E2"/>
    <mergeCell ref="A3:G3"/>
    <mergeCell ref="A4:B5"/>
    <mergeCell ref="A6:B6"/>
    <mergeCell ref="A7:B7"/>
    <mergeCell ref="A8:B8"/>
    <mergeCell ref="A16:B16"/>
    <mergeCell ref="A17:B17"/>
    <mergeCell ref="A18:B18"/>
    <mergeCell ref="A14:B14"/>
    <mergeCell ref="A9:B9"/>
    <mergeCell ref="A10:B10"/>
    <mergeCell ref="C10:G10"/>
    <mergeCell ref="A12:H12"/>
    <mergeCell ref="A13:H13"/>
    <mergeCell ref="A15:B15"/>
    <mergeCell ref="B166:C166"/>
    <mergeCell ref="B58:C58"/>
    <mergeCell ref="B59:C59"/>
    <mergeCell ref="B60:C60"/>
    <mergeCell ref="B61:C61"/>
    <mergeCell ref="B62:C62"/>
    <mergeCell ref="B63:C63"/>
    <mergeCell ref="B64:C64"/>
    <mergeCell ref="B65:C65"/>
    <mergeCell ref="B66:C66"/>
    <mergeCell ref="B79:C79"/>
    <mergeCell ref="B88:C88"/>
    <mergeCell ref="B89:C89"/>
    <mergeCell ref="B90:C90"/>
    <mergeCell ref="B91:C91"/>
    <mergeCell ref="B92:C92"/>
    <mergeCell ref="B83:C83"/>
    <mergeCell ref="B84:C84"/>
    <mergeCell ref="B85:C85"/>
    <mergeCell ref="B86:C86"/>
    <mergeCell ref="B108:C108"/>
    <mergeCell ref="B109:C109"/>
    <mergeCell ref="B110:C110"/>
    <mergeCell ref="B111:C111"/>
  </mergeCells>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44" fitToHeight="0" orientation="portrait" r:id="rId1"/>
  <headerFooter differentFirst="1" scaleWithDoc="0">
    <oddFooter>&amp;C&amp;P of &amp;N</oddFooter>
    <firstHeader>&amp;L
Annex 5 – Line Loss Factors</firstHeader>
    <firstFooter>&amp;C&amp;P of &amp;N</firstFooter>
  </headerFooter>
  <rowBreaks count="1" manualBreakCount="1">
    <brk id="377"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Q32"/>
  <sheetViews>
    <sheetView zoomScale="80" zoomScaleNormal="80" zoomScaleSheetLayoutView="100" workbookViewId="0">
      <selection activeCell="I33" sqref="I33"/>
    </sheetView>
  </sheetViews>
  <sheetFormatPr defaultRowHeight="27.75" customHeight="1" x14ac:dyDescent="0.2"/>
  <cols>
    <col min="1" max="1" width="16" style="1" customWidth="1"/>
    <col min="2" max="2" width="6.28515625" style="1" bestFit="1" customWidth="1"/>
    <col min="3" max="3" width="20.7109375" style="1" customWidth="1"/>
    <col min="4" max="4" width="16.42578125" style="1" customWidth="1"/>
    <col min="5" max="5" width="6.28515625" style="2" bestFit="1" customWidth="1"/>
    <col min="6" max="6" width="20.7109375" style="2" customWidth="1"/>
    <col min="7" max="7" width="50.5703125" style="1" customWidth="1"/>
    <col min="8" max="10" width="15.5703125" style="2" customWidth="1"/>
    <col min="11" max="11" width="15.5703125" style="7" customWidth="1"/>
    <col min="12" max="13" width="15.5703125" style="3" customWidth="1"/>
    <col min="14" max="16" width="15.5703125" style="1" customWidth="1"/>
    <col min="17" max="18" width="13.7109375" style="1" customWidth="1"/>
    <col min="19" max="19" width="15.5703125" style="1" customWidth="1"/>
    <col min="20" max="16384" width="9.140625" style="1"/>
  </cols>
  <sheetData>
    <row r="1" spans="1:16" ht="100.5" customHeight="1" x14ac:dyDescent="0.2">
      <c r="A1" s="12" t="s">
        <v>86</v>
      </c>
      <c r="B1" s="12"/>
      <c r="C1" s="12"/>
      <c r="D1" s="12"/>
      <c r="G1" s="300" t="s">
        <v>713</v>
      </c>
      <c r="H1" s="300"/>
      <c r="I1" s="157"/>
    </row>
    <row r="2" spans="1:16" ht="27.75" customHeight="1" x14ac:dyDescent="0.2">
      <c r="A2" s="297" t="s">
        <v>691</v>
      </c>
      <c r="B2" s="298"/>
      <c r="C2" s="298"/>
      <c r="D2" s="298"/>
      <c r="E2" s="298"/>
      <c r="F2" s="298"/>
      <c r="G2" s="298"/>
      <c r="H2" s="298"/>
      <c r="I2" s="298"/>
      <c r="J2" s="298"/>
      <c r="K2" s="298"/>
      <c r="L2" s="298"/>
      <c r="M2" s="298"/>
      <c r="N2" s="298"/>
      <c r="O2" s="299"/>
    </row>
    <row r="3" spans="1:16" ht="17.25" customHeight="1" x14ac:dyDescent="0.2">
      <c r="A3" s="12"/>
      <c r="B3" s="12"/>
      <c r="C3" s="12"/>
      <c r="D3" s="12"/>
      <c r="G3" s="22"/>
    </row>
    <row r="4" spans="1:16" s="8" customFormat="1" ht="25.5" customHeight="1" x14ac:dyDescent="0.2">
      <c r="A4" s="259" t="str">
        <f>Overview!B4&amp; " - Effective from "&amp;Overview!D4&amp;" - "&amp;Overview!E4&amp;" new designated EHV charges"</f>
        <v>Eastern Power Networks - Effective from 1 April 2020 - Final new designated EHV charges</v>
      </c>
      <c r="B4" s="260"/>
      <c r="C4" s="260"/>
      <c r="D4" s="260"/>
      <c r="E4" s="260"/>
      <c r="F4" s="260"/>
      <c r="G4" s="260"/>
      <c r="H4" s="260"/>
      <c r="I4" s="260"/>
      <c r="J4" s="260"/>
      <c r="K4" s="260"/>
      <c r="L4" s="260"/>
      <c r="M4" s="260"/>
      <c r="N4" s="260"/>
      <c r="O4" s="261"/>
      <c r="P4" s="1"/>
    </row>
    <row r="5" spans="1:16" ht="69.75" customHeight="1" x14ac:dyDescent="0.2">
      <c r="A5" s="28" t="s">
        <v>480</v>
      </c>
      <c r="B5" s="28" t="s">
        <v>468</v>
      </c>
      <c r="C5" s="28" t="s">
        <v>469</v>
      </c>
      <c r="D5" s="28" t="s">
        <v>481</v>
      </c>
      <c r="E5" s="28" t="s">
        <v>468</v>
      </c>
      <c r="F5" s="28" t="s">
        <v>470</v>
      </c>
      <c r="G5" s="64" t="s">
        <v>179</v>
      </c>
      <c r="H5" s="64" t="s">
        <v>619</v>
      </c>
      <c r="I5" s="64" t="s">
        <v>483</v>
      </c>
      <c r="J5" s="64" t="s">
        <v>615</v>
      </c>
      <c r="K5" s="64" t="s">
        <v>677</v>
      </c>
      <c r="L5" s="64" t="s">
        <v>620</v>
      </c>
      <c r="M5" s="64" t="s">
        <v>484</v>
      </c>
      <c r="N5" s="64" t="s">
        <v>616</v>
      </c>
      <c r="O5" s="64" t="s">
        <v>678</v>
      </c>
    </row>
    <row r="6" spans="1:16" ht="22.5" customHeight="1" x14ac:dyDescent="0.2">
      <c r="A6" s="198" t="s">
        <v>2545</v>
      </c>
      <c r="B6" s="199"/>
      <c r="C6" s="92" t="s">
        <v>2546</v>
      </c>
      <c r="D6" s="200" t="s">
        <v>2545</v>
      </c>
      <c r="E6" s="199"/>
      <c r="F6" s="92" t="s">
        <v>2547</v>
      </c>
      <c r="G6" s="201" t="s">
        <v>2545</v>
      </c>
      <c r="H6" s="193">
        <v>0</v>
      </c>
      <c r="I6" s="194">
        <v>1700.44</v>
      </c>
      <c r="J6" s="194">
        <v>1.27</v>
      </c>
      <c r="K6" s="194">
        <v>1.27</v>
      </c>
      <c r="L6" s="195">
        <v>-2E-3</v>
      </c>
      <c r="M6" s="196">
        <v>1700.44</v>
      </c>
      <c r="N6" s="197">
        <v>0.05</v>
      </c>
      <c r="O6" s="197">
        <v>0.05</v>
      </c>
    </row>
    <row r="7" spans="1:16" ht="27.75" customHeight="1" x14ac:dyDescent="0.2">
      <c r="A7" s="198" t="s">
        <v>735</v>
      </c>
      <c r="B7" s="199">
        <v>588</v>
      </c>
      <c r="C7" s="92" t="s">
        <v>986</v>
      </c>
      <c r="D7" s="200" t="s">
        <v>735</v>
      </c>
      <c r="E7" s="199">
        <v>400</v>
      </c>
      <c r="F7" s="92" t="s">
        <v>2548</v>
      </c>
      <c r="G7" s="201" t="s">
        <v>735</v>
      </c>
      <c r="H7" s="193">
        <v>4.4409999999999998</v>
      </c>
      <c r="I7" s="194">
        <v>89.93</v>
      </c>
      <c r="J7" s="194">
        <v>4.22</v>
      </c>
      <c r="K7" s="194">
        <v>4.22</v>
      </c>
      <c r="L7" s="195">
        <v>0</v>
      </c>
      <c r="M7" s="217" t="s">
        <v>2549</v>
      </c>
      <c r="N7" s="197">
        <v>0.05</v>
      </c>
      <c r="O7" s="197">
        <v>0.05</v>
      </c>
    </row>
    <row r="8" spans="1:16" ht="22.5" customHeight="1" x14ac:dyDescent="0.2">
      <c r="A8" s="198" t="s">
        <v>2543</v>
      </c>
      <c r="B8" s="199">
        <v>429</v>
      </c>
      <c r="C8" s="92">
        <v>1050001791569</v>
      </c>
      <c r="D8" s="200" t="s">
        <v>2543</v>
      </c>
      <c r="E8" s="199">
        <v>773</v>
      </c>
      <c r="F8" s="92">
        <v>1050001791578</v>
      </c>
      <c r="G8" s="201" t="s">
        <v>2543</v>
      </c>
      <c r="H8" s="193">
        <v>0.81599999999999995</v>
      </c>
      <c r="I8" s="194">
        <v>31.13</v>
      </c>
      <c r="J8" s="194">
        <v>1.46</v>
      </c>
      <c r="K8" s="194">
        <v>1.46</v>
      </c>
      <c r="L8" s="195">
        <v>-1.0309999999999999</v>
      </c>
      <c r="M8" s="196">
        <v>785.64</v>
      </c>
      <c r="N8" s="197">
        <v>0.05</v>
      </c>
      <c r="O8" s="197">
        <v>0.05</v>
      </c>
    </row>
    <row r="9" spans="1:16" ht="22.5" customHeight="1" x14ac:dyDescent="0.2">
      <c r="A9" s="198" t="s">
        <v>2512</v>
      </c>
      <c r="B9" s="199">
        <v>306</v>
      </c>
      <c r="C9" s="92">
        <v>1050001662241</v>
      </c>
      <c r="D9" s="200" t="s">
        <v>2512</v>
      </c>
      <c r="E9" s="199">
        <v>440</v>
      </c>
      <c r="F9" s="92">
        <v>1050001662250</v>
      </c>
      <c r="G9" s="201" t="s">
        <v>2512</v>
      </c>
      <c r="H9" s="193">
        <v>0.47299999999999998</v>
      </c>
      <c r="I9" s="194">
        <v>12.57</v>
      </c>
      <c r="J9" s="194">
        <v>4.9000000000000004</v>
      </c>
      <c r="K9" s="194">
        <v>4.9000000000000004</v>
      </c>
      <c r="L9" s="195">
        <v>0</v>
      </c>
      <c r="M9" s="196">
        <v>1546.27</v>
      </c>
      <c r="N9" s="197">
        <v>0.05</v>
      </c>
      <c r="O9" s="197">
        <v>0.05</v>
      </c>
    </row>
    <row r="10" spans="1:16" ht="22.5" customHeight="1" x14ac:dyDescent="0.2">
      <c r="A10" s="198" t="s">
        <v>2513</v>
      </c>
      <c r="B10" s="199">
        <v>309</v>
      </c>
      <c r="C10" s="92">
        <v>1050001727953</v>
      </c>
      <c r="D10" s="200" t="s">
        <v>2513</v>
      </c>
      <c r="E10" s="199">
        <v>442</v>
      </c>
      <c r="F10" s="92">
        <v>1050001727962</v>
      </c>
      <c r="G10" s="201" t="s">
        <v>2513</v>
      </c>
      <c r="H10" s="193">
        <v>0</v>
      </c>
      <c r="I10" s="194">
        <v>12.23</v>
      </c>
      <c r="J10" s="194">
        <v>2.13</v>
      </c>
      <c r="K10" s="194">
        <v>2.13</v>
      </c>
      <c r="L10" s="195">
        <v>0</v>
      </c>
      <c r="M10" s="196">
        <v>2139.61</v>
      </c>
      <c r="N10" s="197">
        <v>0.05</v>
      </c>
      <c r="O10" s="197">
        <v>0.05</v>
      </c>
    </row>
    <row r="11" spans="1:16" ht="22.5" customHeight="1" x14ac:dyDescent="0.2">
      <c r="A11" s="198" t="s">
        <v>2544</v>
      </c>
      <c r="B11" s="199">
        <v>427</v>
      </c>
      <c r="C11" s="92">
        <v>1050001858070</v>
      </c>
      <c r="D11" s="200" t="s">
        <v>2544</v>
      </c>
      <c r="E11" s="199">
        <v>648</v>
      </c>
      <c r="F11" s="92">
        <v>1050001858080</v>
      </c>
      <c r="G11" s="201" t="s">
        <v>2544</v>
      </c>
      <c r="H11" s="193">
        <v>0.13200000000000001</v>
      </c>
      <c r="I11" s="194">
        <v>33.85</v>
      </c>
      <c r="J11" s="194">
        <v>2.16</v>
      </c>
      <c r="K11" s="194">
        <v>2.16</v>
      </c>
      <c r="L11" s="195">
        <v>0</v>
      </c>
      <c r="M11" s="196">
        <v>6770</v>
      </c>
      <c r="N11" s="197">
        <v>0.05</v>
      </c>
      <c r="O11" s="197">
        <v>0.05</v>
      </c>
    </row>
    <row r="12" spans="1:16" ht="22.5" customHeight="1" x14ac:dyDescent="0.2">
      <c r="A12" s="198" t="s">
        <v>2533</v>
      </c>
      <c r="B12" s="199">
        <v>428</v>
      </c>
      <c r="C12" s="92">
        <v>1050001620710</v>
      </c>
      <c r="D12" s="200" t="s">
        <v>2533</v>
      </c>
      <c r="E12" s="199">
        <v>774</v>
      </c>
      <c r="F12" s="92">
        <v>1050001620720</v>
      </c>
      <c r="G12" s="201" t="s">
        <v>2533</v>
      </c>
      <c r="H12" s="214">
        <v>0</v>
      </c>
      <c r="I12" s="194">
        <v>9.1199999999999992</v>
      </c>
      <c r="J12" s="194">
        <v>1.38</v>
      </c>
      <c r="K12" s="194">
        <v>1.38</v>
      </c>
      <c r="L12" s="215">
        <v>-0.10100000000000001</v>
      </c>
      <c r="M12" s="196">
        <v>911.78</v>
      </c>
      <c r="N12" s="197">
        <v>0.05</v>
      </c>
      <c r="O12" s="197">
        <v>0.05</v>
      </c>
    </row>
    <row r="13" spans="1:16" ht="25.5" x14ac:dyDescent="0.2">
      <c r="A13" s="198" t="s">
        <v>2534</v>
      </c>
      <c r="B13" s="199">
        <v>483</v>
      </c>
      <c r="C13" s="92" t="s">
        <v>2535</v>
      </c>
      <c r="D13" s="200" t="s">
        <v>2534</v>
      </c>
      <c r="E13" s="199">
        <v>772</v>
      </c>
      <c r="F13" s="92" t="s">
        <v>2536</v>
      </c>
      <c r="G13" s="201" t="s">
        <v>2534</v>
      </c>
      <c r="H13" s="193">
        <v>0</v>
      </c>
      <c r="I13" s="202">
        <v>19016.97</v>
      </c>
      <c r="J13" s="202">
        <v>2.14</v>
      </c>
      <c r="K13" s="202">
        <v>2.14</v>
      </c>
      <c r="L13" s="195">
        <v>0</v>
      </c>
      <c r="M13" s="196">
        <v>11861.83</v>
      </c>
      <c r="N13" s="197">
        <v>0.05</v>
      </c>
      <c r="O13" s="197">
        <v>0.05</v>
      </c>
    </row>
    <row r="14" spans="1:16" ht="17.25" customHeight="1" x14ac:dyDescent="0.2">
      <c r="A14" s="198" t="s">
        <v>760</v>
      </c>
      <c r="B14" s="199">
        <v>866</v>
      </c>
      <c r="C14" s="92">
        <v>1030075706342</v>
      </c>
      <c r="D14" s="200" t="s">
        <v>760</v>
      </c>
      <c r="E14" s="199">
        <v>649</v>
      </c>
      <c r="F14" s="92">
        <v>1050001431630</v>
      </c>
      <c r="G14" s="201" t="s">
        <v>760</v>
      </c>
      <c r="H14" s="193"/>
      <c r="I14" s="202">
        <v>947.65</v>
      </c>
      <c r="J14" s="202">
        <v>1.97</v>
      </c>
      <c r="K14" s="202">
        <v>1.97</v>
      </c>
      <c r="L14" s="195">
        <v>0</v>
      </c>
      <c r="M14" s="196">
        <v>0</v>
      </c>
      <c r="N14" s="197">
        <v>0.05</v>
      </c>
      <c r="O14" s="197">
        <v>0.05</v>
      </c>
    </row>
    <row r="15" spans="1:16" ht="22.5" customHeight="1" x14ac:dyDescent="0.2">
      <c r="A15" s="198" t="s">
        <v>2553</v>
      </c>
      <c r="B15" s="199">
        <v>802</v>
      </c>
      <c r="C15" s="92">
        <v>1050001977780</v>
      </c>
      <c r="D15" s="200"/>
      <c r="E15" s="199"/>
      <c r="F15" s="92"/>
      <c r="G15" s="201" t="s">
        <v>2553</v>
      </c>
      <c r="H15" s="193">
        <v>1.7999999999999999E-2</v>
      </c>
      <c r="I15" s="202" t="s">
        <v>2549</v>
      </c>
      <c r="J15" s="202" t="s">
        <v>2549</v>
      </c>
      <c r="K15" s="202" t="s">
        <v>2549</v>
      </c>
      <c r="L15" s="195"/>
      <c r="M15" s="196"/>
      <c r="N15" s="197"/>
      <c r="O15" s="197"/>
    </row>
    <row r="16" spans="1:16" ht="22.5" customHeight="1" x14ac:dyDescent="0.2">
      <c r="A16" s="198"/>
      <c r="B16" s="199"/>
      <c r="C16" s="92"/>
      <c r="D16" s="200"/>
      <c r="E16" s="199"/>
      <c r="F16" s="92"/>
      <c r="G16" s="201"/>
      <c r="H16" s="193"/>
      <c r="I16" s="194"/>
      <c r="J16" s="194"/>
      <c r="K16" s="194"/>
      <c r="L16" s="195"/>
      <c r="M16" s="196"/>
      <c r="N16" s="197"/>
      <c r="O16" s="197"/>
    </row>
    <row r="18" spans="1:17" ht="27.75" customHeight="1" x14ac:dyDescent="0.2">
      <c r="A18" s="259" t="str">
        <f>Overview!B4&amp; " - Effective from "&amp;Overview!D4&amp;" - "&amp;Overview!E4&amp;" new designated EHV line loss factors"</f>
        <v>Eastern Power Networks - Effective from 1 April 2020 - Final new designated EHV line loss factors</v>
      </c>
      <c r="B18" s="260"/>
      <c r="C18" s="260"/>
      <c r="D18" s="260"/>
      <c r="E18" s="260"/>
      <c r="F18" s="260"/>
      <c r="G18" s="260"/>
      <c r="H18" s="260"/>
      <c r="I18" s="260"/>
      <c r="J18" s="260"/>
      <c r="K18" s="260"/>
      <c r="L18" s="260"/>
      <c r="M18" s="260"/>
      <c r="N18" s="260"/>
      <c r="O18" s="260"/>
      <c r="P18" s="260"/>
      <c r="Q18" s="261"/>
    </row>
    <row r="19" spans="1:17" ht="62.25" customHeight="1" x14ac:dyDescent="0.2">
      <c r="A19" s="28" t="s">
        <v>480</v>
      </c>
      <c r="B19" s="28" t="s">
        <v>468</v>
      </c>
      <c r="C19" s="28" t="s">
        <v>469</v>
      </c>
      <c r="D19" s="28" t="s">
        <v>481</v>
      </c>
      <c r="E19" s="28" t="s">
        <v>468</v>
      </c>
      <c r="F19" s="28" t="s">
        <v>470</v>
      </c>
      <c r="G19" s="64" t="s">
        <v>179</v>
      </c>
      <c r="H19" s="155" t="s">
        <v>703</v>
      </c>
      <c r="I19" s="155" t="s">
        <v>704</v>
      </c>
      <c r="J19" s="155" t="s">
        <v>705</v>
      </c>
      <c r="K19" s="155" t="s">
        <v>706</v>
      </c>
      <c r="L19" s="155" t="s">
        <v>707</v>
      </c>
      <c r="M19" s="156" t="s">
        <v>708</v>
      </c>
      <c r="N19" s="156" t="s">
        <v>709</v>
      </c>
      <c r="O19" s="156" t="s">
        <v>710</v>
      </c>
      <c r="P19" s="156" t="s">
        <v>711</v>
      </c>
      <c r="Q19" s="156" t="s">
        <v>712</v>
      </c>
    </row>
    <row r="20" spans="1:17" ht="22.5" customHeight="1" x14ac:dyDescent="0.2">
      <c r="A20" s="198" t="s">
        <v>2545</v>
      </c>
      <c r="B20" s="199">
        <v>604</v>
      </c>
      <c r="C20" s="92" t="s">
        <v>2546</v>
      </c>
      <c r="D20" s="200" t="s">
        <v>2545</v>
      </c>
      <c r="E20" s="199">
        <v>612</v>
      </c>
      <c r="F20" s="92" t="s">
        <v>2547</v>
      </c>
      <c r="G20" s="201" t="s">
        <v>2545</v>
      </c>
      <c r="H20" s="152">
        <v>1.004</v>
      </c>
      <c r="I20" s="152">
        <v>1.0029999999999999</v>
      </c>
      <c r="J20" s="153">
        <v>1.0029999999999999</v>
      </c>
      <c r="K20" s="153">
        <v>1.002</v>
      </c>
      <c r="L20" s="153">
        <v>1.0029999999999999</v>
      </c>
      <c r="M20" s="152">
        <v>1.004</v>
      </c>
      <c r="N20" s="152">
        <v>1.0029999999999999</v>
      </c>
      <c r="O20" s="153">
        <v>1.0029999999999999</v>
      </c>
      <c r="P20" s="153">
        <v>1.002</v>
      </c>
      <c r="Q20" s="153">
        <v>1.0029999999999999</v>
      </c>
    </row>
    <row r="21" spans="1:17" ht="22.5" customHeight="1" x14ac:dyDescent="0.2">
      <c r="A21" s="198" t="s">
        <v>735</v>
      </c>
      <c r="B21" s="199">
        <v>588</v>
      </c>
      <c r="C21" s="92" t="s">
        <v>986</v>
      </c>
      <c r="D21" s="200" t="s">
        <v>735</v>
      </c>
      <c r="E21" s="199">
        <v>400</v>
      </c>
      <c r="F21" s="92" t="s">
        <v>2548</v>
      </c>
      <c r="G21" s="201" t="s">
        <v>735</v>
      </c>
      <c r="H21" s="152">
        <v>1.0509999999999999</v>
      </c>
      <c r="I21" s="152">
        <v>1.0389999999999999</v>
      </c>
      <c r="J21" s="153">
        <v>1.046</v>
      </c>
      <c r="K21" s="153">
        <v>1.0349999999999999</v>
      </c>
      <c r="L21" s="153">
        <v>1.04</v>
      </c>
      <c r="M21" s="152">
        <v>1.0509999999999999</v>
      </c>
      <c r="N21" s="152">
        <v>1.0389999999999999</v>
      </c>
      <c r="O21" s="153">
        <v>1.046</v>
      </c>
      <c r="P21" s="153">
        <v>1.0349999999999999</v>
      </c>
      <c r="Q21" s="153">
        <v>1.04</v>
      </c>
    </row>
    <row r="22" spans="1:17" ht="22.5" customHeight="1" x14ac:dyDescent="0.2">
      <c r="A22" s="198" t="s">
        <v>2543</v>
      </c>
      <c r="B22" s="199">
        <v>429</v>
      </c>
      <c r="C22" s="92">
        <v>1050001791569</v>
      </c>
      <c r="D22" s="200" t="s">
        <v>2543</v>
      </c>
      <c r="E22" s="199">
        <v>773</v>
      </c>
      <c r="F22" s="92">
        <v>1050001791578</v>
      </c>
      <c r="G22" s="201" t="s">
        <v>2543</v>
      </c>
      <c r="H22" s="152">
        <v>1.016</v>
      </c>
      <c r="I22" s="152">
        <v>1.0129999999999999</v>
      </c>
      <c r="J22" s="153">
        <v>1.0149999999999999</v>
      </c>
      <c r="K22" s="153">
        <v>1.0129999999999999</v>
      </c>
      <c r="L22" s="153">
        <v>1.0129999999999999</v>
      </c>
      <c r="M22" s="152">
        <v>1.016</v>
      </c>
      <c r="N22" s="152">
        <v>1.0129999999999999</v>
      </c>
      <c r="O22" s="153">
        <v>1.0149999999999999</v>
      </c>
      <c r="P22" s="153">
        <v>1.0129999999999999</v>
      </c>
      <c r="Q22" s="153">
        <v>1.0129999999999999</v>
      </c>
    </row>
    <row r="23" spans="1:17" ht="22.5" customHeight="1" x14ac:dyDescent="0.2">
      <c r="A23" s="198" t="s">
        <v>2512</v>
      </c>
      <c r="B23" s="199">
        <v>306</v>
      </c>
      <c r="C23" s="92">
        <v>1050001662241</v>
      </c>
      <c r="D23" s="200" t="s">
        <v>2512</v>
      </c>
      <c r="E23" s="199">
        <v>440</v>
      </c>
      <c r="F23" s="92">
        <v>1050001662250</v>
      </c>
      <c r="G23" s="201" t="s">
        <v>2512</v>
      </c>
      <c r="H23" s="152">
        <v>1.016</v>
      </c>
      <c r="I23" s="152">
        <v>1.0129999999999999</v>
      </c>
      <c r="J23" s="153">
        <v>1.0149999999999999</v>
      </c>
      <c r="K23" s="153">
        <v>1.0129999999999999</v>
      </c>
      <c r="L23" s="153">
        <v>1.0129999999999999</v>
      </c>
      <c r="M23" s="152">
        <v>1.016</v>
      </c>
      <c r="N23" s="152">
        <v>1.0129999999999999</v>
      </c>
      <c r="O23" s="153">
        <v>1.0149999999999999</v>
      </c>
      <c r="P23" s="153">
        <v>1.0129999999999999</v>
      </c>
      <c r="Q23" s="153">
        <v>1.0129999999999999</v>
      </c>
    </row>
    <row r="24" spans="1:17" ht="22.5" customHeight="1" x14ac:dyDescent="0.2">
      <c r="A24" s="198" t="s">
        <v>2513</v>
      </c>
      <c r="B24" s="199">
        <v>309</v>
      </c>
      <c r="C24" s="92">
        <v>1050001727953</v>
      </c>
      <c r="D24" s="200" t="s">
        <v>2513</v>
      </c>
      <c r="E24" s="199">
        <v>442</v>
      </c>
      <c r="F24" s="92">
        <v>1050001727962</v>
      </c>
      <c r="G24" s="201" t="s">
        <v>2513</v>
      </c>
      <c r="H24" s="152">
        <v>1.016</v>
      </c>
      <c r="I24" s="152">
        <v>1.0129999999999999</v>
      </c>
      <c r="J24" s="153">
        <v>1.0149999999999999</v>
      </c>
      <c r="K24" s="153">
        <v>1.0129999999999999</v>
      </c>
      <c r="L24" s="153">
        <v>1.0129999999999999</v>
      </c>
      <c r="M24" s="152">
        <v>1.016</v>
      </c>
      <c r="N24" s="152">
        <v>1.0129999999999999</v>
      </c>
      <c r="O24" s="153">
        <v>1.0149999999999999</v>
      </c>
      <c r="P24" s="153">
        <v>1.0129999999999999</v>
      </c>
      <c r="Q24" s="153">
        <v>1.0129999999999999</v>
      </c>
    </row>
    <row r="25" spans="1:17" ht="22.5" customHeight="1" x14ac:dyDescent="0.2">
      <c r="A25" s="198" t="s">
        <v>2544</v>
      </c>
      <c r="B25" s="199">
        <v>427</v>
      </c>
      <c r="C25" s="92">
        <v>1050001858070</v>
      </c>
      <c r="D25" s="200" t="s">
        <v>2544</v>
      </c>
      <c r="E25" s="199">
        <v>648</v>
      </c>
      <c r="F25" s="92">
        <v>1050001858080</v>
      </c>
      <c r="G25" s="201" t="s">
        <v>2544</v>
      </c>
      <c r="H25" s="152">
        <v>1.004</v>
      </c>
      <c r="I25" s="152">
        <v>1.0029999999999999</v>
      </c>
      <c r="J25" s="153">
        <v>1.0029999999999999</v>
      </c>
      <c r="K25" s="153">
        <v>1.002</v>
      </c>
      <c r="L25" s="153">
        <v>1.0029999999999999</v>
      </c>
      <c r="M25" s="152">
        <v>1.004</v>
      </c>
      <c r="N25" s="152">
        <v>1.0029999999999999</v>
      </c>
      <c r="O25" s="153">
        <v>1.0029999999999999</v>
      </c>
      <c r="P25" s="153">
        <v>1.002</v>
      </c>
      <c r="Q25" s="153">
        <v>1.0029999999999999</v>
      </c>
    </row>
    <row r="26" spans="1:17" ht="22.5" customHeight="1" x14ac:dyDescent="0.2">
      <c r="A26" s="198" t="s">
        <v>2533</v>
      </c>
      <c r="B26" s="199">
        <v>428</v>
      </c>
      <c r="C26" s="92">
        <v>1050001620710</v>
      </c>
      <c r="D26" s="200" t="s">
        <v>2533</v>
      </c>
      <c r="E26" s="199">
        <v>774</v>
      </c>
      <c r="F26" s="92">
        <v>1050001620720</v>
      </c>
      <c r="G26" s="201" t="s">
        <v>2533</v>
      </c>
      <c r="H26" s="152">
        <v>1.016</v>
      </c>
      <c r="I26" s="152">
        <v>1.0129999999999999</v>
      </c>
      <c r="J26" s="153">
        <v>1.0149999999999999</v>
      </c>
      <c r="K26" s="153">
        <v>1.0129999999999999</v>
      </c>
      <c r="L26" s="153">
        <v>1.0129999999999999</v>
      </c>
      <c r="M26" s="152">
        <v>1.016</v>
      </c>
      <c r="N26" s="152">
        <v>1.0129999999999999</v>
      </c>
      <c r="O26" s="153">
        <v>1.0149999999999999</v>
      </c>
      <c r="P26" s="153">
        <v>1.0129999999999999</v>
      </c>
      <c r="Q26" s="153">
        <v>1.0129999999999999</v>
      </c>
    </row>
    <row r="27" spans="1:17" ht="25.5" x14ac:dyDescent="0.2">
      <c r="A27" s="198" t="s">
        <v>2534</v>
      </c>
      <c r="B27" s="199">
        <v>483</v>
      </c>
      <c r="C27" s="92" t="s">
        <v>2535</v>
      </c>
      <c r="D27" s="200" t="s">
        <v>2534</v>
      </c>
      <c r="E27" s="199">
        <v>772</v>
      </c>
      <c r="F27" s="92" t="s">
        <v>2536</v>
      </c>
      <c r="G27" s="201" t="s">
        <v>2534</v>
      </c>
      <c r="H27" s="152">
        <v>1.004</v>
      </c>
      <c r="I27" s="152">
        <v>1.0029999999999999</v>
      </c>
      <c r="J27" s="153">
        <v>1.0029999999999999</v>
      </c>
      <c r="K27" s="153">
        <v>1.002</v>
      </c>
      <c r="L27" s="153">
        <v>1.0029999999999999</v>
      </c>
      <c r="M27" s="152">
        <v>1.004</v>
      </c>
      <c r="N27" s="152">
        <v>1.0029999999999999</v>
      </c>
      <c r="O27" s="153">
        <v>1.0029999999999999</v>
      </c>
      <c r="P27" s="153">
        <v>1.002</v>
      </c>
      <c r="Q27" s="153">
        <v>1.0029999999999999</v>
      </c>
    </row>
    <row r="28" spans="1:17" ht="22.5" customHeight="1" x14ac:dyDescent="0.2">
      <c r="A28" s="198" t="s">
        <v>760</v>
      </c>
      <c r="B28" s="199">
        <v>866</v>
      </c>
      <c r="C28" s="92">
        <v>1030075706342</v>
      </c>
      <c r="D28" s="200" t="s">
        <v>760</v>
      </c>
      <c r="E28" s="199">
        <v>649</v>
      </c>
      <c r="F28" s="92">
        <v>1050001431630</v>
      </c>
      <c r="G28" s="201" t="s">
        <v>760</v>
      </c>
      <c r="H28" s="152">
        <v>1.004</v>
      </c>
      <c r="I28" s="152">
        <v>1.0029999999999999</v>
      </c>
      <c r="J28" s="153">
        <v>1.004</v>
      </c>
      <c r="K28" s="153">
        <v>1.0029999999999999</v>
      </c>
      <c r="L28" s="153">
        <v>1.004</v>
      </c>
      <c r="M28" s="152">
        <v>1.016</v>
      </c>
      <c r="N28" s="152">
        <v>1.0129999999999999</v>
      </c>
      <c r="O28" s="153">
        <v>1.0149999999999999</v>
      </c>
      <c r="P28" s="153">
        <v>1.0129999999999999</v>
      </c>
      <c r="Q28" s="153">
        <v>1.0129999999999999</v>
      </c>
    </row>
    <row r="29" spans="1:17" ht="22.5" customHeight="1" x14ac:dyDescent="0.2">
      <c r="A29" s="198" t="s">
        <v>2553</v>
      </c>
      <c r="B29" s="199">
        <v>802</v>
      </c>
      <c r="C29" s="92">
        <v>1050001977780</v>
      </c>
      <c r="D29" s="200"/>
      <c r="E29" s="199"/>
      <c r="F29" s="92"/>
      <c r="G29" s="201" t="s">
        <v>2553</v>
      </c>
      <c r="H29" s="152">
        <v>1.0089999999999999</v>
      </c>
      <c r="I29" s="152">
        <v>1.0109999999999999</v>
      </c>
      <c r="J29" s="153">
        <v>1.014</v>
      </c>
      <c r="K29" s="153">
        <v>1.0089999999999999</v>
      </c>
      <c r="L29" s="153">
        <v>1.0089999999999999</v>
      </c>
      <c r="M29" s="152"/>
      <c r="N29" s="152"/>
      <c r="O29" s="153"/>
      <c r="P29" s="153"/>
      <c r="Q29" s="153"/>
    </row>
    <row r="30" spans="1:17" ht="22.5" customHeight="1" x14ac:dyDescent="0.2">
      <c r="A30" s="198"/>
      <c r="B30" s="199"/>
      <c r="C30" s="92"/>
      <c r="D30" s="200"/>
      <c r="E30" s="199"/>
      <c r="F30" s="92"/>
      <c r="G30" s="201"/>
      <c r="H30" s="152"/>
      <c r="I30" s="152"/>
      <c r="J30" s="153"/>
      <c r="K30" s="153"/>
      <c r="L30" s="153"/>
      <c r="M30" s="152"/>
      <c r="N30" s="152"/>
      <c r="O30" s="153"/>
      <c r="P30" s="153"/>
      <c r="Q30" s="153"/>
    </row>
    <row r="32" spans="1:17" ht="27.75" customHeight="1" x14ac:dyDescent="0.2">
      <c r="A32" s="1" t="s">
        <v>2542</v>
      </c>
    </row>
  </sheetData>
  <sortState xmlns:xlrd2="http://schemas.microsoft.com/office/spreadsheetml/2017/richdata2" ref="A16:S19">
    <sortCondition ref="A16"/>
  </sortState>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2:O2"/>
    <mergeCell ref="A4:O4"/>
    <mergeCell ref="A18:Q18"/>
    <mergeCell ref="G1:H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46"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G758"/>
  <sheetViews>
    <sheetView zoomScale="85" zoomScaleNormal="85" zoomScaleSheetLayoutView="100" workbookViewId="0"/>
  </sheetViews>
  <sheetFormatPr defaultRowHeight="27.75" customHeight="1" x14ac:dyDescent="0.2"/>
  <cols>
    <col min="1" max="1" width="29.85546875" style="1" customWidth="1"/>
    <col min="2" max="2" width="48.5703125" style="1" customWidth="1"/>
    <col min="3" max="4" width="23.7109375" style="2" customWidth="1"/>
    <col min="5" max="5" width="15.5703125" style="1" customWidth="1"/>
    <col min="6" max="16384" width="9.140625" style="1"/>
  </cols>
  <sheetData>
    <row r="1" spans="1:7" ht="27.75" customHeight="1" x14ac:dyDescent="0.2">
      <c r="A1" s="12" t="s">
        <v>86</v>
      </c>
      <c r="B1" s="2"/>
      <c r="C1" s="1"/>
      <c r="E1" s="7"/>
      <c r="F1" s="3"/>
      <c r="G1" s="3"/>
    </row>
    <row r="2" spans="1:7" s="8" customFormat="1" ht="22.5" customHeight="1" x14ac:dyDescent="0.2">
      <c r="A2" s="259" t="str">
        <f>Overview!B4&amp; " - Effective from "&amp;Overview!D4&amp;" - "&amp;Overview!E4&amp;" Nodal/Zonal charges"</f>
        <v>Eastern Power Networks - Effective from 1 April 2020 - Final Nodal/Zonal charges</v>
      </c>
      <c r="B2" s="260"/>
      <c r="C2" s="260"/>
      <c r="D2" s="261"/>
    </row>
    <row r="3" spans="1:7" ht="60.75" customHeight="1" x14ac:dyDescent="0.2">
      <c r="A3" s="19" t="s">
        <v>479</v>
      </c>
      <c r="B3" s="19" t="s">
        <v>51</v>
      </c>
      <c r="C3" s="19" t="s">
        <v>455</v>
      </c>
      <c r="D3" s="19" t="s">
        <v>456</v>
      </c>
    </row>
    <row r="4" spans="1:7" ht="21.75" customHeight="1" x14ac:dyDescent="0.2">
      <c r="A4" s="190" t="s">
        <v>1052</v>
      </c>
      <c r="B4" s="190" t="s">
        <v>1772</v>
      </c>
      <c r="C4" s="191">
        <v>0</v>
      </c>
      <c r="D4" s="191">
        <v>0.50176556623024948</v>
      </c>
    </row>
    <row r="5" spans="1:7" ht="21.75" customHeight="1" x14ac:dyDescent="0.2">
      <c r="A5" s="190" t="s">
        <v>1053</v>
      </c>
      <c r="B5" s="190" t="s">
        <v>1773</v>
      </c>
      <c r="C5" s="191">
        <v>1.4467147215491919E-2</v>
      </c>
      <c r="D5" s="191">
        <v>7.9070149491659754E-3</v>
      </c>
    </row>
    <row r="6" spans="1:7" ht="21.75" customHeight="1" x14ac:dyDescent="0.2">
      <c r="A6" s="190" t="s">
        <v>1054</v>
      </c>
      <c r="B6" s="190" t="s">
        <v>1773</v>
      </c>
      <c r="C6" s="191">
        <v>0.70398724540681257</v>
      </c>
      <c r="D6" s="191">
        <v>7.7006140482353991E-2</v>
      </c>
    </row>
    <row r="7" spans="1:7" ht="21.75" customHeight="1" x14ac:dyDescent="0.2">
      <c r="A7" s="190" t="s">
        <v>1055</v>
      </c>
      <c r="B7" s="190" t="s">
        <v>1774</v>
      </c>
      <c r="C7" s="191">
        <v>7.1151757338251492E-2</v>
      </c>
      <c r="D7" s="191">
        <v>1.7710341032252048</v>
      </c>
    </row>
    <row r="8" spans="1:7" ht="21.75" customHeight="1" x14ac:dyDescent="0.2">
      <c r="A8" s="190" t="s">
        <v>1057</v>
      </c>
      <c r="B8" s="190" t="s">
        <v>1776</v>
      </c>
      <c r="C8" s="191">
        <v>5.63833753178608E-2</v>
      </c>
      <c r="D8" s="191">
        <v>0.39681067181489893</v>
      </c>
    </row>
    <row r="9" spans="1:7" ht="21.75" customHeight="1" x14ac:dyDescent="0.2">
      <c r="A9" s="190" t="s">
        <v>1058</v>
      </c>
      <c r="B9" s="190" t="s">
        <v>1777</v>
      </c>
      <c r="C9" s="191">
        <v>2.02651112558355</v>
      </c>
      <c r="D9" s="191">
        <v>5.2606402976771269</v>
      </c>
    </row>
    <row r="10" spans="1:7" ht="21.75" customHeight="1" x14ac:dyDescent="0.2">
      <c r="A10" s="190" t="s">
        <v>2440</v>
      </c>
      <c r="B10" s="190" t="s">
        <v>2475</v>
      </c>
      <c r="C10" s="191">
        <v>-5.5541102675531402</v>
      </c>
      <c r="D10" s="191">
        <v>3.1840921422185477</v>
      </c>
    </row>
    <row r="11" spans="1:7" ht="21.75" customHeight="1" x14ac:dyDescent="0.2">
      <c r="A11" s="190" t="s">
        <v>1060</v>
      </c>
      <c r="B11" s="190" t="s">
        <v>1779</v>
      </c>
      <c r="C11" s="191">
        <v>0</v>
      </c>
      <c r="D11" s="191">
        <v>0</v>
      </c>
    </row>
    <row r="12" spans="1:7" ht="21.75" customHeight="1" x14ac:dyDescent="0.2">
      <c r="A12" s="190" t="s">
        <v>1061</v>
      </c>
      <c r="B12" s="190" t="s">
        <v>1780</v>
      </c>
      <c r="C12" s="191">
        <v>0.14686465459773199</v>
      </c>
      <c r="D12" s="191">
        <v>2.1331789996817081</v>
      </c>
    </row>
    <row r="13" spans="1:7" ht="21.75" customHeight="1" x14ac:dyDescent="0.2">
      <c r="A13" s="190" t="s">
        <v>1062</v>
      </c>
      <c r="B13" s="190" t="s">
        <v>1780</v>
      </c>
      <c r="C13" s="191">
        <v>0.13159422541870747</v>
      </c>
      <c r="D13" s="191">
        <v>0.18083343063552237</v>
      </c>
    </row>
    <row r="14" spans="1:7" ht="21.75" customHeight="1" x14ac:dyDescent="0.2">
      <c r="A14" s="190" t="s">
        <v>1063</v>
      </c>
      <c r="B14" s="190" t="s">
        <v>1781</v>
      </c>
      <c r="C14" s="191">
        <v>0.31460740490109451</v>
      </c>
      <c r="D14" s="191">
        <v>1.0487375193590514</v>
      </c>
    </row>
    <row r="15" spans="1:7" ht="21.75" customHeight="1" x14ac:dyDescent="0.2">
      <c r="A15" s="190" t="s">
        <v>1064</v>
      </c>
      <c r="B15" s="190" t="s">
        <v>1782</v>
      </c>
      <c r="C15" s="191">
        <v>9.0464311746657304E-3</v>
      </c>
      <c r="D15" s="191">
        <v>1.6463593171953506</v>
      </c>
    </row>
    <row r="16" spans="1:7" ht="21.75" customHeight="1" x14ac:dyDescent="0.2">
      <c r="A16" s="190" t="s">
        <v>1065</v>
      </c>
      <c r="B16" s="190" t="s">
        <v>1782</v>
      </c>
      <c r="C16" s="191">
        <v>1.1058802078681838E-2</v>
      </c>
      <c r="D16" s="191">
        <v>1.6878332873768525</v>
      </c>
    </row>
    <row r="17" spans="1:4" ht="21.75" customHeight="1" x14ac:dyDescent="0.2">
      <c r="A17" s="190" t="s">
        <v>1066</v>
      </c>
      <c r="B17" s="190" t="s">
        <v>1783</v>
      </c>
      <c r="C17" s="191">
        <v>9.0646379945095695E-2</v>
      </c>
      <c r="D17" s="191">
        <v>7.2192776315112395E-2</v>
      </c>
    </row>
    <row r="18" spans="1:4" ht="21.75" customHeight="1" x14ac:dyDescent="0.2">
      <c r="A18" s="190" t="s">
        <v>1067</v>
      </c>
      <c r="B18" s="190" t="s">
        <v>1784</v>
      </c>
      <c r="C18" s="191">
        <v>0</v>
      </c>
      <c r="D18" s="191">
        <v>0</v>
      </c>
    </row>
    <row r="19" spans="1:4" ht="21.75" customHeight="1" x14ac:dyDescent="0.2">
      <c r="A19" s="190" t="s">
        <v>1068</v>
      </c>
      <c r="B19" s="190" t="s">
        <v>1785</v>
      </c>
      <c r="C19" s="191">
        <v>2.2941091181887099E-2</v>
      </c>
      <c r="D19" s="191">
        <v>1.9626754140624818</v>
      </c>
    </row>
    <row r="20" spans="1:4" ht="21.75" customHeight="1" x14ac:dyDescent="0.2">
      <c r="A20" s="190" t="s">
        <v>1069</v>
      </c>
      <c r="B20" s="190" t="s">
        <v>1785</v>
      </c>
      <c r="C20" s="191">
        <v>0</v>
      </c>
      <c r="D20" s="191">
        <v>2.3195066093720715</v>
      </c>
    </row>
    <row r="21" spans="1:4" ht="21.75" customHeight="1" x14ac:dyDescent="0.2">
      <c r="A21" s="190" t="s">
        <v>1070</v>
      </c>
      <c r="B21" s="190" t="s">
        <v>1786</v>
      </c>
      <c r="C21" s="191">
        <v>3.6754420628530501E-2</v>
      </c>
      <c r="D21" s="191">
        <v>0.42376972181484662</v>
      </c>
    </row>
    <row r="22" spans="1:4" ht="21.75" customHeight="1" x14ac:dyDescent="0.2">
      <c r="A22" s="190" t="s">
        <v>1071</v>
      </c>
      <c r="B22" s="190" t="s">
        <v>1787</v>
      </c>
      <c r="C22" s="191">
        <v>0.57459448569938054</v>
      </c>
      <c r="D22" s="191">
        <v>7.0665080502374149</v>
      </c>
    </row>
    <row r="23" spans="1:4" ht="21.75" customHeight="1" x14ac:dyDescent="0.2">
      <c r="A23" s="190" t="s">
        <v>1072</v>
      </c>
      <c r="B23" s="190" t="s">
        <v>1788</v>
      </c>
      <c r="C23" s="191">
        <v>0.49270924139881561</v>
      </c>
      <c r="D23" s="191">
        <v>2.2553254034373231</v>
      </c>
    </row>
    <row r="24" spans="1:4" ht="21.75" customHeight="1" x14ac:dyDescent="0.2">
      <c r="A24" s="190" t="s">
        <v>1073</v>
      </c>
      <c r="B24" s="190" t="s">
        <v>1789</v>
      </c>
      <c r="C24" s="191">
        <v>0.22856196372483001</v>
      </c>
      <c r="D24" s="191">
        <v>2.5900898503081282</v>
      </c>
    </row>
    <row r="25" spans="1:4" ht="21.75" customHeight="1" x14ac:dyDescent="0.2">
      <c r="A25" s="190" t="s">
        <v>1074</v>
      </c>
      <c r="B25" s="190" t="s">
        <v>1790</v>
      </c>
      <c r="C25" s="191">
        <v>4.47515989595915E-2</v>
      </c>
      <c r="D25" s="191">
        <v>4.788101321920709E-2</v>
      </c>
    </row>
    <row r="26" spans="1:4" ht="21.75" customHeight="1" x14ac:dyDescent="0.2">
      <c r="A26" s="190" t="s">
        <v>1076</v>
      </c>
      <c r="B26" s="190" t="s">
        <v>1792</v>
      </c>
      <c r="C26" s="191">
        <v>3.4703426091442724E-2</v>
      </c>
      <c r="D26" s="191">
        <v>9.9641149420171132E-3</v>
      </c>
    </row>
    <row r="27" spans="1:4" ht="27.75" customHeight="1" x14ac:dyDescent="0.2">
      <c r="A27" s="190" t="s">
        <v>1077</v>
      </c>
      <c r="B27" s="190" t="s">
        <v>1793</v>
      </c>
      <c r="C27" s="191">
        <v>0.427237137303974</v>
      </c>
      <c r="D27" s="191">
        <v>-4.2716622664940589</v>
      </c>
    </row>
    <row r="28" spans="1:4" ht="27.75" customHeight="1" x14ac:dyDescent="0.2">
      <c r="A28" s="190" t="s">
        <v>1078</v>
      </c>
      <c r="B28" s="190" t="s">
        <v>1794</v>
      </c>
      <c r="C28" s="191">
        <v>1.2915328373517971</v>
      </c>
      <c r="D28" s="191">
        <v>5.0448180305976029</v>
      </c>
    </row>
    <row r="29" spans="1:4" ht="27.75" customHeight="1" x14ac:dyDescent="0.2">
      <c r="A29" s="190" t="s">
        <v>1079</v>
      </c>
      <c r="B29" s="190" t="s">
        <v>1795</v>
      </c>
      <c r="C29" s="191">
        <v>7.6483260498931199E-2</v>
      </c>
      <c r="D29" s="191">
        <v>3.0967310898632787</v>
      </c>
    </row>
    <row r="30" spans="1:4" ht="27.75" customHeight="1" x14ac:dyDescent="0.2">
      <c r="A30" s="190" t="s">
        <v>1080</v>
      </c>
      <c r="B30" s="190" t="s">
        <v>1796</v>
      </c>
      <c r="C30" s="191">
        <v>0.57134447694304835</v>
      </c>
      <c r="D30" s="191">
        <v>2.5594382316947399</v>
      </c>
    </row>
    <row r="31" spans="1:4" ht="27.75" customHeight="1" x14ac:dyDescent="0.2">
      <c r="A31" s="190" t="s">
        <v>1081</v>
      </c>
      <c r="B31" s="190" t="s">
        <v>1797</v>
      </c>
      <c r="C31" s="191">
        <v>2.08315791523408</v>
      </c>
      <c r="D31" s="191">
        <v>53.096929565244636</v>
      </c>
    </row>
    <row r="32" spans="1:4" ht="27.75" customHeight="1" x14ac:dyDescent="0.2">
      <c r="A32" s="190" t="s">
        <v>1082</v>
      </c>
      <c r="B32" s="190" t="s">
        <v>1798</v>
      </c>
      <c r="C32" s="191">
        <v>1.7089784252658393</v>
      </c>
      <c r="D32" s="191">
        <v>-4.4751804536359749</v>
      </c>
    </row>
    <row r="33" spans="1:4" ht="27.75" customHeight="1" x14ac:dyDescent="0.2">
      <c r="A33" s="190" t="s">
        <v>1083</v>
      </c>
      <c r="B33" s="190" t="s">
        <v>1799</v>
      </c>
      <c r="C33" s="191">
        <v>0.54185634541808303</v>
      </c>
      <c r="D33" s="191">
        <v>3.4343176474277999</v>
      </c>
    </row>
    <row r="34" spans="1:4" ht="27.75" customHeight="1" x14ac:dyDescent="0.2">
      <c r="A34" s="190" t="s">
        <v>1085</v>
      </c>
      <c r="B34" s="190" t="s">
        <v>1801</v>
      </c>
      <c r="C34" s="191">
        <v>-9.7148326664151963E-2</v>
      </c>
      <c r="D34" s="191">
        <v>-0.19582088693155986</v>
      </c>
    </row>
    <row r="35" spans="1:4" ht="27.75" customHeight="1" x14ac:dyDescent="0.2">
      <c r="A35" s="190" t="s">
        <v>1086</v>
      </c>
      <c r="B35" s="190" t="s">
        <v>1802</v>
      </c>
      <c r="C35" s="191">
        <v>0.26236366642094944</v>
      </c>
      <c r="D35" s="191">
        <v>-1.9203333158391644</v>
      </c>
    </row>
    <row r="36" spans="1:4" ht="27.75" customHeight="1" x14ac:dyDescent="0.2">
      <c r="A36" s="190" t="s">
        <v>1087</v>
      </c>
      <c r="B36" s="190" t="s">
        <v>1803</v>
      </c>
      <c r="C36" s="191">
        <v>3.721188303904964</v>
      </c>
      <c r="D36" s="191">
        <v>4.7933557707078327</v>
      </c>
    </row>
    <row r="37" spans="1:4" ht="27.75" customHeight="1" x14ac:dyDescent="0.2">
      <c r="A37" s="190" t="s">
        <v>1088</v>
      </c>
      <c r="B37" s="190" t="s">
        <v>1804</v>
      </c>
      <c r="C37" s="191">
        <v>0.12544232805270206</v>
      </c>
      <c r="D37" s="191">
        <v>-0.47117577918145093</v>
      </c>
    </row>
    <row r="38" spans="1:4" ht="27.75" customHeight="1" x14ac:dyDescent="0.2">
      <c r="A38" s="190" t="s">
        <v>1089</v>
      </c>
      <c r="B38" s="190" t="s">
        <v>1805</v>
      </c>
      <c r="C38" s="191">
        <v>3.5095718555335695</v>
      </c>
      <c r="D38" s="191">
        <v>6.8954075626988578</v>
      </c>
    </row>
    <row r="39" spans="1:4" ht="27.75" customHeight="1" x14ac:dyDescent="0.2">
      <c r="A39" s="190" t="s">
        <v>1091</v>
      </c>
      <c r="B39" s="190" t="s">
        <v>1807</v>
      </c>
      <c r="C39" s="191">
        <v>1.0094014864964671</v>
      </c>
      <c r="D39" s="191">
        <v>-4.0812464045272856</v>
      </c>
    </row>
    <row r="40" spans="1:4" ht="27.75" customHeight="1" x14ac:dyDescent="0.2">
      <c r="A40" s="190" t="s">
        <v>1092</v>
      </c>
      <c r="B40" s="190" t="s">
        <v>1808</v>
      </c>
      <c r="C40" s="191">
        <v>0.491668944056944</v>
      </c>
      <c r="D40" s="191">
        <v>0.94280335689731598</v>
      </c>
    </row>
    <row r="41" spans="1:4" ht="27.75" customHeight="1" x14ac:dyDescent="0.2">
      <c r="A41" s="190" t="s">
        <v>1093</v>
      </c>
      <c r="B41" s="190" t="s">
        <v>1809</v>
      </c>
      <c r="C41" s="191">
        <v>5.3709728246791405E-2</v>
      </c>
      <c r="D41" s="191">
        <v>1.7476805229956318</v>
      </c>
    </row>
    <row r="42" spans="1:4" ht="27.75" customHeight="1" x14ac:dyDescent="0.2">
      <c r="A42" s="190" t="s">
        <v>1094</v>
      </c>
      <c r="B42" s="190" t="s">
        <v>1810</v>
      </c>
      <c r="C42" s="191">
        <v>0.10074540633422491</v>
      </c>
      <c r="D42" s="191">
        <v>2.59213897619393</v>
      </c>
    </row>
    <row r="43" spans="1:4" ht="27.75" customHeight="1" x14ac:dyDescent="0.2">
      <c r="A43" s="190" t="s">
        <v>1095</v>
      </c>
      <c r="B43" s="190" t="s">
        <v>1811</v>
      </c>
      <c r="C43" s="191">
        <v>0</v>
      </c>
      <c r="D43" s="191">
        <v>0</v>
      </c>
    </row>
    <row r="44" spans="1:4" ht="27.75" customHeight="1" x14ac:dyDescent="0.2">
      <c r="A44" s="190" t="s">
        <v>1096</v>
      </c>
      <c r="B44" s="190" t="s">
        <v>1812</v>
      </c>
      <c r="C44" s="191">
        <v>2.2863279533376999</v>
      </c>
      <c r="D44" s="191">
        <v>11.096043093993499</v>
      </c>
    </row>
    <row r="45" spans="1:4" ht="27.75" customHeight="1" x14ac:dyDescent="0.2">
      <c r="A45" s="190" t="s">
        <v>1097</v>
      </c>
      <c r="B45" s="190" t="s">
        <v>1813</v>
      </c>
      <c r="C45" s="191">
        <v>0.84928659450887556</v>
      </c>
      <c r="D45" s="191">
        <v>7.0063705177088327</v>
      </c>
    </row>
    <row r="46" spans="1:4" ht="27.75" customHeight="1" x14ac:dyDescent="0.2">
      <c r="A46" s="190" t="s">
        <v>1098</v>
      </c>
      <c r="B46" s="190" t="s">
        <v>1814</v>
      </c>
      <c r="C46" s="191">
        <v>-0.23544316216560413</v>
      </c>
      <c r="D46" s="191">
        <v>11.264114215873379</v>
      </c>
    </row>
    <row r="47" spans="1:4" ht="27.75" customHeight="1" x14ac:dyDescent="0.2">
      <c r="A47" s="190" t="s">
        <v>1099</v>
      </c>
      <c r="B47" s="190" t="s">
        <v>1815</v>
      </c>
      <c r="C47" s="191">
        <v>-0.25005043261593901</v>
      </c>
      <c r="D47" s="191">
        <v>1.5958731831927047</v>
      </c>
    </row>
    <row r="48" spans="1:4" ht="27.75" customHeight="1" x14ac:dyDescent="0.2">
      <c r="A48" s="190" t="s">
        <v>1100</v>
      </c>
      <c r="B48" s="190" t="s">
        <v>1816</v>
      </c>
      <c r="C48" s="191">
        <v>7.7464803578539201E-2</v>
      </c>
      <c r="D48" s="191">
        <v>0.76156797152680922</v>
      </c>
    </row>
    <row r="49" spans="1:4" ht="27.75" customHeight="1" x14ac:dyDescent="0.2">
      <c r="A49" s="190" t="s">
        <v>1101</v>
      </c>
      <c r="B49" s="190" t="s">
        <v>1817</v>
      </c>
      <c r="C49" s="191">
        <v>0</v>
      </c>
      <c r="D49" s="191">
        <v>0</v>
      </c>
    </row>
    <row r="50" spans="1:4" ht="27.75" customHeight="1" x14ac:dyDescent="0.2">
      <c r="A50" s="190" t="s">
        <v>1102</v>
      </c>
      <c r="B50" s="190" t="s">
        <v>1817</v>
      </c>
      <c r="C50" s="191">
        <v>0</v>
      </c>
      <c r="D50" s="191">
        <v>0</v>
      </c>
    </row>
    <row r="51" spans="1:4" ht="27.75" customHeight="1" x14ac:dyDescent="0.2">
      <c r="A51" s="190" t="s">
        <v>1103</v>
      </c>
      <c r="B51" s="190" t="s">
        <v>1818</v>
      </c>
      <c r="C51" s="191">
        <v>1.490396367756639</v>
      </c>
      <c r="D51" s="191">
        <v>-4.2696933203275096</v>
      </c>
    </row>
    <row r="52" spans="1:4" ht="27.75" customHeight="1" x14ac:dyDescent="0.2">
      <c r="A52" s="190" t="s">
        <v>1105</v>
      </c>
      <c r="B52" s="190" t="s">
        <v>1820</v>
      </c>
      <c r="C52" s="191">
        <v>1.4583397809582535</v>
      </c>
      <c r="D52" s="191">
        <v>2.0790436644671138</v>
      </c>
    </row>
    <row r="53" spans="1:4" ht="27.75" customHeight="1" x14ac:dyDescent="0.2">
      <c r="A53" s="190" t="s">
        <v>1106</v>
      </c>
      <c r="B53" s="190" t="s">
        <v>1821</v>
      </c>
      <c r="C53" s="191">
        <v>0.25812490728058274</v>
      </c>
      <c r="D53" s="191">
        <v>17.720294111434047</v>
      </c>
    </row>
    <row r="54" spans="1:4" ht="27.75" customHeight="1" x14ac:dyDescent="0.2">
      <c r="A54" s="190" t="s">
        <v>1107</v>
      </c>
      <c r="B54" s="190" t="s">
        <v>1821</v>
      </c>
      <c r="C54" s="191">
        <v>0.15617304700113979</v>
      </c>
      <c r="D54" s="191">
        <v>6.2483482312898913</v>
      </c>
    </row>
    <row r="55" spans="1:4" ht="27.75" customHeight="1" x14ac:dyDescent="0.2">
      <c r="A55" s="190" t="s">
        <v>1109</v>
      </c>
      <c r="B55" s="190" t="s">
        <v>1823</v>
      </c>
      <c r="C55" s="191">
        <v>1.4400081497678179</v>
      </c>
      <c r="D55" s="191">
        <v>6.6229481100926595</v>
      </c>
    </row>
    <row r="56" spans="1:4" ht="27.75" customHeight="1" x14ac:dyDescent="0.2">
      <c r="A56" s="190" t="s">
        <v>1110</v>
      </c>
      <c r="B56" s="190" t="s">
        <v>1824</v>
      </c>
      <c r="C56" s="191">
        <v>0.33090649470219419</v>
      </c>
      <c r="D56" s="191">
        <v>-2.3283796475419365</v>
      </c>
    </row>
    <row r="57" spans="1:4" ht="27.75" customHeight="1" x14ac:dyDescent="0.2">
      <c r="A57" s="190" t="s">
        <v>1111</v>
      </c>
      <c r="B57" s="190" t="s">
        <v>1825</v>
      </c>
      <c r="C57" s="191">
        <v>0.69460823861266852</v>
      </c>
      <c r="D57" s="191">
        <v>6.4345478466898536</v>
      </c>
    </row>
    <row r="58" spans="1:4" ht="27.75" customHeight="1" x14ac:dyDescent="0.2">
      <c r="A58" s="190" t="s">
        <v>1112</v>
      </c>
      <c r="B58" s="190" t="s">
        <v>1826</v>
      </c>
      <c r="C58" s="191">
        <v>5.6882211269633345</v>
      </c>
      <c r="D58" s="191">
        <v>-0.80165455503697292</v>
      </c>
    </row>
    <row r="59" spans="1:4" ht="27.75" customHeight="1" x14ac:dyDescent="0.2">
      <c r="A59" s="190" t="s">
        <v>1113</v>
      </c>
      <c r="B59" s="190" t="s">
        <v>1826</v>
      </c>
      <c r="C59" s="191">
        <v>5.1147861495987925</v>
      </c>
      <c r="D59" s="191">
        <v>-0.91971047258609406</v>
      </c>
    </row>
    <row r="60" spans="1:4" ht="27.75" customHeight="1" x14ac:dyDescent="0.2">
      <c r="A60" s="190" t="s">
        <v>1114</v>
      </c>
      <c r="B60" s="190" t="s">
        <v>1827</v>
      </c>
      <c r="C60" s="191">
        <v>3.9444995337464799</v>
      </c>
      <c r="D60" s="191">
        <v>3.5622115666041867</v>
      </c>
    </row>
    <row r="61" spans="1:4" ht="27.75" customHeight="1" x14ac:dyDescent="0.2">
      <c r="A61" s="190" t="s">
        <v>1119</v>
      </c>
      <c r="B61" s="190" t="s">
        <v>1832</v>
      </c>
      <c r="C61" s="191">
        <v>1.810352175779383</v>
      </c>
      <c r="D61" s="191">
        <v>1.5812685800604189</v>
      </c>
    </row>
    <row r="62" spans="1:4" ht="27.75" customHeight="1" x14ac:dyDescent="0.2">
      <c r="A62" s="190" t="s">
        <v>1120</v>
      </c>
      <c r="B62" s="190" t="s">
        <v>1833</v>
      </c>
      <c r="C62" s="191">
        <v>0.35080969155667119</v>
      </c>
      <c r="D62" s="191">
        <v>-0.50983653951100849</v>
      </c>
    </row>
    <row r="63" spans="1:4" ht="27.75" customHeight="1" x14ac:dyDescent="0.2">
      <c r="A63" s="190" t="s">
        <v>1121</v>
      </c>
      <c r="B63" s="190" t="s">
        <v>1834</v>
      </c>
      <c r="C63" s="191">
        <v>2.7645858440636002E-3</v>
      </c>
      <c r="D63" s="191">
        <v>3.4103060182225031E-2</v>
      </c>
    </row>
    <row r="64" spans="1:4" ht="27.75" customHeight="1" x14ac:dyDescent="0.2">
      <c r="A64" s="190" t="s">
        <v>1122</v>
      </c>
      <c r="B64" s="190" t="s">
        <v>1835</v>
      </c>
      <c r="C64" s="191">
        <v>7.5146443364313809E-2</v>
      </c>
      <c r="D64" s="191">
        <v>-5.3703284705039271</v>
      </c>
    </row>
    <row r="65" spans="1:4" ht="27.75" customHeight="1" x14ac:dyDescent="0.2">
      <c r="A65" s="190" t="s">
        <v>1123</v>
      </c>
      <c r="B65" s="190" t="s">
        <v>1836</v>
      </c>
      <c r="C65" s="191">
        <v>2.8442973763785089</v>
      </c>
      <c r="D65" s="191">
        <v>-2.508572879286576</v>
      </c>
    </row>
    <row r="66" spans="1:4" ht="27.75" customHeight="1" x14ac:dyDescent="0.2">
      <c r="A66" s="190" t="s">
        <v>2441</v>
      </c>
      <c r="B66" s="190" t="s">
        <v>2476</v>
      </c>
      <c r="C66" s="191">
        <v>0.45329605525207539</v>
      </c>
      <c r="D66" s="191">
        <v>-2.1611509564138651</v>
      </c>
    </row>
    <row r="67" spans="1:4" ht="27.75" customHeight="1" x14ac:dyDescent="0.2">
      <c r="A67" s="190" t="s">
        <v>1124</v>
      </c>
      <c r="B67" s="190" t="s">
        <v>1837</v>
      </c>
      <c r="C67" s="191">
        <v>0.4904589875075977</v>
      </c>
      <c r="D67" s="191">
        <v>2.3043109275001328</v>
      </c>
    </row>
    <row r="68" spans="1:4" ht="27.75" customHeight="1" x14ac:dyDescent="0.2">
      <c r="A68" s="190" t="s">
        <v>1125</v>
      </c>
      <c r="B68" s="190" t="s">
        <v>1838</v>
      </c>
      <c r="C68" s="191">
        <v>0.33288918868564266</v>
      </c>
      <c r="D68" s="191">
        <v>-1.169539486700403</v>
      </c>
    </row>
    <row r="69" spans="1:4" ht="27.75" customHeight="1" x14ac:dyDescent="0.2">
      <c r="A69" s="190" t="s">
        <v>1126</v>
      </c>
      <c r="B69" s="190" t="s">
        <v>1838</v>
      </c>
      <c r="C69" s="191">
        <v>0.12613861390090281</v>
      </c>
      <c r="D69" s="191">
        <v>-1.0199027188032364</v>
      </c>
    </row>
    <row r="70" spans="1:4" ht="27.75" customHeight="1" x14ac:dyDescent="0.2">
      <c r="A70" s="190" t="s">
        <v>1127</v>
      </c>
      <c r="B70" s="190" t="s">
        <v>1839</v>
      </c>
      <c r="C70" s="191">
        <v>0</v>
      </c>
      <c r="D70" s="191">
        <v>0</v>
      </c>
    </row>
    <row r="71" spans="1:4" ht="27.75" customHeight="1" x14ac:dyDescent="0.2">
      <c r="A71" s="190" t="s">
        <v>1128</v>
      </c>
      <c r="B71" s="190" t="s">
        <v>1840</v>
      </c>
      <c r="C71" s="191">
        <v>3.0550319971156332</v>
      </c>
      <c r="D71" s="191">
        <v>6.3170315279831746</v>
      </c>
    </row>
    <row r="72" spans="1:4" ht="27.75" customHeight="1" x14ac:dyDescent="0.2">
      <c r="A72" s="190" t="s">
        <v>1129</v>
      </c>
      <c r="B72" s="190" t="s">
        <v>1841</v>
      </c>
      <c r="C72" s="191">
        <v>5.5019279601518836</v>
      </c>
      <c r="D72" s="191">
        <v>4.9917182879299915E-3</v>
      </c>
    </row>
    <row r="73" spans="1:4" ht="27.75" customHeight="1" x14ac:dyDescent="0.2">
      <c r="A73" s="190" t="s">
        <v>1130</v>
      </c>
      <c r="B73" s="190" t="s">
        <v>1841</v>
      </c>
      <c r="C73" s="191">
        <v>5.4637113027402364</v>
      </c>
      <c r="D73" s="191">
        <v>4.6322017595858966E-3</v>
      </c>
    </row>
    <row r="74" spans="1:4" ht="27.75" customHeight="1" x14ac:dyDescent="0.2">
      <c r="A74" s="190" t="s">
        <v>1131</v>
      </c>
      <c r="B74" s="190" t="s">
        <v>1842</v>
      </c>
      <c r="C74" s="191">
        <v>0.17883581872484738</v>
      </c>
      <c r="D74" s="191">
        <v>3.9633260626577584</v>
      </c>
    </row>
    <row r="75" spans="1:4" ht="27.75" customHeight="1" x14ac:dyDescent="0.2">
      <c r="A75" s="190" t="s">
        <v>1132</v>
      </c>
      <c r="B75" s="190" t="s">
        <v>1843</v>
      </c>
      <c r="C75" s="191">
        <v>0.92158025874478211</v>
      </c>
      <c r="D75" s="191">
        <v>0</v>
      </c>
    </row>
    <row r="76" spans="1:4" ht="27.75" customHeight="1" x14ac:dyDescent="0.2">
      <c r="A76" s="190" t="s">
        <v>1133</v>
      </c>
      <c r="B76" s="190" t="s">
        <v>1844</v>
      </c>
      <c r="C76" s="191">
        <v>0.79662385517761702</v>
      </c>
      <c r="D76" s="191">
        <v>-0.23553270332303056</v>
      </c>
    </row>
    <row r="77" spans="1:4" ht="27.75" customHeight="1" x14ac:dyDescent="0.2">
      <c r="A77" s="190" t="s">
        <v>1134</v>
      </c>
      <c r="B77" s="190" t="s">
        <v>1845</v>
      </c>
      <c r="C77" s="191">
        <v>-3.8221597200100654E-2</v>
      </c>
      <c r="D77" s="191">
        <v>-7.0669203851372236E-2</v>
      </c>
    </row>
    <row r="78" spans="1:4" ht="27.75" customHeight="1" x14ac:dyDescent="0.2">
      <c r="A78" s="190" t="s">
        <v>1135</v>
      </c>
      <c r="B78" s="190" t="s">
        <v>1845</v>
      </c>
      <c r="C78" s="191">
        <v>0.12109492310445252</v>
      </c>
      <c r="D78" s="191">
        <v>8.0772880119985041E-2</v>
      </c>
    </row>
    <row r="79" spans="1:4" ht="27.75" customHeight="1" x14ac:dyDescent="0.2">
      <c r="A79" s="190" t="s">
        <v>1136</v>
      </c>
      <c r="B79" s="190" t="s">
        <v>1846</v>
      </c>
      <c r="C79" s="191">
        <v>1.3431146679256341</v>
      </c>
      <c r="D79" s="191">
        <v>12.156092442976925</v>
      </c>
    </row>
    <row r="80" spans="1:4" ht="27.75" customHeight="1" x14ac:dyDescent="0.2">
      <c r="A80" s="190" t="s">
        <v>1137</v>
      </c>
      <c r="B80" s="190" t="s">
        <v>1847</v>
      </c>
      <c r="C80" s="191">
        <v>6.4254596714854702E-3</v>
      </c>
      <c r="D80" s="191">
        <v>-2.5192216081203998E-2</v>
      </c>
    </row>
    <row r="81" spans="1:4" ht="27.75" customHeight="1" x14ac:dyDescent="0.2">
      <c r="A81" s="190" t="s">
        <v>1138</v>
      </c>
      <c r="B81" s="190" t="s">
        <v>1848</v>
      </c>
      <c r="C81" s="191">
        <v>1.9695374544729731</v>
      </c>
      <c r="D81" s="191">
        <v>0</v>
      </c>
    </row>
    <row r="82" spans="1:4" ht="27.75" customHeight="1" x14ac:dyDescent="0.2">
      <c r="A82" s="190" t="s">
        <v>1139</v>
      </c>
      <c r="B82" s="190" t="s">
        <v>1849</v>
      </c>
      <c r="C82" s="191">
        <v>-0.692651720011074</v>
      </c>
      <c r="D82" s="191">
        <v>-1.3649423159363474</v>
      </c>
    </row>
    <row r="83" spans="1:4" ht="27.75" customHeight="1" x14ac:dyDescent="0.2">
      <c r="A83" s="190" t="s">
        <v>1140</v>
      </c>
      <c r="B83" s="190" t="s">
        <v>1850</v>
      </c>
      <c r="C83" s="191">
        <v>0.22755852424263551</v>
      </c>
      <c r="D83" s="191">
        <v>6.045710309378366E-3</v>
      </c>
    </row>
    <row r="84" spans="1:4" ht="27.75" customHeight="1" x14ac:dyDescent="0.2">
      <c r="A84" s="190" t="s">
        <v>1141</v>
      </c>
      <c r="B84" s="190" t="s">
        <v>1851</v>
      </c>
      <c r="C84" s="191">
        <v>0.258778227717054</v>
      </c>
      <c r="D84" s="191">
        <v>29.3313784579077</v>
      </c>
    </row>
    <row r="85" spans="1:4" ht="27.75" customHeight="1" x14ac:dyDescent="0.2">
      <c r="A85" s="190" t="s">
        <v>1142</v>
      </c>
      <c r="B85" s="190" t="s">
        <v>1852</v>
      </c>
      <c r="C85" s="191">
        <v>0.87339167109603832</v>
      </c>
      <c r="D85" s="191">
        <v>-0.36726555094973767</v>
      </c>
    </row>
    <row r="86" spans="1:4" ht="27.75" customHeight="1" x14ac:dyDescent="0.2">
      <c r="A86" s="190" t="s">
        <v>1143</v>
      </c>
      <c r="B86" s="190" t="s">
        <v>1853</v>
      </c>
      <c r="C86" s="191">
        <v>1.1576016849734909</v>
      </c>
      <c r="D86" s="191">
        <v>0</v>
      </c>
    </row>
    <row r="87" spans="1:4" ht="27.75" customHeight="1" x14ac:dyDescent="0.2">
      <c r="A87" s="190" t="s">
        <v>1146</v>
      </c>
      <c r="B87" s="190" t="s">
        <v>1855</v>
      </c>
      <c r="C87" s="191">
        <v>2.6247941307433393</v>
      </c>
      <c r="D87" s="191">
        <v>9.7611659869318359</v>
      </c>
    </row>
    <row r="88" spans="1:4" ht="27.75" customHeight="1" x14ac:dyDescent="0.2">
      <c r="A88" s="190" t="s">
        <v>1147</v>
      </c>
      <c r="B88" s="190" t="s">
        <v>1856</v>
      </c>
      <c r="C88" s="191">
        <v>-2.8257645126875919</v>
      </c>
      <c r="D88" s="191">
        <v>-1.7624121450679548</v>
      </c>
    </row>
    <row r="89" spans="1:4" ht="27.75" customHeight="1" x14ac:dyDescent="0.2">
      <c r="A89" s="190" t="s">
        <v>1148</v>
      </c>
      <c r="B89" s="190" t="s">
        <v>1856</v>
      </c>
      <c r="C89" s="191">
        <v>-2.4477852584576061</v>
      </c>
      <c r="D89" s="191">
        <v>-0.86223223565578655</v>
      </c>
    </row>
    <row r="90" spans="1:4" ht="27.75" customHeight="1" x14ac:dyDescent="0.2">
      <c r="A90" s="190" t="s">
        <v>1149</v>
      </c>
      <c r="B90" s="190" t="s">
        <v>1857</v>
      </c>
      <c r="C90" s="191">
        <v>0.21534561145968958</v>
      </c>
      <c r="D90" s="191">
        <v>0</v>
      </c>
    </row>
    <row r="91" spans="1:4" ht="27.75" customHeight="1" x14ac:dyDescent="0.2">
      <c r="A91" s="190" t="s">
        <v>1150</v>
      </c>
      <c r="B91" s="190" t="s">
        <v>1857</v>
      </c>
      <c r="C91" s="191">
        <v>0.38232727284946216</v>
      </c>
      <c r="D91" s="191">
        <v>-9.1961050723368132E-3</v>
      </c>
    </row>
    <row r="92" spans="1:4" ht="27.75" customHeight="1" x14ac:dyDescent="0.2">
      <c r="A92" s="190" t="s">
        <v>1151</v>
      </c>
      <c r="B92" s="190" t="s">
        <v>1858</v>
      </c>
      <c r="C92" s="191">
        <v>2.5265046613313991</v>
      </c>
      <c r="D92" s="191">
        <v>-0.14858050401848377</v>
      </c>
    </row>
    <row r="93" spans="1:4" ht="27.75" customHeight="1" x14ac:dyDescent="0.2">
      <c r="A93" s="190" t="s">
        <v>1152</v>
      </c>
      <c r="B93" s="190" t="s">
        <v>1858</v>
      </c>
      <c r="C93" s="191">
        <v>2.5043497780669646</v>
      </c>
      <c r="D93" s="191">
        <v>-0.14876184195332964</v>
      </c>
    </row>
    <row r="94" spans="1:4" ht="27.75" customHeight="1" x14ac:dyDescent="0.2">
      <c r="A94" s="190" t="s">
        <v>1153</v>
      </c>
      <c r="B94" s="190" t="s">
        <v>1859</v>
      </c>
      <c r="C94" s="191">
        <v>1.5804455996374012</v>
      </c>
      <c r="D94" s="191">
        <v>5.3067680532032924E-3</v>
      </c>
    </row>
    <row r="95" spans="1:4" ht="27.75" customHeight="1" x14ac:dyDescent="0.2">
      <c r="A95" s="190" t="s">
        <v>1154</v>
      </c>
      <c r="B95" s="190" t="s">
        <v>1859</v>
      </c>
      <c r="C95" s="191">
        <v>1.5595012036768279</v>
      </c>
      <c r="D95" s="191">
        <v>5.1404898980242919E-3</v>
      </c>
    </row>
    <row r="96" spans="1:4" ht="27.75" customHeight="1" x14ac:dyDescent="0.2">
      <c r="A96" s="190" t="s">
        <v>1155</v>
      </c>
      <c r="B96" s="190" t="s">
        <v>1860</v>
      </c>
      <c r="C96" s="191">
        <v>0.23357769161639821</v>
      </c>
      <c r="D96" s="191">
        <v>4.6689082879369653E-2</v>
      </c>
    </row>
    <row r="97" spans="1:4" ht="27.75" customHeight="1" x14ac:dyDescent="0.2">
      <c r="A97" s="190" t="s">
        <v>1156</v>
      </c>
      <c r="B97" s="190" t="s">
        <v>1861</v>
      </c>
      <c r="C97" s="191">
        <v>2.23383978089797</v>
      </c>
      <c r="D97" s="191">
        <v>30.050336888944553</v>
      </c>
    </row>
    <row r="98" spans="1:4" ht="27.75" customHeight="1" x14ac:dyDescent="0.2">
      <c r="A98" s="190" t="s">
        <v>1157</v>
      </c>
      <c r="B98" s="190" t="s">
        <v>1862</v>
      </c>
      <c r="C98" s="191">
        <v>4.1922188568335628</v>
      </c>
      <c r="D98" s="191">
        <v>-0.29888340802820856</v>
      </c>
    </row>
    <row r="99" spans="1:4" ht="27.75" customHeight="1" x14ac:dyDescent="0.2">
      <c r="A99" s="190" t="s">
        <v>1158</v>
      </c>
      <c r="B99" s="190" t="s">
        <v>1862</v>
      </c>
      <c r="C99" s="191">
        <v>4.3546511074215566</v>
      </c>
      <c r="D99" s="191">
        <v>-0.28408891139069681</v>
      </c>
    </row>
    <row r="100" spans="1:4" ht="27.75" customHeight="1" x14ac:dyDescent="0.2">
      <c r="A100" s="190" t="s">
        <v>1159</v>
      </c>
      <c r="B100" s="190" t="s">
        <v>1863</v>
      </c>
      <c r="C100" s="191">
        <v>7.4536482494251999E-4</v>
      </c>
      <c r="D100" s="191">
        <v>0</v>
      </c>
    </row>
    <row r="101" spans="1:4" ht="27.75" customHeight="1" x14ac:dyDescent="0.2">
      <c r="A101" s="190" t="s">
        <v>1160</v>
      </c>
      <c r="B101" s="190" t="s">
        <v>1863</v>
      </c>
      <c r="C101" s="191">
        <v>8.1762063014031105E-4</v>
      </c>
      <c r="D101" s="191">
        <v>0</v>
      </c>
    </row>
    <row r="102" spans="1:4" ht="27.75" customHeight="1" x14ac:dyDescent="0.2">
      <c r="A102" s="190" t="s">
        <v>1161</v>
      </c>
      <c r="B102" s="190" t="s">
        <v>1864</v>
      </c>
      <c r="C102" s="191">
        <v>0</v>
      </c>
      <c r="D102" s="191">
        <v>0</v>
      </c>
    </row>
    <row r="103" spans="1:4" ht="27.75" customHeight="1" x14ac:dyDescent="0.2">
      <c r="A103" s="190" t="s">
        <v>1162</v>
      </c>
      <c r="B103" s="190" t="s">
        <v>1865</v>
      </c>
      <c r="C103" s="191">
        <v>-0.218568702781132</v>
      </c>
      <c r="D103" s="191">
        <v>-0.4829389085199341</v>
      </c>
    </row>
    <row r="104" spans="1:4" ht="27.75" customHeight="1" x14ac:dyDescent="0.2">
      <c r="A104" s="190" t="s">
        <v>1164</v>
      </c>
      <c r="B104" s="190" t="s">
        <v>1867</v>
      </c>
      <c r="C104" s="191">
        <v>1.15674460239849</v>
      </c>
      <c r="D104" s="191">
        <v>0</v>
      </c>
    </row>
    <row r="105" spans="1:4" ht="27.75" customHeight="1" x14ac:dyDescent="0.2">
      <c r="A105" s="190" t="s">
        <v>1165</v>
      </c>
      <c r="B105" s="190" t="s">
        <v>1868</v>
      </c>
      <c r="C105" s="191">
        <v>1.1952298879557378E-2</v>
      </c>
      <c r="D105" s="191">
        <v>9.6921146237443495E-2</v>
      </c>
    </row>
    <row r="106" spans="1:4" ht="27.75" customHeight="1" x14ac:dyDescent="0.2">
      <c r="A106" s="190" t="s">
        <v>1166</v>
      </c>
      <c r="B106" s="190" t="s">
        <v>1869</v>
      </c>
      <c r="C106" s="191">
        <v>1.9688485533917399</v>
      </c>
      <c r="D106" s="191">
        <v>0.28332450355258931</v>
      </c>
    </row>
    <row r="107" spans="1:4" ht="27.75" customHeight="1" x14ac:dyDescent="0.2">
      <c r="A107" s="190" t="s">
        <v>1167</v>
      </c>
      <c r="B107" s="190" t="s">
        <v>1870</v>
      </c>
      <c r="C107" s="191">
        <v>3.9032121553672916E-3</v>
      </c>
      <c r="D107" s="191">
        <v>1.6054105557923124</v>
      </c>
    </row>
    <row r="108" spans="1:4" ht="27.75" customHeight="1" x14ac:dyDescent="0.2">
      <c r="A108" s="190" t="s">
        <v>1168</v>
      </c>
      <c r="B108" s="190" t="s">
        <v>1871</v>
      </c>
      <c r="C108" s="191">
        <v>1.2748628810323148</v>
      </c>
      <c r="D108" s="191">
        <v>7.6410688810981018</v>
      </c>
    </row>
    <row r="109" spans="1:4" ht="27.75" customHeight="1" x14ac:dyDescent="0.2">
      <c r="A109" s="190" t="s">
        <v>1170</v>
      </c>
      <c r="B109" s="190" t="s">
        <v>1873</v>
      </c>
      <c r="C109" s="191">
        <v>0.83772447814095208</v>
      </c>
      <c r="D109" s="191">
        <v>-0.72626363655783177</v>
      </c>
    </row>
    <row r="110" spans="1:4" ht="27.75" customHeight="1" x14ac:dyDescent="0.2">
      <c r="A110" s="190" t="s">
        <v>1171</v>
      </c>
      <c r="B110" s="190" t="s">
        <v>1874</v>
      </c>
      <c r="C110" s="191">
        <v>0.47629926363966429</v>
      </c>
      <c r="D110" s="191">
        <v>-5.076806726472098</v>
      </c>
    </row>
    <row r="111" spans="1:4" ht="27.75" customHeight="1" x14ac:dyDescent="0.2">
      <c r="A111" s="190" t="s">
        <v>2442</v>
      </c>
      <c r="B111" s="190" t="s">
        <v>2477</v>
      </c>
      <c r="C111" s="191">
        <v>0</v>
      </c>
      <c r="D111" s="191">
        <v>-1.4185491657850206E-2</v>
      </c>
    </row>
    <row r="112" spans="1:4" ht="27.75" customHeight="1" x14ac:dyDescent="0.2">
      <c r="A112" s="190" t="s">
        <v>1172</v>
      </c>
      <c r="B112" s="190" t="s">
        <v>1875</v>
      </c>
      <c r="C112" s="191">
        <v>-1.1460131359471439E-2</v>
      </c>
      <c r="D112" s="191">
        <v>-3.605760604308483E-3</v>
      </c>
    </row>
    <row r="113" spans="1:4" ht="27.75" customHeight="1" x14ac:dyDescent="0.2">
      <c r="A113" s="190" t="s">
        <v>1173</v>
      </c>
      <c r="B113" s="190" t="s">
        <v>1876</v>
      </c>
      <c r="C113" s="191">
        <v>9.0809142865057507E-2</v>
      </c>
      <c r="D113" s="191">
        <v>6.6363473907644299E-2</v>
      </c>
    </row>
    <row r="114" spans="1:4" ht="27.75" customHeight="1" x14ac:dyDescent="0.2">
      <c r="A114" s="190" t="s">
        <v>2443</v>
      </c>
      <c r="B114" s="190" t="s">
        <v>1876</v>
      </c>
      <c r="C114" s="191">
        <v>0</v>
      </c>
      <c r="D114" s="191">
        <v>0</v>
      </c>
    </row>
    <row r="115" spans="1:4" ht="27.75" customHeight="1" x14ac:dyDescent="0.2">
      <c r="A115" s="190" t="s">
        <v>1174</v>
      </c>
      <c r="B115" s="190" t="s">
        <v>1877</v>
      </c>
      <c r="C115" s="191">
        <v>-6.7971186779366796E-2</v>
      </c>
      <c r="D115" s="191">
        <v>0.54972811110652531</v>
      </c>
    </row>
    <row r="116" spans="1:4" ht="27.75" customHeight="1" x14ac:dyDescent="0.2">
      <c r="A116" s="190" t="s">
        <v>1176</v>
      </c>
      <c r="B116" s="190" t="s">
        <v>1879</v>
      </c>
      <c r="C116" s="191">
        <v>3.0832455819765903</v>
      </c>
      <c r="D116" s="191">
        <v>15.340043978448225</v>
      </c>
    </row>
    <row r="117" spans="1:4" ht="27.75" customHeight="1" x14ac:dyDescent="0.2">
      <c r="A117" s="190" t="s">
        <v>1177</v>
      </c>
      <c r="B117" s="190" t="s">
        <v>1880</v>
      </c>
      <c r="C117" s="191">
        <v>3.4250011566948415</v>
      </c>
      <c r="D117" s="191">
        <v>4.9247556565938186</v>
      </c>
    </row>
    <row r="118" spans="1:4" ht="27.75" customHeight="1" x14ac:dyDescent="0.2">
      <c r="A118" s="190" t="s">
        <v>1178</v>
      </c>
      <c r="B118" s="190" t="s">
        <v>1881</v>
      </c>
      <c r="C118" s="191">
        <v>1.1359344414575583</v>
      </c>
      <c r="D118" s="191">
        <v>0.33229104556346734</v>
      </c>
    </row>
    <row r="119" spans="1:4" ht="27.75" customHeight="1" x14ac:dyDescent="0.2">
      <c r="A119" s="190" t="s">
        <v>1179</v>
      </c>
      <c r="B119" s="190" t="s">
        <v>1882</v>
      </c>
      <c r="C119" s="191">
        <v>0.84901562633967598</v>
      </c>
      <c r="D119" s="191">
        <v>4.5258284939003071</v>
      </c>
    </row>
    <row r="120" spans="1:4" ht="27.75" customHeight="1" x14ac:dyDescent="0.2">
      <c r="A120" s="190" t="s">
        <v>1182</v>
      </c>
      <c r="B120" s="190" t="s">
        <v>1885</v>
      </c>
      <c r="C120" s="191">
        <v>0.1875558697213783</v>
      </c>
      <c r="D120" s="191">
        <v>3.5158071180505606</v>
      </c>
    </row>
    <row r="121" spans="1:4" ht="27.75" customHeight="1" x14ac:dyDescent="0.2">
      <c r="A121" s="190" t="s">
        <v>1183</v>
      </c>
      <c r="B121" s="190" t="s">
        <v>1886</v>
      </c>
      <c r="C121" s="191">
        <v>0.6846785830711799</v>
      </c>
      <c r="D121" s="191">
        <v>4.8843329702678391</v>
      </c>
    </row>
    <row r="122" spans="1:4" ht="27.75" customHeight="1" x14ac:dyDescent="0.2">
      <c r="A122" s="190" t="s">
        <v>2444</v>
      </c>
      <c r="B122" s="190" t="s">
        <v>2478</v>
      </c>
      <c r="C122" s="191">
        <v>0.6</v>
      </c>
      <c r="D122" s="191">
        <v>7.6</v>
      </c>
    </row>
    <row r="123" spans="1:4" ht="27.75" customHeight="1" x14ac:dyDescent="0.2">
      <c r="A123" s="190" t="s">
        <v>2445</v>
      </c>
      <c r="B123" s="190" t="s">
        <v>2479</v>
      </c>
      <c r="C123" s="191">
        <v>-0.17316730438238528</v>
      </c>
      <c r="D123" s="191">
        <v>-0.32278630620489812</v>
      </c>
    </row>
    <row r="124" spans="1:4" ht="27.75" customHeight="1" x14ac:dyDescent="0.2">
      <c r="A124" s="190" t="s">
        <v>1185</v>
      </c>
      <c r="B124" s="190" t="s">
        <v>1888</v>
      </c>
      <c r="C124" s="191">
        <v>0.1513908171377594</v>
      </c>
      <c r="D124" s="191">
        <v>2.8063577304331182</v>
      </c>
    </row>
    <row r="125" spans="1:4" ht="27.75" customHeight="1" x14ac:dyDescent="0.2">
      <c r="A125" s="190" t="s">
        <v>1186</v>
      </c>
      <c r="B125" s="190" t="s">
        <v>1889</v>
      </c>
      <c r="C125" s="191">
        <v>2.9044153479000103</v>
      </c>
      <c r="D125" s="191">
        <v>12.854602630983862</v>
      </c>
    </row>
    <row r="126" spans="1:4" ht="27.75" customHeight="1" x14ac:dyDescent="0.2">
      <c r="A126" s="190" t="s">
        <v>1187</v>
      </c>
      <c r="B126" s="190" t="s">
        <v>1890</v>
      </c>
      <c r="C126" s="191">
        <v>2.5419384035914199</v>
      </c>
      <c r="D126" s="191">
        <v>11.840999810401328</v>
      </c>
    </row>
    <row r="127" spans="1:4" ht="27.75" customHeight="1" x14ac:dyDescent="0.2">
      <c r="A127" s="190" t="s">
        <v>1188</v>
      </c>
      <c r="B127" s="190" t="s">
        <v>1891</v>
      </c>
      <c r="C127" s="191">
        <v>2.3908889982843702</v>
      </c>
      <c r="D127" s="191">
        <v>22.277350214713604</v>
      </c>
    </row>
    <row r="128" spans="1:4" ht="27.75" customHeight="1" x14ac:dyDescent="0.2">
      <c r="A128" s="190" t="s">
        <v>1189</v>
      </c>
      <c r="B128" s="190" t="s">
        <v>1892</v>
      </c>
      <c r="C128" s="191">
        <v>1.092015628099432</v>
      </c>
      <c r="D128" s="191">
        <v>0.80254042198782316</v>
      </c>
    </row>
    <row r="129" spans="1:4" ht="27.75" customHeight="1" x14ac:dyDescent="0.2">
      <c r="A129" s="190" t="s">
        <v>1190</v>
      </c>
      <c r="B129" s="190" t="s">
        <v>1893</v>
      </c>
      <c r="C129" s="191">
        <v>0.1554934843006342</v>
      </c>
      <c r="D129" s="191">
        <v>1.3381654876665172</v>
      </c>
    </row>
    <row r="130" spans="1:4" ht="27.75" customHeight="1" x14ac:dyDescent="0.2">
      <c r="A130" s="190" t="s">
        <v>1191</v>
      </c>
      <c r="B130" s="190" t="s">
        <v>1893</v>
      </c>
      <c r="C130" s="191">
        <v>1.30136189869273</v>
      </c>
      <c r="D130" s="191">
        <v>2.3996264740073023</v>
      </c>
    </row>
    <row r="131" spans="1:4" ht="27.75" customHeight="1" x14ac:dyDescent="0.2">
      <c r="A131" s="190" t="s">
        <v>1192</v>
      </c>
      <c r="B131" s="190" t="s">
        <v>1894</v>
      </c>
      <c r="C131" s="191">
        <v>6.20795898306437</v>
      </c>
      <c r="D131" s="191">
        <v>19.384508004182511</v>
      </c>
    </row>
    <row r="132" spans="1:4" ht="27.75" customHeight="1" x14ac:dyDescent="0.2">
      <c r="A132" s="190" t="s">
        <v>1193</v>
      </c>
      <c r="B132" s="190" t="s">
        <v>1895</v>
      </c>
      <c r="C132" s="191">
        <v>3.1874695558174162</v>
      </c>
      <c r="D132" s="191">
        <v>10.370959760277803</v>
      </c>
    </row>
    <row r="133" spans="1:4" ht="27.75" customHeight="1" x14ac:dyDescent="0.2">
      <c r="A133" s="190" t="s">
        <v>1194</v>
      </c>
      <c r="B133" s="190" t="s">
        <v>1896</v>
      </c>
      <c r="C133" s="191">
        <v>1.626963711544527</v>
      </c>
      <c r="D133" s="191">
        <v>1.2951367453889862</v>
      </c>
    </row>
    <row r="134" spans="1:4" ht="27.75" customHeight="1" x14ac:dyDescent="0.2">
      <c r="A134" s="190" t="s">
        <v>1195</v>
      </c>
      <c r="B134" s="190" t="s">
        <v>1897</v>
      </c>
      <c r="C134" s="191">
        <v>1.2143128644436936</v>
      </c>
      <c r="D134" s="191">
        <v>24.658042965248082</v>
      </c>
    </row>
    <row r="135" spans="1:4" ht="27.75" customHeight="1" x14ac:dyDescent="0.2">
      <c r="A135" s="190" t="s">
        <v>1196</v>
      </c>
      <c r="B135" s="190" t="s">
        <v>1898</v>
      </c>
      <c r="C135" s="191">
        <v>2.1338873591013474</v>
      </c>
      <c r="D135" s="191">
        <v>5.8247374428155592</v>
      </c>
    </row>
    <row r="136" spans="1:4" ht="27.75" customHeight="1" x14ac:dyDescent="0.2">
      <c r="A136" s="190" t="s">
        <v>1197</v>
      </c>
      <c r="B136" s="190" t="s">
        <v>1899</v>
      </c>
      <c r="C136" s="191">
        <v>3.7073986597924202</v>
      </c>
      <c r="D136" s="191">
        <v>3.6629212574281658</v>
      </c>
    </row>
    <row r="137" spans="1:4" ht="27.75" customHeight="1" x14ac:dyDescent="0.2">
      <c r="A137" s="190" t="s">
        <v>1198</v>
      </c>
      <c r="B137" s="190" t="s">
        <v>1900</v>
      </c>
      <c r="C137" s="191">
        <v>1.0057426101155245</v>
      </c>
      <c r="D137" s="191">
        <v>9.6983211136404854</v>
      </c>
    </row>
    <row r="138" spans="1:4" ht="27.75" customHeight="1" x14ac:dyDescent="0.2">
      <c r="A138" s="190" t="s">
        <v>1199</v>
      </c>
      <c r="B138" s="190" t="s">
        <v>1901</v>
      </c>
      <c r="C138" s="191">
        <v>1.0844657323682947</v>
      </c>
      <c r="D138" s="191">
        <v>0.21035487895728977</v>
      </c>
    </row>
    <row r="139" spans="1:4" ht="27.75" customHeight="1" x14ac:dyDescent="0.2">
      <c r="A139" s="190" t="s">
        <v>1200</v>
      </c>
      <c r="B139" s="190" t="s">
        <v>1902</v>
      </c>
      <c r="C139" s="191">
        <v>-6.6775391921133007E-2</v>
      </c>
      <c r="D139" s="191">
        <v>0.52954583267730626</v>
      </c>
    </row>
    <row r="140" spans="1:4" ht="27.75" customHeight="1" x14ac:dyDescent="0.2">
      <c r="A140" s="190" t="s">
        <v>1201</v>
      </c>
      <c r="B140" s="190" t="s">
        <v>1903</v>
      </c>
      <c r="C140" s="191">
        <v>0.31145561729328197</v>
      </c>
      <c r="D140" s="191">
        <v>-5.7273087648088028E-2</v>
      </c>
    </row>
    <row r="141" spans="1:4" ht="27.75" customHeight="1" x14ac:dyDescent="0.2">
      <c r="A141" s="190" t="s">
        <v>1202</v>
      </c>
      <c r="B141" s="190" t="s">
        <v>1904</v>
      </c>
      <c r="C141" s="191">
        <v>0.19065006993253494</v>
      </c>
      <c r="D141" s="191">
        <v>11.561931915067168</v>
      </c>
    </row>
    <row r="142" spans="1:4" ht="27.75" customHeight="1" x14ac:dyDescent="0.2">
      <c r="A142" s="190" t="s">
        <v>2446</v>
      </c>
      <c r="B142" s="190" t="s">
        <v>2480</v>
      </c>
      <c r="C142" s="191">
        <v>-9.6518473179546579E-2</v>
      </c>
      <c r="D142" s="191">
        <v>-0.34632824301947318</v>
      </c>
    </row>
    <row r="143" spans="1:4" ht="27.75" customHeight="1" x14ac:dyDescent="0.2">
      <c r="A143" s="190" t="s">
        <v>1204</v>
      </c>
      <c r="B143" s="190" t="s">
        <v>1906</v>
      </c>
      <c r="C143" s="191">
        <v>1.8690845597228534</v>
      </c>
      <c r="D143" s="191">
        <v>-0.76533362066973698</v>
      </c>
    </row>
    <row r="144" spans="1:4" ht="27.75" customHeight="1" x14ac:dyDescent="0.2">
      <c r="A144" s="190" t="s">
        <v>1205</v>
      </c>
      <c r="B144" s="190" t="s">
        <v>1907</v>
      </c>
      <c r="C144" s="191">
        <v>0.21582552407614874</v>
      </c>
      <c r="D144" s="191">
        <v>8.8438874673562373E-2</v>
      </c>
    </row>
    <row r="145" spans="1:4" ht="27.75" customHeight="1" x14ac:dyDescent="0.2">
      <c r="A145" s="190" t="s">
        <v>1206</v>
      </c>
      <c r="B145" s="190" t="s">
        <v>1908</v>
      </c>
      <c r="C145" s="191">
        <v>0.3995836684431095</v>
      </c>
      <c r="D145" s="191">
        <v>64.295267309948628</v>
      </c>
    </row>
    <row r="146" spans="1:4" ht="27.75" customHeight="1" x14ac:dyDescent="0.2">
      <c r="A146" s="190" t="s">
        <v>1207</v>
      </c>
      <c r="B146" s="190" t="s">
        <v>1909</v>
      </c>
      <c r="C146" s="191">
        <v>2.9450480643347303</v>
      </c>
      <c r="D146" s="191">
        <v>2.7049150748401827</v>
      </c>
    </row>
    <row r="147" spans="1:4" ht="27.75" customHeight="1" x14ac:dyDescent="0.2">
      <c r="A147" s="190" t="s">
        <v>1208</v>
      </c>
      <c r="B147" s="190" t="s">
        <v>1910</v>
      </c>
      <c r="C147" s="191">
        <v>0.36863713528187581</v>
      </c>
      <c r="D147" s="191">
        <v>0.19537051486638746</v>
      </c>
    </row>
    <row r="148" spans="1:4" ht="27.75" customHeight="1" x14ac:dyDescent="0.2">
      <c r="A148" s="190" t="s">
        <v>1209</v>
      </c>
      <c r="B148" s="190" t="s">
        <v>1910</v>
      </c>
      <c r="C148" s="191">
        <v>7.3280688629090499E-2</v>
      </c>
      <c r="D148" s="191">
        <v>0.51683488029953717</v>
      </c>
    </row>
    <row r="149" spans="1:4" ht="27.75" customHeight="1" x14ac:dyDescent="0.2">
      <c r="A149" s="190" t="s">
        <v>2447</v>
      </c>
      <c r="B149" s="190" t="s">
        <v>2481</v>
      </c>
      <c r="C149" s="191">
        <v>0</v>
      </c>
      <c r="D149" s="191">
        <v>0</v>
      </c>
    </row>
    <row r="150" spans="1:4" ht="27.75" customHeight="1" x14ac:dyDescent="0.2">
      <c r="A150" s="190" t="s">
        <v>2448</v>
      </c>
      <c r="B150" s="190" t="s">
        <v>2481</v>
      </c>
      <c r="C150" s="191">
        <v>0</v>
      </c>
      <c r="D150" s="191">
        <v>0</v>
      </c>
    </row>
    <row r="151" spans="1:4" ht="27.75" customHeight="1" x14ac:dyDescent="0.2">
      <c r="A151" s="190" t="s">
        <v>1211</v>
      </c>
      <c r="B151" s="190" t="s">
        <v>1912</v>
      </c>
      <c r="C151" s="191">
        <v>-2.0492156252760605</v>
      </c>
      <c r="D151" s="191">
        <v>4.4658485007893489E-2</v>
      </c>
    </row>
    <row r="152" spans="1:4" ht="27.75" customHeight="1" x14ac:dyDescent="0.2">
      <c r="A152" s="190" t="s">
        <v>1212</v>
      </c>
      <c r="B152" s="190" t="s">
        <v>1913</v>
      </c>
      <c r="C152" s="191">
        <v>1.6357293578467107</v>
      </c>
      <c r="D152" s="191">
        <v>18.761238450923869</v>
      </c>
    </row>
    <row r="153" spans="1:4" ht="27.75" customHeight="1" x14ac:dyDescent="0.2">
      <c r="A153" s="190" t="s">
        <v>1213</v>
      </c>
      <c r="B153" s="190" t="s">
        <v>1914</v>
      </c>
      <c r="C153" s="191">
        <v>0.6789678002182653</v>
      </c>
      <c r="D153" s="191">
        <v>-4.7645463493574427</v>
      </c>
    </row>
    <row r="154" spans="1:4" ht="27.75" customHeight="1" x14ac:dyDescent="0.2">
      <c r="A154" s="190" t="s">
        <v>1214</v>
      </c>
      <c r="B154" s="190" t="s">
        <v>1915</v>
      </c>
      <c r="C154" s="191">
        <v>2.1199023242247268</v>
      </c>
      <c r="D154" s="191">
        <v>-5.7621892173135247</v>
      </c>
    </row>
    <row r="155" spans="1:4" ht="27.75" customHeight="1" x14ac:dyDescent="0.2">
      <c r="A155" s="190" t="s">
        <v>1215</v>
      </c>
      <c r="B155" s="190" t="s">
        <v>1916</v>
      </c>
      <c r="C155" s="191">
        <v>3.2661771887713584</v>
      </c>
      <c r="D155" s="191">
        <v>-1.0442025483475224</v>
      </c>
    </row>
    <row r="156" spans="1:4" ht="27.75" customHeight="1" x14ac:dyDescent="0.2">
      <c r="A156" s="190" t="s">
        <v>1216</v>
      </c>
      <c r="B156" s="190" t="s">
        <v>1917</v>
      </c>
      <c r="C156" s="191">
        <v>1.4558183537132501</v>
      </c>
      <c r="D156" s="191">
        <v>78.595874237060215</v>
      </c>
    </row>
    <row r="157" spans="1:4" ht="27.75" customHeight="1" x14ac:dyDescent="0.2">
      <c r="A157" s="190" t="s">
        <v>1217</v>
      </c>
      <c r="B157" s="190" t="s">
        <v>1918</v>
      </c>
      <c r="C157" s="191">
        <v>-4.7005177937372807E-2</v>
      </c>
      <c r="D157" s="191">
        <v>0.31370612719673979</v>
      </c>
    </row>
    <row r="158" spans="1:4" ht="27.75" customHeight="1" x14ac:dyDescent="0.2">
      <c r="A158" s="190" t="s">
        <v>1218</v>
      </c>
      <c r="B158" s="190" t="s">
        <v>1919</v>
      </c>
      <c r="C158" s="191">
        <v>1.7874060814346728</v>
      </c>
      <c r="D158" s="191">
        <v>0.7671649554361728</v>
      </c>
    </row>
    <row r="159" spans="1:4" ht="27.75" customHeight="1" x14ac:dyDescent="0.2">
      <c r="A159" s="190" t="s">
        <v>1219</v>
      </c>
      <c r="B159" s="190" t="s">
        <v>1920</v>
      </c>
      <c r="C159" s="191">
        <v>8.4040520032009999E-2</v>
      </c>
      <c r="D159" s="191">
        <v>2.4190845047355025</v>
      </c>
    </row>
    <row r="160" spans="1:4" ht="27.75" customHeight="1" x14ac:dyDescent="0.2">
      <c r="A160" s="190" t="s">
        <v>1220</v>
      </c>
      <c r="B160" s="190" t="s">
        <v>1921</v>
      </c>
      <c r="C160" s="191">
        <v>-0.56164627735967587</v>
      </c>
      <c r="D160" s="191">
        <v>24.977961581702008</v>
      </c>
    </row>
    <row r="161" spans="1:4" ht="27.75" customHeight="1" x14ac:dyDescent="0.2">
      <c r="A161" s="190" t="s">
        <v>2449</v>
      </c>
      <c r="B161" s="190" t="s">
        <v>2482</v>
      </c>
      <c r="C161" s="191">
        <v>5.2358359437112343</v>
      </c>
      <c r="D161" s="191">
        <v>3.5454702211845657E-3</v>
      </c>
    </row>
    <row r="162" spans="1:4" ht="27.75" customHeight="1" x14ac:dyDescent="0.2">
      <c r="A162" s="190" t="s">
        <v>2450</v>
      </c>
      <c r="B162" s="190" t="s">
        <v>2482</v>
      </c>
      <c r="C162" s="191">
        <v>5.2683438945785204</v>
      </c>
      <c r="D162" s="191">
        <v>3.9615127418537455E-3</v>
      </c>
    </row>
    <row r="163" spans="1:4" ht="27.75" customHeight="1" x14ac:dyDescent="0.2">
      <c r="A163" s="190" t="s">
        <v>1221</v>
      </c>
      <c r="B163" s="190" t="s">
        <v>1922</v>
      </c>
      <c r="C163" s="191">
        <v>0.70231588714537296</v>
      </c>
      <c r="D163" s="191">
        <v>10.47374357827567</v>
      </c>
    </row>
    <row r="164" spans="1:4" ht="27.75" customHeight="1" x14ac:dyDescent="0.2">
      <c r="A164" s="190" t="s">
        <v>1222</v>
      </c>
      <c r="B164" s="190" t="s">
        <v>1923</v>
      </c>
      <c r="C164" s="191">
        <v>2.9458819654439901</v>
      </c>
      <c r="D164" s="191">
        <v>6.5584717826939976E-2</v>
      </c>
    </row>
    <row r="165" spans="1:4" ht="27.75" customHeight="1" x14ac:dyDescent="0.2">
      <c r="A165" s="190" t="s">
        <v>1224</v>
      </c>
      <c r="B165" s="190" t="s">
        <v>1925</v>
      </c>
      <c r="C165" s="191">
        <v>0.59150825153781694</v>
      </c>
      <c r="D165" s="191">
        <v>4.8905405517042109</v>
      </c>
    </row>
    <row r="166" spans="1:4" ht="27.75" customHeight="1" x14ac:dyDescent="0.2">
      <c r="A166" s="190" t="s">
        <v>1225</v>
      </c>
      <c r="B166" s="190" t="s">
        <v>1926</v>
      </c>
      <c r="C166" s="191">
        <v>0</v>
      </c>
      <c r="D166" s="191">
        <v>35.984814870101133</v>
      </c>
    </row>
    <row r="167" spans="1:4" ht="27.75" customHeight="1" x14ac:dyDescent="0.2">
      <c r="A167" s="190" t="s">
        <v>1226</v>
      </c>
      <c r="B167" s="190" t="s">
        <v>1927</v>
      </c>
      <c r="C167" s="191">
        <v>5.6213668065070603</v>
      </c>
      <c r="D167" s="191">
        <v>14.920756048835882</v>
      </c>
    </row>
    <row r="168" spans="1:4" ht="27.75" customHeight="1" x14ac:dyDescent="0.2">
      <c r="A168" s="190" t="s">
        <v>1227</v>
      </c>
      <c r="B168" s="190" t="s">
        <v>1928</v>
      </c>
      <c r="C168" s="191">
        <v>0</v>
      </c>
      <c r="D168" s="191">
        <v>0.52169783518405333</v>
      </c>
    </row>
    <row r="169" spans="1:4" ht="27.75" customHeight="1" x14ac:dyDescent="0.2">
      <c r="A169" s="190" t="s">
        <v>1228</v>
      </c>
      <c r="B169" s="190" t="s">
        <v>1929</v>
      </c>
      <c r="C169" s="191">
        <v>0</v>
      </c>
      <c r="D169" s="191">
        <v>0</v>
      </c>
    </row>
    <row r="170" spans="1:4" ht="27.75" customHeight="1" x14ac:dyDescent="0.2">
      <c r="A170" s="190" t="s">
        <v>1230</v>
      </c>
      <c r="B170" s="190" t="s">
        <v>1931</v>
      </c>
      <c r="C170" s="191">
        <v>3.4896917776977645</v>
      </c>
      <c r="D170" s="191">
        <v>19.967378809631118</v>
      </c>
    </row>
    <row r="171" spans="1:4" ht="27.75" customHeight="1" x14ac:dyDescent="0.2">
      <c r="A171" s="190" t="s">
        <v>1231</v>
      </c>
      <c r="B171" s="190" t="s">
        <v>1932</v>
      </c>
      <c r="C171" s="191">
        <v>0.24239989198199596</v>
      </c>
      <c r="D171" s="191">
        <v>2.4926391266293839</v>
      </c>
    </row>
    <row r="172" spans="1:4" ht="27.75" customHeight="1" x14ac:dyDescent="0.2">
      <c r="A172" s="190" t="s">
        <v>1232</v>
      </c>
      <c r="B172" s="190" t="s">
        <v>1933</v>
      </c>
      <c r="C172" s="191">
        <v>0.13322598967794144</v>
      </c>
      <c r="D172" s="191">
        <v>14.286304638860823</v>
      </c>
    </row>
    <row r="173" spans="1:4" ht="27.75" customHeight="1" x14ac:dyDescent="0.2">
      <c r="A173" s="190" t="s">
        <v>2451</v>
      </c>
      <c r="B173" s="190" t="s">
        <v>2483</v>
      </c>
      <c r="C173" s="191">
        <v>0</v>
      </c>
      <c r="D173" s="191">
        <v>0</v>
      </c>
    </row>
    <row r="174" spans="1:4" ht="27.75" customHeight="1" x14ac:dyDescent="0.2">
      <c r="A174" s="190" t="s">
        <v>1233</v>
      </c>
      <c r="B174" s="190" t="s">
        <v>1934</v>
      </c>
      <c r="C174" s="191">
        <v>2.4945781528348472</v>
      </c>
      <c r="D174" s="191">
        <v>0.43600503433928317</v>
      </c>
    </row>
    <row r="175" spans="1:4" ht="27.75" customHeight="1" x14ac:dyDescent="0.2">
      <c r="A175" s="190" t="s">
        <v>1235</v>
      </c>
      <c r="B175" s="190" t="s">
        <v>1935</v>
      </c>
      <c r="C175" s="191">
        <v>1.1914281620103981</v>
      </c>
      <c r="D175" s="191">
        <v>11.131063238230242</v>
      </c>
    </row>
    <row r="176" spans="1:4" ht="27.75" customHeight="1" x14ac:dyDescent="0.2">
      <c r="A176" s="190" t="s">
        <v>1236</v>
      </c>
      <c r="B176" s="190" t="s">
        <v>1936</v>
      </c>
      <c r="C176" s="191">
        <v>0.28683374770752129</v>
      </c>
      <c r="D176" s="191">
        <v>-1.1098105763821422</v>
      </c>
    </row>
    <row r="177" spans="1:4" ht="27.75" customHeight="1" x14ac:dyDescent="0.2">
      <c r="A177" s="190" t="s">
        <v>1238</v>
      </c>
      <c r="B177" s="190" t="s">
        <v>1938</v>
      </c>
      <c r="C177" s="191">
        <v>2.4878903334243678</v>
      </c>
      <c r="D177" s="191">
        <v>16.876561656186208</v>
      </c>
    </row>
    <row r="178" spans="1:4" ht="27.75" customHeight="1" x14ac:dyDescent="0.2">
      <c r="A178" s="190" t="s">
        <v>1239</v>
      </c>
      <c r="B178" s="190" t="s">
        <v>1939</v>
      </c>
      <c r="C178" s="191">
        <v>1.7931359700505902</v>
      </c>
      <c r="D178" s="191">
        <v>-0.11947551083527386</v>
      </c>
    </row>
    <row r="179" spans="1:4" ht="27.75" customHeight="1" x14ac:dyDescent="0.2">
      <c r="A179" s="190" t="s">
        <v>1240</v>
      </c>
      <c r="B179" s="190" t="s">
        <v>1940</v>
      </c>
      <c r="C179" s="191">
        <v>1.3323000115208219</v>
      </c>
      <c r="D179" s="191">
        <v>17.619239038664976</v>
      </c>
    </row>
    <row r="180" spans="1:4" ht="27.75" customHeight="1" x14ac:dyDescent="0.2">
      <c r="A180" s="190" t="s">
        <v>1241</v>
      </c>
      <c r="B180" s="190" t="s">
        <v>1941</v>
      </c>
      <c r="C180" s="191">
        <v>1.013769322727583</v>
      </c>
      <c r="D180" s="191">
        <v>3.462256881969938</v>
      </c>
    </row>
    <row r="181" spans="1:4" ht="27.75" customHeight="1" x14ac:dyDescent="0.2">
      <c r="A181" s="190" t="s">
        <v>1242</v>
      </c>
      <c r="B181" s="190" t="s">
        <v>1942</v>
      </c>
      <c r="C181" s="191">
        <v>0.1626431553195796</v>
      </c>
      <c r="D181" s="191">
        <v>0.82263991729742603</v>
      </c>
    </row>
    <row r="182" spans="1:4" ht="27.75" customHeight="1" x14ac:dyDescent="0.2">
      <c r="A182" s="190" t="s">
        <v>1243</v>
      </c>
      <c r="B182" s="190" t="s">
        <v>1943</v>
      </c>
      <c r="C182" s="191">
        <v>0.14206253160649729</v>
      </c>
      <c r="D182" s="191">
        <v>-1.7250434539619084</v>
      </c>
    </row>
    <row r="183" spans="1:4" ht="27.75" customHeight="1" x14ac:dyDescent="0.2">
      <c r="A183" s="190" t="s">
        <v>1244</v>
      </c>
      <c r="B183" s="190" t="s">
        <v>1943</v>
      </c>
      <c r="C183" s="191">
        <v>1.4794414572901529</v>
      </c>
      <c r="D183" s="191">
        <v>-1.7988929938990126</v>
      </c>
    </row>
    <row r="184" spans="1:4" ht="27.75" customHeight="1" x14ac:dyDescent="0.2">
      <c r="A184" s="190" t="s">
        <v>1245</v>
      </c>
      <c r="B184" s="190" t="s">
        <v>1944</v>
      </c>
      <c r="C184" s="191">
        <v>-1.6313125795308515E-3</v>
      </c>
      <c r="D184" s="191">
        <v>1.2169349926935373</v>
      </c>
    </row>
    <row r="185" spans="1:4" ht="27.75" customHeight="1" x14ac:dyDescent="0.2">
      <c r="A185" s="190" t="s">
        <v>1246</v>
      </c>
      <c r="B185" s="190" t="s">
        <v>1945</v>
      </c>
      <c r="C185" s="191">
        <v>0.27610014482984957</v>
      </c>
      <c r="D185" s="191">
        <v>1.8129974296352689</v>
      </c>
    </row>
    <row r="186" spans="1:4" ht="27.75" customHeight="1" x14ac:dyDescent="0.2">
      <c r="A186" s="190" t="s">
        <v>1247</v>
      </c>
      <c r="B186" s="190" t="s">
        <v>1946</v>
      </c>
      <c r="C186" s="191">
        <v>1.567837052428616</v>
      </c>
      <c r="D186" s="191">
        <v>9.5621115827252794</v>
      </c>
    </row>
    <row r="187" spans="1:4" ht="27.75" customHeight="1" x14ac:dyDescent="0.2">
      <c r="A187" s="190" t="s">
        <v>1248</v>
      </c>
      <c r="B187" s="190" t="s">
        <v>1947</v>
      </c>
      <c r="C187" s="191">
        <v>1.8695598423937221</v>
      </c>
      <c r="D187" s="191">
        <v>3.2433012281847788</v>
      </c>
    </row>
    <row r="188" spans="1:4" ht="27.75" customHeight="1" x14ac:dyDescent="0.2">
      <c r="A188" s="190" t="s">
        <v>1250</v>
      </c>
      <c r="B188" s="190" t="s">
        <v>1949</v>
      </c>
      <c r="C188" s="191">
        <v>1.0320753599420505</v>
      </c>
      <c r="D188" s="191">
        <v>6.3520835687657389</v>
      </c>
    </row>
    <row r="189" spans="1:4" ht="27.75" customHeight="1" x14ac:dyDescent="0.2">
      <c r="A189" s="190" t="s">
        <v>1251</v>
      </c>
      <c r="B189" s="190" t="s">
        <v>1950</v>
      </c>
      <c r="C189" s="191">
        <v>2.3296071226064199</v>
      </c>
      <c r="D189" s="191">
        <v>0.89317724855662162</v>
      </c>
    </row>
    <row r="190" spans="1:4" ht="27.75" customHeight="1" x14ac:dyDescent="0.2">
      <c r="A190" s="190" t="s">
        <v>1252</v>
      </c>
      <c r="B190" s="190" t="s">
        <v>1950</v>
      </c>
      <c r="C190" s="191">
        <v>0.41932472674854399</v>
      </c>
      <c r="D190" s="191">
        <v>1.9853515695574631</v>
      </c>
    </row>
    <row r="191" spans="1:4" ht="27.75" customHeight="1" x14ac:dyDescent="0.2">
      <c r="A191" s="190" t="s">
        <v>1253</v>
      </c>
      <c r="B191" s="190" t="s">
        <v>1951</v>
      </c>
      <c r="C191" s="191">
        <v>0.331540531792963</v>
      </c>
      <c r="D191" s="191">
        <v>43.929202008154697</v>
      </c>
    </row>
    <row r="192" spans="1:4" ht="27.75" customHeight="1" x14ac:dyDescent="0.2">
      <c r="A192" s="190" t="s">
        <v>1255</v>
      </c>
      <c r="B192" s="190" t="s">
        <v>1953</v>
      </c>
      <c r="C192" s="191">
        <v>1.6311672498683423</v>
      </c>
      <c r="D192" s="191">
        <v>1.9139419592630011</v>
      </c>
    </row>
    <row r="193" spans="1:4" ht="27.75" customHeight="1" x14ac:dyDescent="0.2">
      <c r="A193" s="190" t="s">
        <v>1257</v>
      </c>
      <c r="B193" s="190" t="s">
        <v>1955</v>
      </c>
      <c r="C193" s="191">
        <v>6.6945904509702059E-4</v>
      </c>
      <c r="D193" s="191">
        <v>-1.8535526901594075</v>
      </c>
    </row>
    <row r="194" spans="1:4" ht="27.75" customHeight="1" x14ac:dyDescent="0.2">
      <c r="A194" s="190" t="s">
        <v>1258</v>
      </c>
      <c r="B194" s="190" t="s">
        <v>1956</v>
      </c>
      <c r="C194" s="191">
        <v>2.660122820436603</v>
      </c>
      <c r="D194" s="191">
        <v>12.42167102073115</v>
      </c>
    </row>
    <row r="195" spans="1:4" ht="27.75" customHeight="1" x14ac:dyDescent="0.2">
      <c r="A195" s="190" t="s">
        <v>1259</v>
      </c>
      <c r="B195" s="190" t="s">
        <v>1957</v>
      </c>
      <c r="C195" s="191">
        <v>1.168407714671734</v>
      </c>
      <c r="D195" s="191">
        <v>13.711789429910322</v>
      </c>
    </row>
    <row r="196" spans="1:4" ht="27.75" customHeight="1" x14ac:dyDescent="0.2">
      <c r="A196" s="190" t="s">
        <v>1262</v>
      </c>
      <c r="B196" s="190" t="s">
        <v>1960</v>
      </c>
      <c r="C196" s="191">
        <v>2.0287959197787897</v>
      </c>
      <c r="D196" s="191">
        <v>90.276574368352499</v>
      </c>
    </row>
    <row r="197" spans="1:4" ht="27.75" customHeight="1" x14ac:dyDescent="0.2">
      <c r="A197" s="190" t="s">
        <v>1263</v>
      </c>
      <c r="B197" s="190" t="s">
        <v>1960</v>
      </c>
      <c r="C197" s="191">
        <v>8.8312362100369343E-2</v>
      </c>
      <c r="D197" s="191">
        <v>9.4355536406446472</v>
      </c>
    </row>
    <row r="198" spans="1:4" ht="27.75" customHeight="1" x14ac:dyDescent="0.2">
      <c r="A198" s="190" t="s">
        <v>1264</v>
      </c>
      <c r="B198" s="190" t="s">
        <v>1961</v>
      </c>
      <c r="C198" s="191">
        <v>0.67682869922771882</v>
      </c>
      <c r="D198" s="191">
        <v>2.9644730632112331</v>
      </c>
    </row>
    <row r="199" spans="1:4" ht="27.75" customHeight="1" x14ac:dyDescent="0.2">
      <c r="A199" s="190" t="s">
        <v>1266</v>
      </c>
      <c r="B199" s="190" t="s">
        <v>1963</v>
      </c>
      <c r="C199" s="191">
        <v>0.338127124674026</v>
      </c>
      <c r="D199" s="191">
        <v>6.0817321028484637</v>
      </c>
    </row>
    <row r="200" spans="1:4" ht="27.75" customHeight="1" x14ac:dyDescent="0.2">
      <c r="A200" s="190" t="s">
        <v>1267</v>
      </c>
      <c r="B200" s="190" t="s">
        <v>1964</v>
      </c>
      <c r="C200" s="191">
        <v>2.7097685238149642</v>
      </c>
      <c r="D200" s="191">
        <v>-1.4869201550324742</v>
      </c>
    </row>
    <row r="201" spans="1:4" ht="27.75" customHeight="1" x14ac:dyDescent="0.2">
      <c r="A201" s="190" t="s">
        <v>1268</v>
      </c>
      <c r="B201" s="190" t="s">
        <v>1965</v>
      </c>
      <c r="C201" s="191">
        <v>-1.0614306098478622E-2</v>
      </c>
      <c r="D201" s="191">
        <v>1.0064671488749243E-2</v>
      </c>
    </row>
    <row r="202" spans="1:4" ht="27.75" customHeight="1" x14ac:dyDescent="0.2">
      <c r="A202" s="190" t="s">
        <v>1269</v>
      </c>
      <c r="B202" s="190" t="s">
        <v>1966</v>
      </c>
      <c r="C202" s="191">
        <v>-0.10226509138383388</v>
      </c>
      <c r="D202" s="191">
        <v>-1.2131079739680182</v>
      </c>
    </row>
    <row r="203" spans="1:4" ht="27.75" customHeight="1" x14ac:dyDescent="0.2">
      <c r="A203" s="190" t="s">
        <v>2452</v>
      </c>
      <c r="B203" s="190" t="s">
        <v>2484</v>
      </c>
      <c r="C203" s="191">
        <v>-0.21335490419416173</v>
      </c>
      <c r="D203" s="191">
        <v>-6.9711488850744158E-2</v>
      </c>
    </row>
    <row r="204" spans="1:4" ht="27.75" customHeight="1" x14ac:dyDescent="0.2">
      <c r="A204" s="190" t="s">
        <v>1270</v>
      </c>
      <c r="B204" s="190" t="s">
        <v>1967</v>
      </c>
      <c r="C204" s="191">
        <v>1.0556777365493049</v>
      </c>
      <c r="D204" s="191">
        <v>7.0584335267007408</v>
      </c>
    </row>
    <row r="205" spans="1:4" ht="27.75" customHeight="1" x14ac:dyDescent="0.2">
      <c r="A205" s="190" t="s">
        <v>2453</v>
      </c>
      <c r="B205" s="190" t="s">
        <v>2485</v>
      </c>
      <c r="C205" s="191">
        <v>9.7835149443834535E-2</v>
      </c>
      <c r="D205" s="191">
        <v>0.1057862939363432</v>
      </c>
    </row>
    <row r="206" spans="1:4" ht="27.75" customHeight="1" x14ac:dyDescent="0.2">
      <c r="A206" s="190" t="s">
        <v>1271</v>
      </c>
      <c r="B206" s="190" t="s">
        <v>1968</v>
      </c>
      <c r="C206" s="191">
        <v>1.5587621026662506</v>
      </c>
      <c r="D206" s="191">
        <v>5.0250845094078995</v>
      </c>
    </row>
    <row r="207" spans="1:4" ht="27.75" customHeight="1" x14ac:dyDescent="0.2">
      <c r="A207" s="190" t="s">
        <v>1272</v>
      </c>
      <c r="B207" s="190" t="s">
        <v>1969</v>
      </c>
      <c r="C207" s="191">
        <v>1.4100327416120912</v>
      </c>
      <c r="D207" s="191">
        <v>1.9300749737450016</v>
      </c>
    </row>
    <row r="208" spans="1:4" ht="27.75" customHeight="1" x14ac:dyDescent="0.2">
      <c r="A208" s="190" t="s">
        <v>1274</v>
      </c>
      <c r="B208" s="190" t="s">
        <v>1971</v>
      </c>
      <c r="C208" s="191">
        <v>-2.3068632666880404</v>
      </c>
      <c r="D208" s="191">
        <v>0.34005531022789404</v>
      </c>
    </row>
    <row r="209" spans="1:4" ht="27.75" customHeight="1" x14ac:dyDescent="0.2">
      <c r="A209" s="190" t="s">
        <v>1275</v>
      </c>
      <c r="B209" s="190" t="s">
        <v>1971</v>
      </c>
      <c r="C209" s="191">
        <v>1.1582890008252675</v>
      </c>
      <c r="D209" s="191">
        <v>3.8856708832771845</v>
      </c>
    </row>
    <row r="210" spans="1:4" ht="27.75" customHeight="1" x14ac:dyDescent="0.2">
      <c r="A210" s="190" t="s">
        <v>1276</v>
      </c>
      <c r="B210" s="190" t="s">
        <v>1972</v>
      </c>
      <c r="C210" s="191">
        <v>1.1660767720806222</v>
      </c>
      <c r="D210" s="191">
        <v>5.9326460172298594</v>
      </c>
    </row>
    <row r="211" spans="1:4" ht="27.75" customHeight="1" x14ac:dyDescent="0.2">
      <c r="A211" s="190" t="s">
        <v>1277</v>
      </c>
      <c r="B211" s="190" t="s">
        <v>1973</v>
      </c>
      <c r="C211" s="191">
        <v>-2.63771974146372E-3</v>
      </c>
      <c r="D211" s="191">
        <v>13.92486216851537</v>
      </c>
    </row>
    <row r="212" spans="1:4" ht="27.75" customHeight="1" x14ac:dyDescent="0.2">
      <c r="A212" s="190" t="s">
        <v>1278</v>
      </c>
      <c r="B212" s="190" t="s">
        <v>1974</v>
      </c>
      <c r="C212" s="191">
        <v>0.596224340914004</v>
      </c>
      <c r="D212" s="191">
        <v>1.5322438506067879</v>
      </c>
    </row>
    <row r="213" spans="1:4" ht="27.75" customHeight="1" x14ac:dyDescent="0.2">
      <c r="A213" s="190" t="s">
        <v>1279</v>
      </c>
      <c r="B213" s="190" t="s">
        <v>1975</v>
      </c>
      <c r="C213" s="191">
        <v>0.41740880038191802</v>
      </c>
      <c r="D213" s="191">
        <v>3.1697450500286601</v>
      </c>
    </row>
    <row r="214" spans="1:4" ht="27.75" customHeight="1" x14ac:dyDescent="0.2">
      <c r="A214" s="190" t="s">
        <v>1280</v>
      </c>
      <c r="B214" s="190" t="s">
        <v>1976</v>
      </c>
      <c r="C214" s="191">
        <v>1.523479359637707</v>
      </c>
      <c r="D214" s="191">
        <v>0.86904836623212112</v>
      </c>
    </row>
    <row r="215" spans="1:4" ht="27.75" customHeight="1" x14ac:dyDescent="0.2">
      <c r="A215" s="190" t="s">
        <v>1282</v>
      </c>
      <c r="B215" s="190" t="s">
        <v>1977</v>
      </c>
      <c r="C215" s="191">
        <v>0</v>
      </c>
      <c r="D215" s="191">
        <v>0</v>
      </c>
    </row>
    <row r="216" spans="1:4" ht="27.75" customHeight="1" x14ac:dyDescent="0.2">
      <c r="A216" s="190" t="s">
        <v>1283</v>
      </c>
      <c r="B216" s="190" t="s">
        <v>1977</v>
      </c>
      <c r="C216" s="191">
        <v>0</v>
      </c>
      <c r="D216" s="191">
        <v>0</v>
      </c>
    </row>
    <row r="217" spans="1:4" ht="27.75" customHeight="1" x14ac:dyDescent="0.2">
      <c r="A217" s="190" t="s">
        <v>1284</v>
      </c>
      <c r="B217" s="190" t="s">
        <v>1978</v>
      </c>
      <c r="C217" s="191">
        <v>-0.50687225550945092</v>
      </c>
      <c r="D217" s="191">
        <v>2.3603129456783636</v>
      </c>
    </row>
    <row r="218" spans="1:4" ht="27.75" customHeight="1" x14ac:dyDescent="0.2">
      <c r="A218" s="190" t="s">
        <v>1285</v>
      </c>
      <c r="B218" s="190" t="s">
        <v>1979</v>
      </c>
      <c r="C218" s="191">
        <v>0.32759306819547246</v>
      </c>
      <c r="D218" s="191">
        <v>0.82871595760301675</v>
      </c>
    </row>
    <row r="219" spans="1:4" ht="27.75" customHeight="1" x14ac:dyDescent="0.2">
      <c r="A219" s="190" t="s">
        <v>1286</v>
      </c>
      <c r="B219" s="190" t="s">
        <v>1980</v>
      </c>
      <c r="C219" s="191">
        <v>0.47782662820728378</v>
      </c>
      <c r="D219" s="191">
        <v>0.23181216371529262</v>
      </c>
    </row>
    <row r="220" spans="1:4" ht="27.75" customHeight="1" x14ac:dyDescent="0.2">
      <c r="A220" s="190" t="s">
        <v>1287</v>
      </c>
      <c r="B220" s="190" t="s">
        <v>1981</v>
      </c>
      <c r="C220" s="191">
        <v>-9.3224759111099689E-3</v>
      </c>
      <c r="D220" s="191">
        <v>-1.2966282020100635</v>
      </c>
    </row>
    <row r="221" spans="1:4" ht="27.75" customHeight="1" x14ac:dyDescent="0.2">
      <c r="A221" s="190" t="s">
        <v>1288</v>
      </c>
      <c r="B221" s="190" t="s">
        <v>1982</v>
      </c>
      <c r="C221" s="191">
        <v>4.3902972520774595E-2</v>
      </c>
      <c r="D221" s="191">
        <v>1.8310433106070858</v>
      </c>
    </row>
    <row r="222" spans="1:4" ht="27.75" customHeight="1" x14ac:dyDescent="0.2">
      <c r="A222" s="190" t="s">
        <v>1289</v>
      </c>
      <c r="B222" s="190" t="s">
        <v>1983</v>
      </c>
      <c r="C222" s="191">
        <v>0.18839303766577969</v>
      </c>
      <c r="D222" s="191">
        <v>2.1537664485845966</v>
      </c>
    </row>
    <row r="223" spans="1:4" ht="27.75" customHeight="1" x14ac:dyDescent="0.2">
      <c r="A223" s="190" t="s">
        <v>1290</v>
      </c>
      <c r="B223" s="190" t="s">
        <v>1984</v>
      </c>
      <c r="C223" s="191">
        <v>0.38807162042661508</v>
      </c>
      <c r="D223" s="191">
        <v>-5.1825047887235716</v>
      </c>
    </row>
    <row r="224" spans="1:4" ht="27.75" customHeight="1" x14ac:dyDescent="0.2">
      <c r="A224" s="190" t="s">
        <v>1292</v>
      </c>
      <c r="B224" s="190" t="s">
        <v>1986</v>
      </c>
      <c r="C224" s="191">
        <v>4.929320707368098</v>
      </c>
      <c r="D224" s="191">
        <v>9.1820227086786943E-2</v>
      </c>
    </row>
    <row r="225" spans="1:4" ht="27.75" customHeight="1" x14ac:dyDescent="0.2">
      <c r="A225" s="190" t="s">
        <v>1293</v>
      </c>
      <c r="B225" s="190" t="s">
        <v>1987</v>
      </c>
      <c r="C225" s="191">
        <v>0.94518041224802629</v>
      </c>
      <c r="D225" s="191">
        <v>3.9781518585301558</v>
      </c>
    </row>
    <row r="226" spans="1:4" ht="27.75" customHeight="1" x14ac:dyDescent="0.2">
      <c r="A226" s="190" t="s">
        <v>1294</v>
      </c>
      <c r="B226" s="190" t="s">
        <v>1988</v>
      </c>
      <c r="C226" s="191">
        <v>3.6255467136716399</v>
      </c>
      <c r="D226" s="191">
        <v>11.475726496306713</v>
      </c>
    </row>
    <row r="227" spans="1:4" ht="27.75" customHeight="1" x14ac:dyDescent="0.2">
      <c r="A227" s="190" t="s">
        <v>1295</v>
      </c>
      <c r="B227" s="190" t="s">
        <v>1989</v>
      </c>
      <c r="C227" s="191">
        <v>0</v>
      </c>
      <c r="D227" s="191">
        <v>6.7813720538846791</v>
      </c>
    </row>
    <row r="228" spans="1:4" ht="27.75" customHeight="1" x14ac:dyDescent="0.2">
      <c r="A228" s="190" t="s">
        <v>1296</v>
      </c>
      <c r="B228" s="190" t="s">
        <v>1990</v>
      </c>
      <c r="C228" s="191">
        <v>13.309756383051056</v>
      </c>
      <c r="D228" s="191">
        <v>5.2166521069842524</v>
      </c>
    </row>
    <row r="229" spans="1:4" ht="27.75" customHeight="1" x14ac:dyDescent="0.2">
      <c r="A229" s="190" t="s">
        <v>1298</v>
      </c>
      <c r="B229" s="190" t="s">
        <v>1992</v>
      </c>
      <c r="C229" s="191">
        <v>0.183134021892189</v>
      </c>
      <c r="D229" s="191">
        <v>0.97022935530737009</v>
      </c>
    </row>
    <row r="230" spans="1:4" ht="27.75" customHeight="1" x14ac:dyDescent="0.2">
      <c r="A230" s="190" t="s">
        <v>1299</v>
      </c>
      <c r="B230" s="190" t="s">
        <v>1992</v>
      </c>
      <c r="C230" s="191">
        <v>0.18319345979012119</v>
      </c>
      <c r="D230" s="191">
        <v>0.96990675432390394</v>
      </c>
    </row>
    <row r="231" spans="1:4" ht="27.75" customHeight="1" x14ac:dyDescent="0.2">
      <c r="A231" s="190" t="s">
        <v>1300</v>
      </c>
      <c r="B231" s="190" t="s">
        <v>1993</v>
      </c>
      <c r="C231" s="191">
        <v>0</v>
      </c>
      <c r="D231" s="191">
        <v>0.32430631164114276</v>
      </c>
    </row>
    <row r="232" spans="1:4" ht="27.75" customHeight="1" x14ac:dyDescent="0.2">
      <c r="A232" s="190" t="s">
        <v>1301</v>
      </c>
      <c r="B232" s="190" t="s">
        <v>1993</v>
      </c>
      <c r="C232" s="191">
        <v>0</v>
      </c>
      <c r="D232" s="191">
        <v>0</v>
      </c>
    </row>
    <row r="233" spans="1:4" ht="27.75" customHeight="1" x14ac:dyDescent="0.2">
      <c r="A233" s="190" t="s">
        <v>1302</v>
      </c>
      <c r="B233" s="190" t="s">
        <v>1994</v>
      </c>
      <c r="C233" s="191">
        <v>1.1335251206669861</v>
      </c>
      <c r="D233" s="191">
        <v>3.7508775236543492</v>
      </c>
    </row>
    <row r="234" spans="1:4" ht="27.75" customHeight="1" x14ac:dyDescent="0.2">
      <c r="A234" s="190" t="s">
        <v>1303</v>
      </c>
      <c r="B234" s="190" t="s">
        <v>1995</v>
      </c>
      <c r="C234" s="191">
        <v>-9.7118924673986001E-2</v>
      </c>
      <c r="D234" s="191">
        <v>-0.19575439136432068</v>
      </c>
    </row>
    <row r="235" spans="1:4" ht="27.75" customHeight="1" x14ac:dyDescent="0.2">
      <c r="A235" s="190" t="s">
        <v>1305</v>
      </c>
      <c r="B235" s="190" t="s">
        <v>1996</v>
      </c>
      <c r="C235" s="191">
        <v>0.18423288254377301</v>
      </c>
      <c r="D235" s="191">
        <v>2.7732002814319698</v>
      </c>
    </row>
    <row r="236" spans="1:4" ht="27.75" customHeight="1" x14ac:dyDescent="0.2">
      <c r="A236" s="190" t="s">
        <v>1306</v>
      </c>
      <c r="B236" s="190" t="s">
        <v>1997</v>
      </c>
      <c r="C236" s="191">
        <v>0.38871585570733291</v>
      </c>
      <c r="D236" s="191">
        <v>0.31485885560687232</v>
      </c>
    </row>
    <row r="237" spans="1:4" ht="27.75" customHeight="1" x14ac:dyDescent="0.2">
      <c r="A237" s="190" t="s">
        <v>1307</v>
      </c>
      <c r="B237" s="190" t="s">
        <v>1998</v>
      </c>
      <c r="C237" s="191">
        <v>0.5524205055517305</v>
      </c>
      <c r="D237" s="191">
        <v>-4.8886551013626933</v>
      </c>
    </row>
    <row r="238" spans="1:4" ht="27.75" customHeight="1" x14ac:dyDescent="0.2">
      <c r="A238" s="190" t="s">
        <v>1313</v>
      </c>
      <c r="B238" s="190" t="s">
        <v>2004</v>
      </c>
      <c r="C238" s="191">
        <v>0.25273858509829467</v>
      </c>
      <c r="D238" s="191">
        <v>12.558634838485569</v>
      </c>
    </row>
    <row r="239" spans="1:4" ht="27.75" customHeight="1" x14ac:dyDescent="0.2">
      <c r="A239" s="190" t="s">
        <v>1314</v>
      </c>
      <c r="B239" s="190" t="s">
        <v>2005</v>
      </c>
      <c r="C239" s="191">
        <v>1.9173154858527626</v>
      </c>
      <c r="D239" s="191">
        <v>8.3915244592066554</v>
      </c>
    </row>
    <row r="240" spans="1:4" ht="27.75" customHeight="1" x14ac:dyDescent="0.2">
      <c r="A240" s="190" t="s">
        <v>1316</v>
      </c>
      <c r="B240" s="190" t="s">
        <v>2007</v>
      </c>
      <c r="C240" s="191">
        <v>0.26016577545508901</v>
      </c>
      <c r="D240" s="191">
        <v>0.28399412113188172</v>
      </c>
    </row>
    <row r="241" spans="1:4" ht="27.75" customHeight="1" x14ac:dyDescent="0.2">
      <c r="A241" s="190" t="s">
        <v>1317</v>
      </c>
      <c r="B241" s="190" t="s">
        <v>2008</v>
      </c>
      <c r="C241" s="191">
        <v>0.3102552557444801</v>
      </c>
      <c r="D241" s="191">
        <v>8.0682631047003071</v>
      </c>
    </row>
    <row r="242" spans="1:4" ht="27.75" customHeight="1" x14ac:dyDescent="0.2">
      <c r="A242" s="190" t="s">
        <v>1318</v>
      </c>
      <c r="B242" s="190" t="s">
        <v>2009</v>
      </c>
      <c r="C242" s="191">
        <v>0.51319862238807201</v>
      </c>
      <c r="D242" s="191">
        <v>6.2771233291357653</v>
      </c>
    </row>
    <row r="243" spans="1:4" ht="27.75" customHeight="1" x14ac:dyDescent="0.2">
      <c r="A243" s="190" t="s">
        <v>1319</v>
      </c>
      <c r="B243" s="190" t="s">
        <v>2010</v>
      </c>
      <c r="C243" s="191">
        <v>1.905305209394877</v>
      </c>
      <c r="D243" s="191">
        <v>-6.8053578374764658</v>
      </c>
    </row>
    <row r="244" spans="1:4" ht="27.75" customHeight="1" x14ac:dyDescent="0.2">
      <c r="A244" s="190" t="s">
        <v>1321</v>
      </c>
      <c r="B244" s="190" t="s">
        <v>2012</v>
      </c>
      <c r="C244" s="191">
        <v>0.11488142699529039</v>
      </c>
      <c r="D244" s="191">
        <v>9.0401478459114131</v>
      </c>
    </row>
    <row r="245" spans="1:4" ht="27.75" customHeight="1" x14ac:dyDescent="0.2">
      <c r="A245" s="190" t="s">
        <v>1322</v>
      </c>
      <c r="B245" s="190" t="s">
        <v>2013</v>
      </c>
      <c r="C245" s="191">
        <v>1.583591546731614</v>
      </c>
      <c r="D245" s="191">
        <v>3.7427912686254672</v>
      </c>
    </row>
    <row r="246" spans="1:4" ht="27.75" customHeight="1" x14ac:dyDescent="0.2">
      <c r="A246" s="190" t="s">
        <v>1323</v>
      </c>
      <c r="B246" s="190" t="s">
        <v>2014</v>
      </c>
      <c r="C246" s="191">
        <v>0.82805658248567182</v>
      </c>
      <c r="D246" s="191">
        <v>26.806463070070834</v>
      </c>
    </row>
    <row r="247" spans="1:4" ht="27.75" customHeight="1" x14ac:dyDescent="0.2">
      <c r="A247" s="190" t="s">
        <v>1324</v>
      </c>
      <c r="B247" s="190" t="s">
        <v>2015</v>
      </c>
      <c r="C247" s="191">
        <v>2.4986631075075003</v>
      </c>
      <c r="D247" s="191">
        <v>9.3702452677503345</v>
      </c>
    </row>
    <row r="248" spans="1:4" ht="27.75" customHeight="1" x14ac:dyDescent="0.2">
      <c r="A248" s="190" t="s">
        <v>1327</v>
      </c>
      <c r="B248" s="190" t="s">
        <v>2018</v>
      </c>
      <c r="C248" s="191">
        <v>0.42382904179528402</v>
      </c>
      <c r="D248" s="191">
        <v>3.674649756558785</v>
      </c>
    </row>
    <row r="249" spans="1:4" ht="27.75" customHeight="1" x14ac:dyDescent="0.2">
      <c r="A249" s="190" t="s">
        <v>1328</v>
      </c>
      <c r="B249" s="190" t="s">
        <v>2019</v>
      </c>
      <c r="C249" s="191">
        <v>0.92422637184122736</v>
      </c>
      <c r="D249" s="191">
        <v>-7.7477248265520675</v>
      </c>
    </row>
    <row r="250" spans="1:4" ht="27.75" customHeight="1" x14ac:dyDescent="0.2">
      <c r="A250" s="190" t="s">
        <v>1331</v>
      </c>
      <c r="B250" s="190" t="s">
        <v>2022</v>
      </c>
      <c r="C250" s="191">
        <v>0.11059019913389462</v>
      </c>
      <c r="D250" s="191">
        <v>2.2984856941361356</v>
      </c>
    </row>
    <row r="251" spans="1:4" ht="27.75" customHeight="1" x14ac:dyDescent="0.2">
      <c r="A251" s="190" t="s">
        <v>1332</v>
      </c>
      <c r="B251" s="190" t="s">
        <v>2023</v>
      </c>
      <c r="C251" s="191">
        <v>2.5071607575622407E-2</v>
      </c>
      <c r="D251" s="191">
        <v>0.74500936567248643</v>
      </c>
    </row>
    <row r="252" spans="1:4" ht="27.75" customHeight="1" x14ac:dyDescent="0.2">
      <c r="A252" s="190" t="s">
        <v>1333</v>
      </c>
      <c r="B252" s="190" t="s">
        <v>2024</v>
      </c>
      <c r="C252" s="191">
        <v>2.5992011573663945</v>
      </c>
      <c r="D252" s="191">
        <v>0.71351231369657464</v>
      </c>
    </row>
    <row r="253" spans="1:4" ht="27.75" customHeight="1" x14ac:dyDescent="0.2">
      <c r="A253" s="190" t="s">
        <v>1334</v>
      </c>
      <c r="B253" s="190" t="s">
        <v>2024</v>
      </c>
      <c r="C253" s="191">
        <v>0.65064241572657544</v>
      </c>
      <c r="D253" s="191">
        <v>1.2731850467587167</v>
      </c>
    </row>
    <row r="254" spans="1:4" ht="27.75" customHeight="1" x14ac:dyDescent="0.2">
      <c r="A254" s="190" t="s">
        <v>1335</v>
      </c>
      <c r="B254" s="190" t="s">
        <v>2025</v>
      </c>
      <c r="C254" s="191">
        <v>-0.76030189810423299</v>
      </c>
      <c r="D254" s="191">
        <v>-0.22975775396842657</v>
      </c>
    </row>
    <row r="255" spans="1:4" ht="27.75" customHeight="1" x14ac:dyDescent="0.2">
      <c r="A255" s="190" t="s">
        <v>1336</v>
      </c>
      <c r="B255" s="190" t="s">
        <v>2026</v>
      </c>
      <c r="C255" s="191">
        <v>-6.4966706393629337E-3</v>
      </c>
      <c r="D255" s="191">
        <v>8.2828814808552185</v>
      </c>
    </row>
    <row r="256" spans="1:4" ht="27.75" customHeight="1" x14ac:dyDescent="0.2">
      <c r="A256" s="190" t="s">
        <v>1337</v>
      </c>
      <c r="B256" s="190" t="s">
        <v>2027</v>
      </c>
      <c r="C256" s="191">
        <v>1.9895208974595397</v>
      </c>
      <c r="D256" s="191">
        <v>14.781102762960716</v>
      </c>
    </row>
    <row r="257" spans="1:4" ht="27.75" customHeight="1" x14ac:dyDescent="0.2">
      <c r="A257" s="190" t="s">
        <v>1338</v>
      </c>
      <c r="B257" s="190" t="s">
        <v>2028</v>
      </c>
      <c r="C257" s="191">
        <v>2.4265797081758675</v>
      </c>
      <c r="D257" s="191">
        <v>9.0359100548605689</v>
      </c>
    </row>
    <row r="258" spans="1:4" ht="27.75" customHeight="1" x14ac:dyDescent="0.2">
      <c r="A258" s="190" t="s">
        <v>1339</v>
      </c>
      <c r="B258" s="190" t="s">
        <v>2029</v>
      </c>
      <c r="C258" s="191">
        <v>0.84401206569069898</v>
      </c>
      <c r="D258" s="191">
        <v>0.55724433607858581</v>
      </c>
    </row>
    <row r="259" spans="1:4" ht="27.75" customHeight="1" x14ac:dyDescent="0.2">
      <c r="A259" s="190" t="s">
        <v>1340</v>
      </c>
      <c r="B259" s="190" t="s">
        <v>2030</v>
      </c>
      <c r="C259" s="191">
        <v>-0.79868079046273655</v>
      </c>
      <c r="D259" s="191">
        <v>5.3674081427928684</v>
      </c>
    </row>
    <row r="260" spans="1:4" ht="27.75" customHeight="1" x14ac:dyDescent="0.2">
      <c r="A260" s="190" t="s">
        <v>1342</v>
      </c>
      <c r="B260" s="190" t="s">
        <v>2032</v>
      </c>
      <c r="C260" s="191">
        <v>3.3277637546969703</v>
      </c>
      <c r="D260" s="191">
        <v>12.522698869131224</v>
      </c>
    </row>
    <row r="261" spans="1:4" ht="27.75" customHeight="1" x14ac:dyDescent="0.2">
      <c r="A261" s="190" t="s">
        <v>1343</v>
      </c>
      <c r="B261" s="190" t="s">
        <v>2033</v>
      </c>
      <c r="C261" s="191">
        <v>2.3270009524782638</v>
      </c>
      <c r="D261" s="191">
        <v>11.292845530249529</v>
      </c>
    </row>
    <row r="262" spans="1:4" ht="27.75" customHeight="1" x14ac:dyDescent="0.2">
      <c r="A262" s="190" t="s">
        <v>1344</v>
      </c>
      <c r="B262" s="190" t="s">
        <v>2034</v>
      </c>
      <c r="C262" s="191">
        <v>0.91876585143238698</v>
      </c>
      <c r="D262" s="191">
        <v>2.1709154018888088</v>
      </c>
    </row>
    <row r="263" spans="1:4" ht="27.75" customHeight="1" x14ac:dyDescent="0.2">
      <c r="A263" s="190" t="s">
        <v>1345</v>
      </c>
      <c r="B263" s="190" t="s">
        <v>2034</v>
      </c>
      <c r="C263" s="191">
        <v>0.78082721208447103</v>
      </c>
      <c r="D263" s="191">
        <v>1.433319659880395</v>
      </c>
    </row>
    <row r="264" spans="1:4" ht="27.75" customHeight="1" x14ac:dyDescent="0.2">
      <c r="A264" s="190" t="s">
        <v>1346</v>
      </c>
      <c r="B264" s="190" t="s">
        <v>2035</v>
      </c>
      <c r="C264" s="191">
        <v>3.3609740027740198E-2</v>
      </c>
      <c r="D264" s="191">
        <v>2.7581577155048969</v>
      </c>
    </row>
    <row r="265" spans="1:4" ht="27.75" customHeight="1" x14ac:dyDescent="0.2">
      <c r="A265" s="190" t="s">
        <v>1347</v>
      </c>
      <c r="B265" s="190" t="s">
        <v>2036</v>
      </c>
      <c r="C265" s="191">
        <v>0.83375614249083596</v>
      </c>
      <c r="D265" s="191">
        <v>1.2794929360972429</v>
      </c>
    </row>
    <row r="266" spans="1:4" ht="27.75" customHeight="1" x14ac:dyDescent="0.2">
      <c r="A266" s="190" t="s">
        <v>1348</v>
      </c>
      <c r="B266" s="190" t="s">
        <v>2037</v>
      </c>
      <c r="C266" s="191">
        <v>0.66029858714979262</v>
      </c>
      <c r="D266" s="191">
        <v>-1.5907706915736064E-2</v>
      </c>
    </row>
    <row r="267" spans="1:4" ht="27.75" customHeight="1" x14ac:dyDescent="0.2">
      <c r="A267" s="190" t="s">
        <v>1349</v>
      </c>
      <c r="B267" s="190" t="s">
        <v>2037</v>
      </c>
      <c r="C267" s="191">
        <v>0.63021669625776966</v>
      </c>
      <c r="D267" s="191">
        <v>-0.20263249121866228</v>
      </c>
    </row>
    <row r="268" spans="1:4" ht="27.75" customHeight="1" x14ac:dyDescent="0.2">
      <c r="A268" s="190" t="s">
        <v>1351</v>
      </c>
      <c r="B268" s="190" t="s">
        <v>2039</v>
      </c>
      <c r="C268" s="191">
        <v>0</v>
      </c>
      <c r="D268" s="191">
        <v>0</v>
      </c>
    </row>
    <row r="269" spans="1:4" ht="27.75" customHeight="1" x14ac:dyDescent="0.2">
      <c r="A269" s="190" t="s">
        <v>1352</v>
      </c>
      <c r="B269" s="190" t="s">
        <v>2040</v>
      </c>
      <c r="C269" s="191">
        <v>-9.914366814073404E-2</v>
      </c>
      <c r="D269" s="191">
        <v>8.962277169340652</v>
      </c>
    </row>
    <row r="270" spans="1:4" ht="27.75" customHeight="1" x14ac:dyDescent="0.2">
      <c r="A270" s="190" t="s">
        <v>1353</v>
      </c>
      <c r="B270" s="190" t="s">
        <v>2041</v>
      </c>
      <c r="C270" s="191">
        <v>1.3047142592492929</v>
      </c>
      <c r="D270" s="191">
        <v>7.1237922374484572</v>
      </c>
    </row>
    <row r="271" spans="1:4" ht="27.75" customHeight="1" x14ac:dyDescent="0.2">
      <c r="A271" s="190" t="s">
        <v>1354</v>
      </c>
      <c r="B271" s="190" t="s">
        <v>2042</v>
      </c>
      <c r="C271" s="191">
        <v>0.76990970799188396</v>
      </c>
      <c r="D271" s="191">
        <v>1.1704271435369722</v>
      </c>
    </row>
    <row r="272" spans="1:4" ht="27.75" customHeight="1" x14ac:dyDescent="0.2">
      <c r="A272" s="190" t="s">
        <v>1355</v>
      </c>
      <c r="B272" s="190" t="s">
        <v>2043</v>
      </c>
      <c r="C272" s="191">
        <v>0.14373230391374686</v>
      </c>
      <c r="D272" s="191">
        <v>8.8644292847625845</v>
      </c>
    </row>
    <row r="273" spans="1:4" ht="27.75" customHeight="1" x14ac:dyDescent="0.2">
      <c r="A273" s="190" t="s">
        <v>1356</v>
      </c>
      <c r="B273" s="190" t="s">
        <v>2044</v>
      </c>
      <c r="C273" s="191">
        <v>0.1351871670338306</v>
      </c>
      <c r="D273" s="191">
        <v>4.1227679675114848</v>
      </c>
    </row>
    <row r="274" spans="1:4" ht="27.75" customHeight="1" x14ac:dyDescent="0.2">
      <c r="A274" s="190" t="s">
        <v>1357</v>
      </c>
      <c r="B274" s="190" t="s">
        <v>2045</v>
      </c>
      <c r="C274" s="191">
        <v>-0.18677812721398618</v>
      </c>
      <c r="D274" s="191">
        <v>7.5153903155936703</v>
      </c>
    </row>
    <row r="275" spans="1:4" ht="27.75" customHeight="1" x14ac:dyDescent="0.2">
      <c r="A275" s="190" t="s">
        <v>1358</v>
      </c>
      <c r="B275" s="190" t="s">
        <v>2046</v>
      </c>
      <c r="C275" s="191">
        <v>0.44387835038573198</v>
      </c>
      <c r="D275" s="191">
        <v>2.5223623269571256</v>
      </c>
    </row>
    <row r="276" spans="1:4" ht="27.75" customHeight="1" x14ac:dyDescent="0.2">
      <c r="A276" s="190" t="s">
        <v>1359</v>
      </c>
      <c r="B276" s="190" t="s">
        <v>2047</v>
      </c>
      <c r="C276" s="191">
        <v>0.23731578603402964</v>
      </c>
      <c r="D276" s="191">
        <v>0.79815253860490953</v>
      </c>
    </row>
    <row r="277" spans="1:4" ht="27.75" customHeight="1" x14ac:dyDescent="0.2">
      <c r="A277" s="190" t="s">
        <v>1360</v>
      </c>
      <c r="B277" s="190" t="s">
        <v>2048</v>
      </c>
      <c r="C277" s="191">
        <v>5.0117364543640505E-2</v>
      </c>
      <c r="D277" s="191">
        <v>0.19895740874001522</v>
      </c>
    </row>
    <row r="278" spans="1:4" ht="27.75" customHeight="1" x14ac:dyDescent="0.2">
      <c r="A278" s="190" t="s">
        <v>1361</v>
      </c>
      <c r="B278" s="190" t="s">
        <v>2049</v>
      </c>
      <c r="C278" s="191">
        <v>0.1228787749787224</v>
      </c>
      <c r="D278" s="191">
        <v>0.69751731115964088</v>
      </c>
    </row>
    <row r="279" spans="1:4" ht="27.75" customHeight="1" x14ac:dyDescent="0.2">
      <c r="A279" s="190" t="s">
        <v>1362</v>
      </c>
      <c r="B279" s="190" t="s">
        <v>2050</v>
      </c>
      <c r="C279" s="191">
        <v>1.0926374084218717</v>
      </c>
      <c r="D279" s="191">
        <v>0.83587001206768941</v>
      </c>
    </row>
    <row r="280" spans="1:4" ht="27.75" customHeight="1" x14ac:dyDescent="0.2">
      <c r="A280" s="190" t="s">
        <v>1363</v>
      </c>
      <c r="B280" s="190" t="s">
        <v>2051</v>
      </c>
      <c r="C280" s="191">
        <v>1.563555363738667</v>
      </c>
      <c r="D280" s="191">
        <v>9.8944421824164621</v>
      </c>
    </row>
    <row r="281" spans="1:4" ht="27.75" customHeight="1" x14ac:dyDescent="0.2">
      <c r="A281" s="190" t="s">
        <v>1364</v>
      </c>
      <c r="B281" s="190" t="s">
        <v>2052</v>
      </c>
      <c r="C281" s="191">
        <v>0.46429116632645812</v>
      </c>
      <c r="D281" s="191">
        <v>1.8667062955132501</v>
      </c>
    </row>
    <row r="282" spans="1:4" ht="27.75" customHeight="1" x14ac:dyDescent="0.2">
      <c r="A282" s="190" t="s">
        <v>1366</v>
      </c>
      <c r="B282" s="190" t="s">
        <v>2054</v>
      </c>
      <c r="C282" s="191">
        <v>2.3984827052393701E-2</v>
      </c>
      <c r="D282" s="191">
        <v>4.0056215339308183</v>
      </c>
    </row>
    <row r="283" spans="1:4" ht="27.75" customHeight="1" x14ac:dyDescent="0.2">
      <c r="A283" s="190" t="s">
        <v>2454</v>
      </c>
      <c r="B283" s="190" t="s">
        <v>2486</v>
      </c>
      <c r="C283" s="191">
        <v>-0.46585082009916162</v>
      </c>
      <c r="D283" s="191">
        <v>0.78085900290012311</v>
      </c>
    </row>
    <row r="284" spans="1:4" ht="27.75" customHeight="1" x14ac:dyDescent="0.2">
      <c r="A284" s="190" t="s">
        <v>1367</v>
      </c>
      <c r="B284" s="190" t="s">
        <v>2055</v>
      </c>
      <c r="C284" s="191">
        <v>-0.3423180761623203</v>
      </c>
      <c r="D284" s="191">
        <v>1.1318833128175236</v>
      </c>
    </row>
    <row r="285" spans="1:4" ht="27.75" customHeight="1" x14ac:dyDescent="0.2">
      <c r="A285" s="190" t="s">
        <v>1368</v>
      </c>
      <c r="B285" s="190" t="s">
        <v>2056</v>
      </c>
      <c r="C285" s="191">
        <v>0.27183686396223938</v>
      </c>
      <c r="D285" s="191">
        <v>11.514256086547503</v>
      </c>
    </row>
    <row r="286" spans="1:4" ht="27.75" customHeight="1" x14ac:dyDescent="0.2">
      <c r="A286" s="190" t="s">
        <v>1369</v>
      </c>
      <c r="B286" s="190" t="s">
        <v>2057</v>
      </c>
      <c r="C286" s="191">
        <v>1.5046997314439321</v>
      </c>
      <c r="D286" s="191">
        <v>-1.5619484518445959</v>
      </c>
    </row>
    <row r="287" spans="1:4" ht="27.75" customHeight="1" x14ac:dyDescent="0.2">
      <c r="A287" s="190" t="s">
        <v>1371</v>
      </c>
      <c r="B287" s="190" t="s">
        <v>2059</v>
      </c>
      <c r="C287" s="191">
        <v>0.37133649347252867</v>
      </c>
      <c r="D287" s="191">
        <v>3.9792179941366457</v>
      </c>
    </row>
    <row r="288" spans="1:4" ht="27.75" customHeight="1" x14ac:dyDescent="0.2">
      <c r="A288" s="190" t="s">
        <v>1372</v>
      </c>
      <c r="B288" s="190" t="s">
        <v>2060</v>
      </c>
      <c r="C288" s="191">
        <v>0.48652185102225898</v>
      </c>
      <c r="D288" s="191">
        <v>1.1554684011654399</v>
      </c>
    </row>
    <row r="289" spans="1:4" ht="27.75" customHeight="1" x14ac:dyDescent="0.2">
      <c r="A289" s="190" t="s">
        <v>1373</v>
      </c>
      <c r="B289" s="190" t="s">
        <v>2060</v>
      </c>
      <c r="C289" s="191">
        <v>0.48327727078664001</v>
      </c>
      <c r="D289" s="191">
        <v>0.877597044987805</v>
      </c>
    </row>
    <row r="290" spans="1:4" ht="27.75" customHeight="1" x14ac:dyDescent="0.2">
      <c r="A290" s="190" t="s">
        <v>1374</v>
      </c>
      <c r="B290" s="190" t="s">
        <v>2061</v>
      </c>
      <c r="C290" s="191">
        <v>0.83073696638774508</v>
      </c>
      <c r="D290" s="191">
        <v>-5.7184890413111589E-2</v>
      </c>
    </row>
    <row r="291" spans="1:4" ht="27.75" customHeight="1" x14ac:dyDescent="0.2">
      <c r="A291" s="190" t="s">
        <v>1375</v>
      </c>
      <c r="B291" s="190" t="s">
        <v>2061</v>
      </c>
      <c r="C291" s="191">
        <v>0</v>
      </c>
      <c r="D291" s="191">
        <v>0</v>
      </c>
    </row>
    <row r="292" spans="1:4" ht="27.75" customHeight="1" x14ac:dyDescent="0.2">
      <c r="A292" s="190" t="s">
        <v>1376</v>
      </c>
      <c r="B292" s="190" t="s">
        <v>2061</v>
      </c>
      <c r="C292" s="191">
        <v>0</v>
      </c>
      <c r="D292" s="191">
        <v>0</v>
      </c>
    </row>
    <row r="293" spans="1:4" ht="27.75" customHeight="1" x14ac:dyDescent="0.2">
      <c r="A293" s="190" t="s">
        <v>1377</v>
      </c>
      <c r="B293" s="190" t="s">
        <v>2062</v>
      </c>
      <c r="C293" s="191">
        <v>0.85433498548984244</v>
      </c>
      <c r="D293" s="191">
        <v>6.9963760613244244</v>
      </c>
    </row>
    <row r="294" spans="1:4" ht="27.75" customHeight="1" x14ac:dyDescent="0.2">
      <c r="A294" s="190" t="s">
        <v>1378</v>
      </c>
      <c r="B294" s="190" t="s">
        <v>2062</v>
      </c>
      <c r="C294" s="191">
        <v>0.79408670070832466</v>
      </c>
      <c r="D294" s="191">
        <v>6.99641047578874</v>
      </c>
    </row>
    <row r="295" spans="1:4" ht="27.75" customHeight="1" x14ac:dyDescent="0.2">
      <c r="A295" s="190" t="s">
        <v>1379</v>
      </c>
      <c r="B295" s="190" t="s">
        <v>2063</v>
      </c>
      <c r="C295" s="191">
        <v>1.004823030829923E-2</v>
      </c>
      <c r="D295" s="191">
        <v>0.80652975202116672</v>
      </c>
    </row>
    <row r="296" spans="1:4" ht="27.75" customHeight="1" x14ac:dyDescent="0.2">
      <c r="A296" s="190" t="s">
        <v>2455</v>
      </c>
      <c r="B296" s="190" t="s">
        <v>2487</v>
      </c>
      <c r="C296" s="191">
        <v>0.99681412424089899</v>
      </c>
      <c r="D296" s="191">
        <v>1.2692568888303422</v>
      </c>
    </row>
    <row r="297" spans="1:4" ht="27.75" customHeight="1" x14ac:dyDescent="0.2">
      <c r="A297" s="190" t="s">
        <v>1380</v>
      </c>
      <c r="B297" s="190" t="s">
        <v>2064</v>
      </c>
      <c r="C297" s="191">
        <v>1.2789566661535539</v>
      </c>
      <c r="D297" s="191">
        <v>-3.7630652434761469</v>
      </c>
    </row>
    <row r="298" spans="1:4" ht="27.75" customHeight="1" x14ac:dyDescent="0.2">
      <c r="A298" s="190" t="s">
        <v>1381</v>
      </c>
      <c r="B298" s="190" t="s">
        <v>2065</v>
      </c>
      <c r="C298" s="191">
        <v>0</v>
      </c>
      <c r="D298" s="191">
        <v>0</v>
      </c>
    </row>
    <row r="299" spans="1:4" ht="27.75" customHeight="1" x14ac:dyDescent="0.2">
      <c r="A299" s="190" t="s">
        <v>1382</v>
      </c>
      <c r="B299" s="190" t="s">
        <v>2066</v>
      </c>
      <c r="C299" s="191">
        <v>1.5113817582831846</v>
      </c>
      <c r="D299" s="191">
        <v>3.6655017459631338</v>
      </c>
    </row>
    <row r="300" spans="1:4" ht="27.75" customHeight="1" x14ac:dyDescent="0.2">
      <c r="A300" s="190" t="s">
        <v>1383</v>
      </c>
      <c r="B300" s="190" t="s">
        <v>2067</v>
      </c>
      <c r="C300" s="191">
        <v>0.56693819323133299</v>
      </c>
      <c r="D300" s="191">
        <v>30.721365630135931</v>
      </c>
    </row>
    <row r="301" spans="1:4" ht="27.75" customHeight="1" x14ac:dyDescent="0.2">
      <c r="A301" s="190" t="s">
        <v>1384</v>
      </c>
      <c r="B301" s="190" t="s">
        <v>2068</v>
      </c>
      <c r="C301" s="191">
        <v>0</v>
      </c>
      <c r="D301" s="191">
        <v>0.33731479055718727</v>
      </c>
    </row>
    <row r="302" spans="1:4" ht="27.75" customHeight="1" x14ac:dyDescent="0.2">
      <c r="A302" s="190" t="s">
        <v>2456</v>
      </c>
      <c r="B302" s="190" t="s">
        <v>2068</v>
      </c>
      <c r="C302" s="191">
        <v>0</v>
      </c>
      <c r="D302" s="191">
        <v>0</v>
      </c>
    </row>
    <row r="303" spans="1:4" ht="27.75" customHeight="1" x14ac:dyDescent="0.2">
      <c r="A303" s="190" t="s">
        <v>1385</v>
      </c>
      <c r="B303" s="190" t="s">
        <v>2069</v>
      </c>
      <c r="C303" s="191">
        <v>1.7627618594236509</v>
      </c>
      <c r="D303" s="191">
        <v>4.2150831542139686</v>
      </c>
    </row>
    <row r="304" spans="1:4" ht="27.75" customHeight="1" x14ac:dyDescent="0.2">
      <c r="A304" s="190" t="s">
        <v>1386</v>
      </c>
      <c r="B304" s="190" t="s">
        <v>2070</v>
      </c>
      <c r="C304" s="191">
        <v>0.79151804589429497</v>
      </c>
      <c r="D304" s="191">
        <v>1.3254464813884259</v>
      </c>
    </row>
    <row r="305" spans="1:4" ht="27.75" customHeight="1" x14ac:dyDescent="0.2">
      <c r="A305" s="190" t="s">
        <v>1388</v>
      </c>
      <c r="B305" s="190" t="s">
        <v>2072</v>
      </c>
      <c r="C305" s="191">
        <v>0</v>
      </c>
      <c r="D305" s="191">
        <v>0</v>
      </c>
    </row>
    <row r="306" spans="1:4" ht="27.75" customHeight="1" x14ac:dyDescent="0.2">
      <c r="A306" s="190" t="s">
        <v>1389</v>
      </c>
      <c r="B306" s="190" t="s">
        <v>2073</v>
      </c>
      <c r="C306" s="191">
        <v>1.2648745503380174</v>
      </c>
      <c r="D306" s="191">
        <v>-2.5313237250711116</v>
      </c>
    </row>
    <row r="307" spans="1:4" ht="27.75" customHeight="1" x14ac:dyDescent="0.2">
      <c r="A307" s="190" t="s">
        <v>1390</v>
      </c>
      <c r="B307" s="190" t="s">
        <v>2074</v>
      </c>
      <c r="C307" s="191">
        <v>0.35449374040811432</v>
      </c>
      <c r="D307" s="191">
        <v>-5.3307922293385479</v>
      </c>
    </row>
    <row r="308" spans="1:4" ht="27.75" customHeight="1" x14ac:dyDescent="0.2">
      <c r="A308" s="190" t="s">
        <v>1391</v>
      </c>
      <c r="B308" s="190" t="s">
        <v>2075</v>
      </c>
      <c r="C308" s="191">
        <v>3.51171608129017</v>
      </c>
      <c r="D308" s="191">
        <v>1.2033747343369141</v>
      </c>
    </row>
    <row r="309" spans="1:4" ht="27.75" customHeight="1" x14ac:dyDescent="0.2">
      <c r="A309" s="190" t="s">
        <v>1392</v>
      </c>
      <c r="B309" s="190" t="s">
        <v>2076</v>
      </c>
      <c r="C309" s="191">
        <v>6.8964408530755019E-4</v>
      </c>
      <c r="D309" s="191">
        <v>0.19155119636730175</v>
      </c>
    </row>
    <row r="310" spans="1:4" ht="27.75" customHeight="1" x14ac:dyDescent="0.2">
      <c r="A310" s="190" t="s">
        <v>1393</v>
      </c>
      <c r="B310" s="190" t="s">
        <v>2077</v>
      </c>
      <c r="C310" s="191">
        <v>3.4150027951907802</v>
      </c>
      <c r="D310" s="191">
        <v>8.1268168982330664</v>
      </c>
    </row>
    <row r="311" spans="1:4" ht="27.75" customHeight="1" x14ac:dyDescent="0.2">
      <c r="A311" s="190" t="s">
        <v>1394</v>
      </c>
      <c r="B311" s="190" t="s">
        <v>2078</v>
      </c>
      <c r="C311" s="191">
        <v>1.6568440926752879</v>
      </c>
      <c r="D311" s="191">
        <v>-0.35445764591918638</v>
      </c>
    </row>
    <row r="312" spans="1:4" ht="27.75" customHeight="1" x14ac:dyDescent="0.2">
      <c r="A312" s="190" t="s">
        <v>1395</v>
      </c>
      <c r="B312" s="190" t="s">
        <v>2078</v>
      </c>
      <c r="C312" s="191">
        <v>0.99323110997145114</v>
      </c>
      <c r="D312" s="191">
        <v>1.4537547549976484</v>
      </c>
    </row>
    <row r="313" spans="1:4" ht="27.75" customHeight="1" x14ac:dyDescent="0.2">
      <c r="A313" s="190" t="s">
        <v>1397</v>
      </c>
      <c r="B313" s="190" t="s">
        <v>2080</v>
      </c>
      <c r="C313" s="191">
        <v>0.47458844394662836</v>
      </c>
      <c r="D313" s="191">
        <v>2.7983229197923709</v>
      </c>
    </row>
    <row r="314" spans="1:4" ht="27.75" customHeight="1" x14ac:dyDescent="0.2">
      <c r="A314" s="190" t="s">
        <v>1398</v>
      </c>
      <c r="B314" s="190" t="s">
        <v>2081</v>
      </c>
      <c r="C314" s="191">
        <v>-6.4144137957507064E-2</v>
      </c>
      <c r="D314" s="191">
        <v>0.91278118468849556</v>
      </c>
    </row>
    <row r="315" spans="1:4" ht="27.75" customHeight="1" x14ac:dyDescent="0.2">
      <c r="A315" s="190" t="s">
        <v>1400</v>
      </c>
      <c r="B315" s="190" t="s">
        <v>2083</v>
      </c>
      <c r="C315" s="191">
        <v>4.1943593447173901</v>
      </c>
      <c r="D315" s="191">
        <v>1.1251035567837064</v>
      </c>
    </row>
    <row r="316" spans="1:4" ht="27.75" customHeight="1" x14ac:dyDescent="0.2">
      <c r="A316" s="190" t="s">
        <v>1401</v>
      </c>
      <c r="B316" s="190" t="s">
        <v>2084</v>
      </c>
      <c r="C316" s="191">
        <v>-1.1721299972127068</v>
      </c>
      <c r="D316" s="191">
        <v>-1.9501514591576339</v>
      </c>
    </row>
    <row r="317" spans="1:4" ht="27.75" customHeight="1" x14ac:dyDescent="0.2">
      <c r="A317" s="190" t="s">
        <v>1402</v>
      </c>
      <c r="B317" s="190" t="s">
        <v>2085</v>
      </c>
      <c r="C317" s="191">
        <v>0.64882910796775906</v>
      </c>
      <c r="D317" s="191">
        <v>-1.9737985593099978</v>
      </c>
    </row>
    <row r="318" spans="1:4" ht="27.75" customHeight="1" x14ac:dyDescent="0.2">
      <c r="A318" s="190" t="s">
        <v>1403</v>
      </c>
      <c r="B318" s="190" t="s">
        <v>2086</v>
      </c>
      <c r="C318" s="191">
        <v>0</v>
      </c>
      <c r="D318" s="191">
        <v>12.832711414880814</v>
      </c>
    </row>
    <row r="319" spans="1:4" ht="27.75" customHeight="1" x14ac:dyDescent="0.2">
      <c r="A319" s="190" t="s">
        <v>1404</v>
      </c>
      <c r="B319" s="190" t="s">
        <v>2087</v>
      </c>
      <c r="C319" s="191">
        <v>0.9414448769712952</v>
      </c>
      <c r="D319" s="191">
        <v>4.606785821598776</v>
      </c>
    </row>
    <row r="320" spans="1:4" ht="27.75" customHeight="1" x14ac:dyDescent="0.2">
      <c r="A320" s="190" t="s">
        <v>1405</v>
      </c>
      <c r="B320" s="190" t="s">
        <v>2088</v>
      </c>
      <c r="C320" s="191">
        <v>2.4056395409786666</v>
      </c>
      <c r="D320" s="191">
        <v>15.607121336287458</v>
      </c>
    </row>
    <row r="321" spans="1:4" ht="27.75" customHeight="1" x14ac:dyDescent="0.2">
      <c r="A321" s="190" t="s">
        <v>1406</v>
      </c>
      <c r="B321" s="190" t="s">
        <v>2089</v>
      </c>
      <c r="C321" s="191">
        <v>0</v>
      </c>
      <c r="D321" s="191">
        <v>0</v>
      </c>
    </row>
    <row r="322" spans="1:4" ht="27.75" customHeight="1" x14ac:dyDescent="0.2">
      <c r="A322" s="190" t="s">
        <v>1407</v>
      </c>
      <c r="B322" s="190" t="s">
        <v>2090</v>
      </c>
      <c r="C322" s="191">
        <v>-0.15981669589519315</v>
      </c>
      <c r="D322" s="191">
        <v>4.5160098229118617</v>
      </c>
    </row>
    <row r="323" spans="1:4" ht="27.75" customHeight="1" x14ac:dyDescent="0.2">
      <c r="A323" s="190" t="s">
        <v>1408</v>
      </c>
      <c r="B323" s="190" t="s">
        <v>2091</v>
      </c>
      <c r="C323" s="191">
        <v>1.4918915472759771</v>
      </c>
      <c r="D323" s="191">
        <v>6.4991797597984418</v>
      </c>
    </row>
    <row r="324" spans="1:4" ht="27.75" customHeight="1" x14ac:dyDescent="0.2">
      <c r="A324" s="190" t="s">
        <v>1409</v>
      </c>
      <c r="B324" s="190" t="s">
        <v>2092</v>
      </c>
      <c r="C324" s="191">
        <v>0</v>
      </c>
      <c r="D324" s="191">
        <v>0</v>
      </c>
    </row>
    <row r="325" spans="1:4" ht="27.75" customHeight="1" x14ac:dyDescent="0.2">
      <c r="A325" s="190" t="s">
        <v>2457</v>
      </c>
      <c r="B325" s="190" t="s">
        <v>2488</v>
      </c>
      <c r="C325" s="191">
        <v>-5.7176913818579325E-2</v>
      </c>
      <c r="D325" s="191">
        <v>5.4949907064635949E-2</v>
      </c>
    </row>
    <row r="326" spans="1:4" ht="27.75" customHeight="1" x14ac:dyDescent="0.2">
      <c r="A326" s="190" t="s">
        <v>1411</v>
      </c>
      <c r="B326" s="190" t="s">
        <v>2093</v>
      </c>
      <c r="C326" s="191">
        <v>4.3399609942342807E-2</v>
      </c>
      <c r="D326" s="191">
        <v>-6.314696667821762E-2</v>
      </c>
    </row>
    <row r="327" spans="1:4" ht="27.75" customHeight="1" x14ac:dyDescent="0.2">
      <c r="A327" s="190" t="s">
        <v>1412</v>
      </c>
      <c r="B327" s="190" t="s">
        <v>2094</v>
      </c>
      <c r="C327" s="191">
        <v>0.54085828456873464</v>
      </c>
      <c r="D327" s="191">
        <v>18.524349037638608</v>
      </c>
    </row>
    <row r="328" spans="1:4" ht="27.75" customHeight="1" x14ac:dyDescent="0.2">
      <c r="A328" s="190" t="s">
        <v>1413</v>
      </c>
      <c r="B328" s="190" t="s">
        <v>2095</v>
      </c>
      <c r="C328" s="191">
        <v>1.9412535879171293</v>
      </c>
      <c r="D328" s="191">
        <v>9.3008049211426655</v>
      </c>
    </row>
    <row r="329" spans="1:4" ht="27.75" customHeight="1" x14ac:dyDescent="0.2">
      <c r="A329" s="190" t="s">
        <v>1414</v>
      </c>
      <c r="B329" s="190" t="s">
        <v>2096</v>
      </c>
      <c r="C329" s="191">
        <v>0.58019001700585504</v>
      </c>
      <c r="D329" s="191">
        <v>3.1700795281153669</v>
      </c>
    </row>
    <row r="330" spans="1:4" ht="27.75" customHeight="1" x14ac:dyDescent="0.2">
      <c r="A330" s="190" t="s">
        <v>1415</v>
      </c>
      <c r="B330" s="190" t="s">
        <v>2097</v>
      </c>
      <c r="C330" s="191">
        <v>1.060066713531979</v>
      </c>
      <c r="D330" s="191">
        <v>42.866350291056293</v>
      </c>
    </row>
    <row r="331" spans="1:4" ht="27.75" customHeight="1" x14ac:dyDescent="0.2">
      <c r="A331" s="190" t="s">
        <v>1416</v>
      </c>
      <c r="B331" s="190" t="s">
        <v>2098</v>
      </c>
      <c r="C331" s="191">
        <v>-2.6810137998809498E-2</v>
      </c>
      <c r="D331" s="191">
        <v>-0.22327859887917678</v>
      </c>
    </row>
    <row r="332" spans="1:4" ht="27.75" customHeight="1" x14ac:dyDescent="0.2">
      <c r="A332" s="190" t="s">
        <v>1417</v>
      </c>
      <c r="B332" s="190" t="s">
        <v>2099</v>
      </c>
      <c r="C332" s="191">
        <v>7.8394351737087198E-2</v>
      </c>
      <c r="D332" s="191">
        <v>3.0054354461109871</v>
      </c>
    </row>
    <row r="333" spans="1:4" ht="27.75" customHeight="1" x14ac:dyDescent="0.2">
      <c r="A333" s="190" t="s">
        <v>1418</v>
      </c>
      <c r="B333" s="190" t="s">
        <v>2100</v>
      </c>
      <c r="C333" s="191">
        <v>2.0480733076427202</v>
      </c>
      <c r="D333" s="191">
        <v>-0.59664414366264729</v>
      </c>
    </row>
    <row r="334" spans="1:4" ht="27.75" customHeight="1" x14ac:dyDescent="0.2">
      <c r="A334" s="190" t="s">
        <v>1419</v>
      </c>
      <c r="B334" s="190" t="s">
        <v>2101</v>
      </c>
      <c r="C334" s="191">
        <v>0</v>
      </c>
      <c r="D334" s="191">
        <v>2.0142568711199087</v>
      </c>
    </row>
    <row r="335" spans="1:4" ht="27.75" customHeight="1" x14ac:dyDescent="0.2">
      <c r="A335" s="190" t="s">
        <v>1420</v>
      </c>
      <c r="B335" s="190" t="s">
        <v>2102</v>
      </c>
      <c r="C335" s="191">
        <v>0.35612294288857627</v>
      </c>
      <c r="D335" s="191">
        <v>0.11099907093711392</v>
      </c>
    </row>
    <row r="336" spans="1:4" ht="27.75" customHeight="1" x14ac:dyDescent="0.2">
      <c r="A336" s="190" t="s">
        <v>1421</v>
      </c>
      <c r="B336" s="190" t="s">
        <v>2103</v>
      </c>
      <c r="C336" s="191">
        <v>-0.23693360639650513</v>
      </c>
      <c r="D336" s="191">
        <v>0.46984352040847921</v>
      </c>
    </row>
    <row r="337" spans="1:4" ht="27.75" customHeight="1" x14ac:dyDescent="0.2">
      <c r="A337" s="190" t="s">
        <v>1423</v>
      </c>
      <c r="B337" s="190" t="s">
        <v>2104</v>
      </c>
      <c r="C337" s="191">
        <v>0.94140618229370976</v>
      </c>
      <c r="D337" s="191">
        <v>16.360040268035526</v>
      </c>
    </row>
    <row r="338" spans="1:4" ht="27.75" customHeight="1" x14ac:dyDescent="0.2">
      <c r="A338" s="190" t="s">
        <v>1424</v>
      </c>
      <c r="B338" s="190" t="s">
        <v>2105</v>
      </c>
      <c r="C338" s="191">
        <v>1.0733445834024169E-2</v>
      </c>
      <c r="D338" s="191">
        <v>0.15289328715284867</v>
      </c>
    </row>
    <row r="339" spans="1:4" ht="27.75" customHeight="1" x14ac:dyDescent="0.2">
      <c r="A339" s="190" t="s">
        <v>1425</v>
      </c>
      <c r="B339" s="190" t="s">
        <v>2106</v>
      </c>
      <c r="C339" s="191">
        <v>-0.43147382723716643</v>
      </c>
      <c r="D339" s="191">
        <v>16.273761777395887</v>
      </c>
    </row>
    <row r="340" spans="1:4" ht="27.75" customHeight="1" x14ac:dyDescent="0.2">
      <c r="A340" s="190" t="s">
        <v>1426</v>
      </c>
      <c r="B340" s="190" t="s">
        <v>2107</v>
      </c>
      <c r="C340" s="191">
        <v>0</v>
      </c>
      <c r="D340" s="191">
        <v>6.1556129202887791E-2</v>
      </c>
    </row>
    <row r="341" spans="1:4" ht="27.75" customHeight="1" x14ac:dyDescent="0.2">
      <c r="A341" s="190" t="s">
        <v>1427</v>
      </c>
      <c r="B341" s="190" t="s">
        <v>2107</v>
      </c>
      <c r="C341" s="191">
        <v>0.41042883671546199</v>
      </c>
      <c r="D341" s="191">
        <v>4.13059232524009E-2</v>
      </c>
    </row>
    <row r="342" spans="1:4" ht="27.75" customHeight="1" x14ac:dyDescent="0.2">
      <c r="A342" s="190" t="s">
        <v>1428</v>
      </c>
      <c r="B342" s="190" t="s">
        <v>2107</v>
      </c>
      <c r="C342" s="191">
        <v>3.00387251907744</v>
      </c>
      <c r="D342" s="191">
        <v>4.1961460692623742E-2</v>
      </c>
    </row>
    <row r="343" spans="1:4" ht="27.75" customHeight="1" x14ac:dyDescent="0.2">
      <c r="A343" s="190" t="s">
        <v>1429</v>
      </c>
      <c r="B343" s="190" t="s">
        <v>2108</v>
      </c>
      <c r="C343" s="191">
        <v>3.7193566201399034E-2</v>
      </c>
      <c r="D343" s="191">
        <v>0</v>
      </c>
    </row>
    <row r="344" spans="1:4" ht="27.75" customHeight="1" x14ac:dyDescent="0.2">
      <c r="A344" s="190" t="s">
        <v>1430</v>
      </c>
      <c r="B344" s="190" t="s">
        <v>2108</v>
      </c>
      <c r="C344" s="191">
        <v>3.7193566201399034E-2</v>
      </c>
      <c r="D344" s="191">
        <v>0</v>
      </c>
    </row>
    <row r="345" spans="1:4" ht="27.75" customHeight="1" x14ac:dyDescent="0.2">
      <c r="A345" s="190" t="s">
        <v>1431</v>
      </c>
      <c r="B345" s="190" t="s">
        <v>2109</v>
      </c>
      <c r="C345" s="191">
        <v>1.0556758534482371</v>
      </c>
      <c r="D345" s="191">
        <v>13.042700246348085</v>
      </c>
    </row>
    <row r="346" spans="1:4" ht="27.75" customHeight="1" x14ac:dyDescent="0.2">
      <c r="A346" s="190" t="s">
        <v>1432</v>
      </c>
      <c r="B346" s="190" t="s">
        <v>2110</v>
      </c>
      <c r="C346" s="191">
        <v>10.102214448751678</v>
      </c>
      <c r="D346" s="191">
        <v>6.9858756694630486E-2</v>
      </c>
    </row>
    <row r="347" spans="1:4" ht="27.75" customHeight="1" x14ac:dyDescent="0.2">
      <c r="A347" s="190" t="s">
        <v>1433</v>
      </c>
      <c r="B347" s="190" t="s">
        <v>2111</v>
      </c>
      <c r="C347" s="191">
        <v>3.0509497900131506</v>
      </c>
      <c r="D347" s="191">
        <v>0.71475750452738529</v>
      </c>
    </row>
    <row r="348" spans="1:4" ht="27.75" customHeight="1" x14ac:dyDescent="0.2">
      <c r="A348" s="190" t="s">
        <v>1434</v>
      </c>
      <c r="B348" s="190" t="s">
        <v>2112</v>
      </c>
      <c r="C348" s="191">
        <v>0.26404468498725198</v>
      </c>
      <c r="D348" s="191">
        <v>0.24841953097310576</v>
      </c>
    </row>
    <row r="349" spans="1:4" ht="27.75" customHeight="1" x14ac:dyDescent="0.2">
      <c r="A349" s="190" t="s">
        <v>1435</v>
      </c>
      <c r="B349" s="190" t="s">
        <v>2113</v>
      </c>
      <c r="C349" s="191">
        <v>1.2600221957653801</v>
      </c>
      <c r="D349" s="191">
        <v>3.5850923036294882</v>
      </c>
    </row>
    <row r="350" spans="1:4" ht="27.75" customHeight="1" x14ac:dyDescent="0.2">
      <c r="A350" s="190" t="s">
        <v>1436</v>
      </c>
      <c r="B350" s="190" t="s">
        <v>2114</v>
      </c>
      <c r="C350" s="191">
        <v>0.41777749095042416</v>
      </c>
      <c r="D350" s="191">
        <v>13.714081110445164</v>
      </c>
    </row>
    <row r="351" spans="1:4" ht="27.75" customHeight="1" x14ac:dyDescent="0.2">
      <c r="A351" s="190" t="s">
        <v>1438</v>
      </c>
      <c r="B351" s="190" t="s">
        <v>2116</v>
      </c>
      <c r="C351" s="191">
        <v>0.110289419508265</v>
      </c>
      <c r="D351" s="191">
        <v>-8.2397292230878216E-2</v>
      </c>
    </row>
    <row r="352" spans="1:4" ht="27.75" customHeight="1" x14ac:dyDescent="0.2">
      <c r="A352" s="190" t="s">
        <v>1439</v>
      </c>
      <c r="B352" s="190" t="s">
        <v>2117</v>
      </c>
      <c r="C352" s="191">
        <v>1.1543945865583058</v>
      </c>
      <c r="D352" s="191">
        <v>4.6356574244866975</v>
      </c>
    </row>
    <row r="353" spans="1:4" ht="27.75" customHeight="1" x14ac:dyDescent="0.2">
      <c r="A353" s="190" t="s">
        <v>1440</v>
      </c>
      <c r="B353" s="190" t="s">
        <v>2118</v>
      </c>
      <c r="C353" s="191">
        <v>0.35000905812300298</v>
      </c>
      <c r="D353" s="191">
        <v>0.55651881562021532</v>
      </c>
    </row>
    <row r="354" spans="1:4" ht="27.75" customHeight="1" x14ac:dyDescent="0.2">
      <c r="A354" s="190" t="s">
        <v>1441</v>
      </c>
      <c r="B354" s="190" t="s">
        <v>2119</v>
      </c>
      <c r="C354" s="191">
        <v>0.26148824635825096</v>
      </c>
      <c r="D354" s="191">
        <v>6.5900527144552923</v>
      </c>
    </row>
    <row r="355" spans="1:4" ht="27.75" customHeight="1" x14ac:dyDescent="0.2">
      <c r="A355" s="190" t="s">
        <v>1442</v>
      </c>
      <c r="B355" s="190" t="s">
        <v>2120</v>
      </c>
      <c r="C355" s="191">
        <v>0.69419068803760953</v>
      </c>
      <c r="D355" s="191">
        <v>5.9176798144369771</v>
      </c>
    </row>
    <row r="356" spans="1:4" ht="27.75" customHeight="1" x14ac:dyDescent="0.2">
      <c r="A356" s="190" t="s">
        <v>1443</v>
      </c>
      <c r="B356" s="190" t="s">
        <v>2121</v>
      </c>
      <c r="C356" s="191">
        <v>-0.10499535421537373</v>
      </c>
      <c r="D356" s="191">
        <v>0.49498337194488928</v>
      </c>
    </row>
    <row r="357" spans="1:4" ht="27.75" customHeight="1" x14ac:dyDescent="0.2">
      <c r="A357" s="190" t="s">
        <v>1445</v>
      </c>
      <c r="B357" s="190" t="s">
        <v>2122</v>
      </c>
      <c r="C357" s="191">
        <v>1.1264605409875934</v>
      </c>
      <c r="D357" s="191">
        <v>2.4669440842946138</v>
      </c>
    </row>
    <row r="358" spans="1:4" ht="27.75" customHeight="1" x14ac:dyDescent="0.2">
      <c r="A358" s="190" t="s">
        <v>1446</v>
      </c>
      <c r="B358" s="190" t="s">
        <v>2123</v>
      </c>
      <c r="C358" s="191">
        <v>0.51657981203189396</v>
      </c>
      <c r="D358" s="191">
        <v>-0.77543959628272008</v>
      </c>
    </row>
    <row r="359" spans="1:4" ht="27.75" customHeight="1" x14ac:dyDescent="0.2">
      <c r="A359" s="190" t="s">
        <v>1447</v>
      </c>
      <c r="B359" s="190" t="s">
        <v>2124</v>
      </c>
      <c r="C359" s="191">
        <v>0.57570426504900052</v>
      </c>
      <c r="D359" s="191">
        <v>-2.0010335029141402E-3</v>
      </c>
    </row>
    <row r="360" spans="1:4" ht="27.75" customHeight="1" x14ac:dyDescent="0.2">
      <c r="A360" s="190" t="s">
        <v>1449</v>
      </c>
      <c r="B360" s="190" t="s">
        <v>2126</v>
      </c>
      <c r="C360" s="191">
        <v>1.561699148739554</v>
      </c>
      <c r="D360" s="191">
        <v>4.7880927285363137</v>
      </c>
    </row>
    <row r="361" spans="1:4" ht="27.75" customHeight="1" x14ac:dyDescent="0.2">
      <c r="A361" s="190" t="s">
        <v>1450</v>
      </c>
      <c r="B361" s="190" t="s">
        <v>2127</v>
      </c>
      <c r="C361" s="191">
        <v>0.93331206203369599</v>
      </c>
      <c r="D361" s="191">
        <v>8.7968334388084966</v>
      </c>
    </row>
    <row r="362" spans="1:4" ht="27.75" customHeight="1" x14ac:dyDescent="0.2">
      <c r="A362" s="190" t="s">
        <v>1451</v>
      </c>
      <c r="B362" s="190" t="s">
        <v>2128</v>
      </c>
      <c r="C362" s="191">
        <v>0.13152553541012499</v>
      </c>
      <c r="D362" s="191">
        <v>3.1950904941818719</v>
      </c>
    </row>
    <row r="363" spans="1:4" ht="27.75" customHeight="1" x14ac:dyDescent="0.2">
      <c r="A363" s="190" t="s">
        <v>2458</v>
      </c>
      <c r="B363" s="190" t="s">
        <v>2489</v>
      </c>
      <c r="C363" s="191">
        <v>7.5229935377251006E-2</v>
      </c>
      <c r="D363" s="191">
        <v>1.7485570908340029</v>
      </c>
    </row>
    <row r="364" spans="1:4" ht="27.75" customHeight="1" x14ac:dyDescent="0.2">
      <c r="A364" s="190" t="s">
        <v>1452</v>
      </c>
      <c r="B364" s="190" t="s">
        <v>2129</v>
      </c>
      <c r="C364" s="191">
        <v>0</v>
      </c>
      <c r="D364" s="191">
        <v>2.8358563980551099</v>
      </c>
    </row>
    <row r="365" spans="1:4" ht="27.75" customHeight="1" x14ac:dyDescent="0.2">
      <c r="A365" s="190" t="s">
        <v>1453</v>
      </c>
      <c r="B365" s="190" t="s">
        <v>2130</v>
      </c>
      <c r="C365" s="191">
        <v>5.3979338342484598E-2</v>
      </c>
      <c r="D365" s="191">
        <v>-0.30110912716192667</v>
      </c>
    </row>
    <row r="366" spans="1:4" ht="27.75" customHeight="1" x14ac:dyDescent="0.2">
      <c r="A366" s="190" t="s">
        <v>1455</v>
      </c>
      <c r="B366" s="190" t="s">
        <v>2132</v>
      </c>
      <c r="C366" s="191">
        <v>0.46225067530827496</v>
      </c>
      <c r="D366" s="191">
        <v>13.493615956384362</v>
      </c>
    </row>
    <row r="367" spans="1:4" ht="27.75" customHeight="1" x14ac:dyDescent="0.2">
      <c r="A367" s="190" t="s">
        <v>1456</v>
      </c>
      <c r="B367" s="190" t="s">
        <v>2133</v>
      </c>
      <c r="C367" s="191">
        <v>2.3293015729234599</v>
      </c>
      <c r="D367" s="191">
        <v>11.506276700357954</v>
      </c>
    </row>
    <row r="368" spans="1:4" ht="27.75" customHeight="1" x14ac:dyDescent="0.2">
      <c r="A368" s="190" t="s">
        <v>2459</v>
      </c>
      <c r="B368" s="190" t="s">
        <v>2490</v>
      </c>
      <c r="C368" s="191">
        <v>-22.937797954069822</v>
      </c>
      <c r="D368" s="191">
        <v>1.5466320229009867</v>
      </c>
    </row>
    <row r="369" spans="1:4" ht="27.75" customHeight="1" x14ac:dyDescent="0.2">
      <c r="A369" s="190" t="s">
        <v>1457</v>
      </c>
      <c r="B369" s="190" t="s">
        <v>2134</v>
      </c>
      <c r="C369" s="191">
        <v>0.23942668048979099</v>
      </c>
      <c r="D369" s="191">
        <v>2.1360644816180065</v>
      </c>
    </row>
    <row r="370" spans="1:4" ht="27.75" customHeight="1" x14ac:dyDescent="0.2">
      <c r="A370" s="190" t="s">
        <v>1458</v>
      </c>
      <c r="B370" s="190" t="s">
        <v>2135</v>
      </c>
      <c r="C370" s="191">
        <v>0.33288256073699818</v>
      </c>
      <c r="D370" s="191">
        <v>0.49282716593811127</v>
      </c>
    </row>
    <row r="371" spans="1:4" ht="27.75" customHeight="1" x14ac:dyDescent="0.2">
      <c r="A371" s="190" t="s">
        <v>1459</v>
      </c>
      <c r="B371" s="190" t="s">
        <v>2135</v>
      </c>
      <c r="C371" s="191">
        <v>0.79366042830288897</v>
      </c>
      <c r="D371" s="191">
        <v>0.62052030480216636</v>
      </c>
    </row>
    <row r="372" spans="1:4" ht="27.75" customHeight="1" x14ac:dyDescent="0.2">
      <c r="A372" s="190" t="s">
        <v>1460</v>
      </c>
      <c r="B372" s="190" t="s">
        <v>2136</v>
      </c>
      <c r="C372" s="191">
        <v>0.75915040760505803</v>
      </c>
      <c r="D372" s="191">
        <v>1.1560429619965817</v>
      </c>
    </row>
    <row r="373" spans="1:4" ht="27.75" customHeight="1" x14ac:dyDescent="0.2">
      <c r="A373" s="190" t="s">
        <v>1461</v>
      </c>
      <c r="B373" s="190" t="s">
        <v>2137</v>
      </c>
      <c r="C373" s="191">
        <v>0</v>
      </c>
      <c r="D373" s="191">
        <v>0.46803161073776384</v>
      </c>
    </row>
    <row r="374" spans="1:4" ht="27.75" customHeight="1" x14ac:dyDescent="0.2">
      <c r="A374" s="190" t="s">
        <v>1462</v>
      </c>
      <c r="B374" s="190" t="s">
        <v>2138</v>
      </c>
      <c r="C374" s="191">
        <v>2.7121624583862198</v>
      </c>
      <c r="D374" s="191">
        <v>18.197250886676141</v>
      </c>
    </row>
    <row r="375" spans="1:4" ht="27.75" customHeight="1" x14ac:dyDescent="0.2">
      <c r="A375" s="190" t="s">
        <v>1463</v>
      </c>
      <c r="B375" s="190" t="s">
        <v>2139</v>
      </c>
      <c r="C375" s="191">
        <v>1.6560161573752026</v>
      </c>
      <c r="D375" s="191">
        <v>-0.34710031541945718</v>
      </c>
    </row>
    <row r="376" spans="1:4" ht="27.75" customHeight="1" x14ac:dyDescent="0.2">
      <c r="A376" s="190" t="s">
        <v>1464</v>
      </c>
      <c r="B376" s="190" t="s">
        <v>2139</v>
      </c>
      <c r="C376" s="191">
        <v>1.6696990017823372</v>
      </c>
      <c r="D376" s="191">
        <v>-0.34987889942020467</v>
      </c>
    </row>
    <row r="377" spans="1:4" ht="27.75" customHeight="1" x14ac:dyDescent="0.2">
      <c r="A377" s="190" t="s">
        <v>1465</v>
      </c>
      <c r="B377" s="190" t="s">
        <v>2140</v>
      </c>
      <c r="C377" s="191">
        <v>0.7381756180211424</v>
      </c>
      <c r="D377" s="191">
        <v>10.586652033979769</v>
      </c>
    </row>
    <row r="378" spans="1:4" ht="27.75" customHeight="1" x14ac:dyDescent="0.2">
      <c r="A378" s="190" t="s">
        <v>1466</v>
      </c>
      <c r="B378" s="190" t="s">
        <v>2141</v>
      </c>
      <c r="C378" s="191">
        <v>0.28640561043946672</v>
      </c>
      <c r="D378" s="191">
        <v>5.3370768390022034</v>
      </c>
    </row>
    <row r="379" spans="1:4" ht="27.75" customHeight="1" x14ac:dyDescent="0.2">
      <c r="A379" s="190" t="s">
        <v>1467</v>
      </c>
      <c r="B379" s="190" t="s">
        <v>2142</v>
      </c>
      <c r="C379" s="191">
        <v>1.900812007649894</v>
      </c>
      <c r="D379" s="191">
        <v>-0.55174214797905252</v>
      </c>
    </row>
    <row r="380" spans="1:4" ht="27.75" customHeight="1" x14ac:dyDescent="0.2">
      <c r="A380" s="190" t="s">
        <v>1468</v>
      </c>
      <c r="B380" s="190" t="s">
        <v>2143</v>
      </c>
      <c r="C380" s="191">
        <v>0.2053012187843862</v>
      </c>
      <c r="D380" s="191">
        <v>2.4284459612919074</v>
      </c>
    </row>
    <row r="381" spans="1:4" ht="27.75" customHeight="1" x14ac:dyDescent="0.2">
      <c r="A381" s="190" t="s">
        <v>1469</v>
      </c>
      <c r="B381" s="190" t="s">
        <v>2144</v>
      </c>
      <c r="C381" s="191">
        <v>1.991045088867069</v>
      </c>
      <c r="D381" s="191">
        <v>7.1738406925794296</v>
      </c>
    </row>
    <row r="382" spans="1:4" ht="27.75" customHeight="1" x14ac:dyDescent="0.2">
      <c r="A382" s="190" t="s">
        <v>1470</v>
      </c>
      <c r="B382" s="190" t="s">
        <v>2145</v>
      </c>
      <c r="C382" s="191">
        <v>1.5906806912025964</v>
      </c>
      <c r="D382" s="191">
        <v>10.291454125850921</v>
      </c>
    </row>
    <row r="383" spans="1:4" ht="27.75" customHeight="1" x14ac:dyDescent="0.2">
      <c r="A383" s="190" t="s">
        <v>1471</v>
      </c>
      <c r="B383" s="190" t="s">
        <v>2146</v>
      </c>
      <c r="C383" s="191">
        <v>0</v>
      </c>
      <c r="D383" s="191">
        <v>0</v>
      </c>
    </row>
    <row r="384" spans="1:4" ht="27.75" customHeight="1" x14ac:dyDescent="0.2">
      <c r="A384" s="190" t="s">
        <v>1472</v>
      </c>
      <c r="B384" s="190" t="s">
        <v>2147</v>
      </c>
      <c r="C384" s="191">
        <v>0</v>
      </c>
      <c r="D384" s="191">
        <v>2.5233493024770159</v>
      </c>
    </row>
    <row r="385" spans="1:4" ht="27.75" customHeight="1" x14ac:dyDescent="0.2">
      <c r="A385" s="190" t="s">
        <v>1473</v>
      </c>
      <c r="B385" s="190" t="s">
        <v>2148</v>
      </c>
      <c r="C385" s="191">
        <v>3.194637922760156</v>
      </c>
      <c r="D385" s="191">
        <v>4.8126656778218901</v>
      </c>
    </row>
    <row r="386" spans="1:4" ht="27.75" customHeight="1" x14ac:dyDescent="0.2">
      <c r="A386" s="190" t="s">
        <v>1474</v>
      </c>
      <c r="B386" s="190" t="s">
        <v>2149</v>
      </c>
      <c r="C386" s="191">
        <v>3.0121821281403198</v>
      </c>
      <c r="D386" s="191">
        <v>0.40028164954718148</v>
      </c>
    </row>
    <row r="387" spans="1:4" ht="27.75" customHeight="1" x14ac:dyDescent="0.2">
      <c r="A387" s="190" t="s">
        <v>1475</v>
      </c>
      <c r="B387" s="190" t="s">
        <v>2150</v>
      </c>
      <c r="C387" s="191">
        <v>1.6217217718658448</v>
      </c>
      <c r="D387" s="191">
        <v>19.561305834470044</v>
      </c>
    </row>
    <row r="388" spans="1:4" ht="27.75" customHeight="1" x14ac:dyDescent="0.2">
      <c r="A388" s="190" t="s">
        <v>1476</v>
      </c>
      <c r="B388" s="190" t="s">
        <v>2151</v>
      </c>
      <c r="C388" s="191">
        <v>0.65753777294284621</v>
      </c>
      <c r="D388" s="191">
        <v>3.292260182482202</v>
      </c>
    </row>
    <row r="389" spans="1:4" ht="27.75" customHeight="1" x14ac:dyDescent="0.2">
      <c r="A389" s="190" t="s">
        <v>1477</v>
      </c>
      <c r="B389" s="190" t="s">
        <v>2152</v>
      </c>
      <c r="C389" s="191">
        <v>0.2261803527656053</v>
      </c>
      <c r="D389" s="191">
        <v>6.6592376979620366E-2</v>
      </c>
    </row>
    <row r="390" spans="1:4" ht="27.75" customHeight="1" x14ac:dyDescent="0.2">
      <c r="A390" s="190" t="s">
        <v>1478</v>
      </c>
      <c r="B390" s="190" t="s">
        <v>2153</v>
      </c>
      <c r="C390" s="191">
        <v>0.51923709967953102</v>
      </c>
      <c r="D390" s="191">
        <v>14.673869310886483</v>
      </c>
    </row>
    <row r="391" spans="1:4" ht="27.75" customHeight="1" x14ac:dyDescent="0.2">
      <c r="A391" s="190" t="s">
        <v>1479</v>
      </c>
      <c r="B391" s="190" t="s">
        <v>2154</v>
      </c>
      <c r="C391" s="191">
        <v>3.150257243820981</v>
      </c>
      <c r="D391" s="191">
        <v>-0.50037867174132344</v>
      </c>
    </row>
    <row r="392" spans="1:4" ht="27.75" customHeight="1" x14ac:dyDescent="0.2">
      <c r="A392" s="190" t="s">
        <v>1480</v>
      </c>
      <c r="B392" s="190" t="s">
        <v>2155</v>
      </c>
      <c r="C392" s="191">
        <v>3.0386145424551998</v>
      </c>
      <c r="D392" s="191">
        <v>4.0562637014575174</v>
      </c>
    </row>
    <row r="393" spans="1:4" ht="27.75" customHeight="1" x14ac:dyDescent="0.2">
      <c r="A393" s="190" t="s">
        <v>1481</v>
      </c>
      <c r="B393" s="190" t="s">
        <v>2156</v>
      </c>
      <c r="C393" s="191">
        <v>1.2927606513935139</v>
      </c>
      <c r="D393" s="191">
        <v>6.5269210568407559</v>
      </c>
    </row>
    <row r="394" spans="1:4" ht="27.75" customHeight="1" x14ac:dyDescent="0.2">
      <c r="A394" s="190" t="s">
        <v>1482</v>
      </c>
      <c r="B394" s="190" t="s">
        <v>2157</v>
      </c>
      <c r="C394" s="191">
        <v>0.75060215460778656</v>
      </c>
      <c r="D394" s="191">
        <v>2.6433465865728367E-3</v>
      </c>
    </row>
    <row r="395" spans="1:4" ht="27.75" customHeight="1" x14ac:dyDescent="0.2">
      <c r="A395" s="190" t="s">
        <v>1483</v>
      </c>
      <c r="B395" s="190" t="s">
        <v>2158</v>
      </c>
      <c r="C395" s="191">
        <v>0.53901793551003974</v>
      </c>
      <c r="D395" s="191">
        <v>1.279918715426174</v>
      </c>
    </row>
    <row r="396" spans="1:4" ht="27.75" customHeight="1" x14ac:dyDescent="0.2">
      <c r="A396" s="190" t="s">
        <v>1486</v>
      </c>
      <c r="B396" s="190" t="s">
        <v>2161</v>
      </c>
      <c r="C396" s="191">
        <v>3.0165333869757931</v>
      </c>
      <c r="D396" s="191">
        <v>6.2152918666836747</v>
      </c>
    </row>
    <row r="397" spans="1:4" ht="27.75" customHeight="1" x14ac:dyDescent="0.2">
      <c r="A397" s="190" t="s">
        <v>1487</v>
      </c>
      <c r="B397" s="190" t="s">
        <v>2162</v>
      </c>
      <c r="C397" s="191">
        <v>-0.92068752346714067</v>
      </c>
      <c r="D397" s="191">
        <v>2.3935235065347977</v>
      </c>
    </row>
    <row r="398" spans="1:4" ht="27.75" customHeight="1" x14ac:dyDescent="0.2">
      <c r="A398" s="190" t="s">
        <v>1488</v>
      </c>
      <c r="B398" s="190" t="s">
        <v>2163</v>
      </c>
      <c r="C398" s="191">
        <v>0.78731581793608396</v>
      </c>
      <c r="D398" s="191">
        <v>5.2966363646958952</v>
      </c>
    </row>
    <row r="399" spans="1:4" ht="27.75" customHeight="1" x14ac:dyDescent="0.2">
      <c r="A399" s="190" t="s">
        <v>1490</v>
      </c>
      <c r="B399" s="190" t="s">
        <v>2165</v>
      </c>
      <c r="C399" s="191">
        <v>0</v>
      </c>
      <c r="D399" s="191">
        <v>0</v>
      </c>
    </row>
    <row r="400" spans="1:4" ht="27.75" customHeight="1" x14ac:dyDescent="0.2">
      <c r="A400" s="190" t="s">
        <v>1491</v>
      </c>
      <c r="B400" s="190" t="s">
        <v>2166</v>
      </c>
      <c r="C400" s="191">
        <v>1.9741842286249842</v>
      </c>
      <c r="D400" s="191">
        <v>5.5404897091156924E-2</v>
      </c>
    </row>
    <row r="401" spans="1:4" ht="27.75" customHeight="1" x14ac:dyDescent="0.2">
      <c r="A401" s="190" t="s">
        <v>1492</v>
      </c>
      <c r="B401" s="190" t="s">
        <v>2167</v>
      </c>
      <c r="C401" s="191">
        <v>1.06572919291242E-2</v>
      </c>
      <c r="D401" s="191">
        <v>-4.2048075027457922E-2</v>
      </c>
    </row>
    <row r="402" spans="1:4" ht="27.75" customHeight="1" x14ac:dyDescent="0.2">
      <c r="A402" s="190" t="s">
        <v>1493</v>
      </c>
      <c r="B402" s="190" t="s">
        <v>2168</v>
      </c>
      <c r="C402" s="191">
        <v>0</v>
      </c>
      <c r="D402" s="191">
        <v>1.527482749009659</v>
      </c>
    </row>
    <row r="403" spans="1:4" ht="27.75" customHeight="1" x14ac:dyDescent="0.2">
      <c r="A403" s="190" t="s">
        <v>1495</v>
      </c>
      <c r="B403" s="190" t="s">
        <v>2170</v>
      </c>
      <c r="C403" s="191">
        <v>0.59779124204441636</v>
      </c>
      <c r="D403" s="191">
        <v>10.919867803734807</v>
      </c>
    </row>
    <row r="404" spans="1:4" ht="27.75" customHeight="1" x14ac:dyDescent="0.2">
      <c r="A404" s="190" t="s">
        <v>1497</v>
      </c>
      <c r="B404" s="190" t="s">
        <v>2172</v>
      </c>
      <c r="C404" s="191">
        <v>3.1193883745630382</v>
      </c>
      <c r="D404" s="191">
        <v>3.6980057327264202</v>
      </c>
    </row>
    <row r="405" spans="1:4" ht="27.75" customHeight="1" x14ac:dyDescent="0.2">
      <c r="A405" s="190" t="s">
        <v>1498</v>
      </c>
      <c r="B405" s="190" t="s">
        <v>2172</v>
      </c>
      <c r="C405" s="191">
        <v>3.7896073428078445</v>
      </c>
      <c r="D405" s="191">
        <v>19.731385472086096</v>
      </c>
    </row>
    <row r="406" spans="1:4" ht="27.75" customHeight="1" x14ac:dyDescent="0.2">
      <c r="A406" s="190" t="s">
        <v>1499</v>
      </c>
      <c r="B406" s="190" t="s">
        <v>2173</v>
      </c>
      <c r="C406" s="191">
        <v>1.2706554575838793</v>
      </c>
      <c r="D406" s="191">
        <v>6.5350156332587765</v>
      </c>
    </row>
    <row r="407" spans="1:4" ht="27.75" customHeight="1" x14ac:dyDescent="0.2">
      <c r="A407" s="190" t="s">
        <v>1500</v>
      </c>
      <c r="B407" s="190" t="s">
        <v>2174</v>
      </c>
      <c r="C407" s="191">
        <v>2.7215041009630241</v>
      </c>
      <c r="D407" s="191">
        <v>5.232085976994985</v>
      </c>
    </row>
    <row r="408" spans="1:4" ht="27.75" customHeight="1" x14ac:dyDescent="0.2">
      <c r="A408" s="190" t="s">
        <v>1501</v>
      </c>
      <c r="B408" s="190" t="s">
        <v>2175</v>
      </c>
      <c r="C408" s="191">
        <v>2.7215033886456337</v>
      </c>
      <c r="D408" s="191">
        <v>5.2320796756694641</v>
      </c>
    </row>
    <row r="409" spans="1:4" ht="27.75" customHeight="1" x14ac:dyDescent="0.2">
      <c r="A409" s="190" t="s">
        <v>1502</v>
      </c>
      <c r="B409" s="190" t="s">
        <v>2176</v>
      </c>
      <c r="C409" s="191">
        <v>0.67064094313962996</v>
      </c>
      <c r="D409" s="191">
        <v>4.9984766791980153</v>
      </c>
    </row>
    <row r="410" spans="1:4" ht="27.75" customHeight="1" x14ac:dyDescent="0.2">
      <c r="A410" s="190" t="s">
        <v>1503</v>
      </c>
      <c r="B410" s="190" t="s">
        <v>2177</v>
      </c>
      <c r="C410" s="191">
        <v>0</v>
      </c>
      <c r="D410" s="191">
        <v>2.8434277013285656</v>
      </c>
    </row>
    <row r="411" spans="1:4" ht="27.75" customHeight="1" x14ac:dyDescent="0.2">
      <c r="A411" s="190" t="s">
        <v>1504</v>
      </c>
      <c r="B411" s="190" t="s">
        <v>2178</v>
      </c>
      <c r="C411" s="191">
        <v>0.1804167456461144</v>
      </c>
      <c r="D411" s="191">
        <v>2.1480005775647637</v>
      </c>
    </row>
    <row r="412" spans="1:4" ht="27.75" customHeight="1" x14ac:dyDescent="0.2">
      <c r="A412" s="190" t="s">
        <v>1505</v>
      </c>
      <c r="B412" s="190" t="s">
        <v>2179</v>
      </c>
      <c r="C412" s="191">
        <v>0.1117471228377744</v>
      </c>
      <c r="D412" s="191">
        <v>0.30359692483564488</v>
      </c>
    </row>
    <row r="413" spans="1:4" ht="27.75" customHeight="1" x14ac:dyDescent="0.2">
      <c r="A413" s="190" t="s">
        <v>1506</v>
      </c>
      <c r="B413" s="190" t="s">
        <v>2180</v>
      </c>
      <c r="C413" s="191">
        <v>-4.5985604923065027E-3</v>
      </c>
      <c r="D413" s="191">
        <v>0.66927148546978232</v>
      </c>
    </row>
    <row r="414" spans="1:4" ht="27.75" customHeight="1" x14ac:dyDescent="0.2">
      <c r="A414" s="190" t="s">
        <v>1507</v>
      </c>
      <c r="B414" s="190" t="s">
        <v>2181</v>
      </c>
      <c r="C414" s="191">
        <v>3.6198030654879983E-5</v>
      </c>
      <c r="D414" s="191">
        <v>32.585236891286577</v>
      </c>
    </row>
    <row r="415" spans="1:4" ht="27.75" customHeight="1" x14ac:dyDescent="0.2">
      <c r="A415" s="190" t="s">
        <v>1508</v>
      </c>
      <c r="B415" s="190" t="s">
        <v>2182</v>
      </c>
      <c r="C415" s="191">
        <v>0</v>
      </c>
      <c r="D415" s="191">
        <v>0</v>
      </c>
    </row>
    <row r="416" spans="1:4" ht="27.75" customHeight="1" x14ac:dyDescent="0.2">
      <c r="A416" s="190" t="s">
        <v>1509</v>
      </c>
      <c r="B416" s="190" t="s">
        <v>2183</v>
      </c>
      <c r="C416" s="191">
        <v>0.307027430602271</v>
      </c>
      <c r="D416" s="191">
        <v>9.4685023007023688</v>
      </c>
    </row>
    <row r="417" spans="1:4" ht="27.75" customHeight="1" x14ac:dyDescent="0.2">
      <c r="A417" s="190" t="s">
        <v>1510</v>
      </c>
      <c r="B417" s="190" t="s">
        <v>2184</v>
      </c>
      <c r="C417" s="191">
        <v>0.16958814969365291</v>
      </c>
      <c r="D417" s="191">
        <v>1.0247019228973355</v>
      </c>
    </row>
    <row r="418" spans="1:4" ht="27.75" customHeight="1" x14ac:dyDescent="0.2">
      <c r="A418" s="190" t="s">
        <v>1511</v>
      </c>
      <c r="B418" s="190" t="s">
        <v>2185</v>
      </c>
      <c r="C418" s="191">
        <v>0.3703574589374356</v>
      </c>
      <c r="D418" s="191">
        <v>5.9637489567489794</v>
      </c>
    </row>
    <row r="419" spans="1:4" ht="27.75" customHeight="1" x14ac:dyDescent="0.2">
      <c r="A419" s="190" t="s">
        <v>1512</v>
      </c>
      <c r="B419" s="190" t="s">
        <v>2186</v>
      </c>
      <c r="C419" s="191">
        <v>-0.203933190083463</v>
      </c>
      <c r="D419" s="191">
        <v>-1.7937155640333371</v>
      </c>
    </row>
    <row r="420" spans="1:4" ht="27.75" customHeight="1" x14ac:dyDescent="0.2">
      <c r="A420" s="190" t="s">
        <v>1513</v>
      </c>
      <c r="B420" s="190" t="s">
        <v>2187</v>
      </c>
      <c r="C420" s="191">
        <v>-6.7133680186566402E-2</v>
      </c>
      <c r="D420" s="191">
        <v>0.53631144782852869</v>
      </c>
    </row>
    <row r="421" spans="1:4" ht="27.75" customHeight="1" x14ac:dyDescent="0.2">
      <c r="A421" s="190" t="s">
        <v>1514</v>
      </c>
      <c r="B421" s="190" t="s">
        <v>2188</v>
      </c>
      <c r="C421" s="191">
        <v>0.16796160594597215</v>
      </c>
      <c r="D421" s="191">
        <v>0.99823516336218754</v>
      </c>
    </row>
    <row r="422" spans="1:4" ht="27.75" customHeight="1" x14ac:dyDescent="0.2">
      <c r="A422" s="190" t="s">
        <v>1515</v>
      </c>
      <c r="B422" s="190" t="s">
        <v>2188</v>
      </c>
      <c r="C422" s="191">
        <v>5.9794328545472598E-2</v>
      </c>
      <c r="D422" s="191">
        <v>8.8810232487348379</v>
      </c>
    </row>
    <row r="423" spans="1:4" ht="27.75" customHeight="1" x14ac:dyDescent="0.2">
      <c r="A423" s="190" t="s">
        <v>1516</v>
      </c>
      <c r="B423" s="190" t="s">
        <v>2189</v>
      </c>
      <c r="C423" s="191">
        <v>1.9293873658791929</v>
      </c>
      <c r="D423" s="191">
        <v>11.48763493613572</v>
      </c>
    </row>
    <row r="424" spans="1:4" ht="27.75" customHeight="1" x14ac:dyDescent="0.2">
      <c r="A424" s="190" t="s">
        <v>1517</v>
      </c>
      <c r="B424" s="190" t="s">
        <v>2190</v>
      </c>
      <c r="C424" s="191">
        <v>2.3080759671034698</v>
      </c>
      <c r="D424" s="191">
        <v>11.418195931697323</v>
      </c>
    </row>
    <row r="425" spans="1:4" ht="27.75" customHeight="1" x14ac:dyDescent="0.2">
      <c r="A425" s="190" t="s">
        <v>1518</v>
      </c>
      <c r="B425" s="190" t="s">
        <v>2191</v>
      </c>
      <c r="C425" s="191">
        <v>2.9475937370529799</v>
      </c>
      <c r="D425" s="191">
        <v>9.4434069249489152</v>
      </c>
    </row>
    <row r="426" spans="1:4" ht="27.75" customHeight="1" x14ac:dyDescent="0.2">
      <c r="A426" s="190" t="s">
        <v>1521</v>
      </c>
      <c r="B426" s="190" t="s">
        <v>2194</v>
      </c>
      <c r="C426" s="191">
        <v>1.414643010634284</v>
      </c>
      <c r="D426" s="191">
        <v>6.4206053173619466</v>
      </c>
    </row>
    <row r="427" spans="1:4" ht="27.75" customHeight="1" x14ac:dyDescent="0.2">
      <c r="A427" s="190" t="s">
        <v>1523</v>
      </c>
      <c r="B427" s="190" t="s">
        <v>2196</v>
      </c>
      <c r="C427" s="191">
        <v>0.22703895328878132</v>
      </c>
      <c r="D427" s="191">
        <v>2.3112877687227638</v>
      </c>
    </row>
    <row r="428" spans="1:4" ht="27.75" customHeight="1" x14ac:dyDescent="0.2">
      <c r="A428" s="190" t="s">
        <v>1524</v>
      </c>
      <c r="B428" s="190" t="s">
        <v>2197</v>
      </c>
      <c r="C428" s="191">
        <v>0</v>
      </c>
      <c r="D428" s="191">
        <v>0</v>
      </c>
    </row>
    <row r="429" spans="1:4" ht="27.75" customHeight="1" x14ac:dyDescent="0.2">
      <c r="A429" s="190" t="s">
        <v>1525</v>
      </c>
      <c r="B429" s="190" t="s">
        <v>2197</v>
      </c>
      <c r="C429" s="191">
        <v>0</v>
      </c>
      <c r="D429" s="191">
        <v>0</v>
      </c>
    </row>
    <row r="430" spans="1:4" ht="27.75" customHeight="1" x14ac:dyDescent="0.2">
      <c r="A430" s="190" t="s">
        <v>1526</v>
      </c>
      <c r="B430" s="190" t="s">
        <v>2198</v>
      </c>
      <c r="C430" s="191">
        <v>-0.81449744215692921</v>
      </c>
      <c r="D430" s="191">
        <v>23.043705166594556</v>
      </c>
    </row>
    <row r="431" spans="1:4" ht="27.75" customHeight="1" x14ac:dyDescent="0.2">
      <c r="A431" s="190" t="s">
        <v>1527</v>
      </c>
      <c r="B431" s="190" t="s">
        <v>2199</v>
      </c>
      <c r="C431" s="191">
        <v>1.1249955242402281</v>
      </c>
      <c r="D431" s="191">
        <v>18.338310832362136</v>
      </c>
    </row>
    <row r="432" spans="1:4" ht="27.75" customHeight="1" x14ac:dyDescent="0.2">
      <c r="A432" s="190" t="s">
        <v>1529</v>
      </c>
      <c r="B432" s="190" t="s">
        <v>2201</v>
      </c>
      <c r="C432" s="191">
        <v>0.84952851457079015</v>
      </c>
      <c r="D432" s="191">
        <v>7.4015689218541185</v>
      </c>
    </row>
    <row r="433" spans="1:4" ht="27.75" customHeight="1" x14ac:dyDescent="0.2">
      <c r="A433" s="190" t="s">
        <v>1530</v>
      </c>
      <c r="B433" s="190" t="s">
        <v>2202</v>
      </c>
      <c r="C433" s="191">
        <v>1.2612096653334328</v>
      </c>
      <c r="D433" s="191">
        <v>2.258880985508088</v>
      </c>
    </row>
    <row r="434" spans="1:4" ht="27.75" customHeight="1" x14ac:dyDescent="0.2">
      <c r="A434" s="190" t="s">
        <v>1531</v>
      </c>
      <c r="B434" s="190" t="s">
        <v>2203</v>
      </c>
      <c r="C434" s="191">
        <v>7.3935768221118997E-2</v>
      </c>
      <c r="D434" s="191">
        <v>18.29381620550491</v>
      </c>
    </row>
    <row r="435" spans="1:4" ht="27.75" customHeight="1" x14ac:dyDescent="0.2">
      <c r="A435" s="190" t="s">
        <v>1532</v>
      </c>
      <c r="B435" s="190" t="s">
        <v>2203</v>
      </c>
      <c r="C435" s="191">
        <v>0.83850642297490396</v>
      </c>
      <c r="D435" s="191">
        <v>8.7353404044069922</v>
      </c>
    </row>
    <row r="436" spans="1:4" ht="27.75" customHeight="1" x14ac:dyDescent="0.2">
      <c r="A436" s="190" t="s">
        <v>1533</v>
      </c>
      <c r="B436" s="190" t="s">
        <v>2204</v>
      </c>
      <c r="C436" s="191">
        <v>0.31245456460285503</v>
      </c>
      <c r="D436" s="191">
        <v>11.166559071353406</v>
      </c>
    </row>
    <row r="437" spans="1:4" ht="27.75" customHeight="1" x14ac:dyDescent="0.2">
      <c r="A437" s="190" t="s">
        <v>1534</v>
      </c>
      <c r="B437" s="190" t="s">
        <v>2205</v>
      </c>
      <c r="C437" s="191">
        <v>1.0593360884104845</v>
      </c>
      <c r="D437" s="191">
        <v>1.6973980115133391</v>
      </c>
    </row>
    <row r="438" spans="1:4" ht="27.75" customHeight="1" x14ac:dyDescent="0.2">
      <c r="A438" s="190" t="s">
        <v>1535</v>
      </c>
      <c r="B438" s="190" t="s">
        <v>2206</v>
      </c>
      <c r="C438" s="191">
        <v>-0.54291657651962533</v>
      </c>
      <c r="D438" s="191">
        <v>18.373735818090161</v>
      </c>
    </row>
    <row r="439" spans="1:4" ht="27.75" customHeight="1" x14ac:dyDescent="0.2">
      <c r="A439" s="190" t="s">
        <v>1536</v>
      </c>
      <c r="B439" s="190" t="s">
        <v>2207</v>
      </c>
      <c r="C439" s="191">
        <v>5.0434025594137399E-2</v>
      </c>
      <c r="D439" s="191">
        <v>3.3083954232994968</v>
      </c>
    </row>
    <row r="440" spans="1:4" ht="27.75" customHeight="1" x14ac:dyDescent="0.2">
      <c r="A440" s="190" t="s">
        <v>1538</v>
      </c>
      <c r="B440" s="190" t="s">
        <v>2209</v>
      </c>
      <c r="C440" s="191">
        <v>2.4305919719906059</v>
      </c>
      <c r="D440" s="191">
        <v>-0.34808008822121606</v>
      </c>
    </row>
    <row r="441" spans="1:4" ht="27.75" customHeight="1" x14ac:dyDescent="0.2">
      <c r="A441" s="190" t="s">
        <v>1539</v>
      </c>
      <c r="B441" s="190" t="s">
        <v>2210</v>
      </c>
      <c r="C441" s="191">
        <v>-2.68872588963454E-3</v>
      </c>
      <c r="D441" s="191">
        <v>13.558894319045502</v>
      </c>
    </row>
    <row r="442" spans="1:4" ht="27.75" customHeight="1" x14ac:dyDescent="0.2">
      <c r="A442" s="190" t="s">
        <v>1541</v>
      </c>
      <c r="B442" s="190" t="s">
        <v>2212</v>
      </c>
      <c r="C442" s="191">
        <v>0.2999092561899569</v>
      </c>
      <c r="D442" s="191">
        <v>0.60878454153391803</v>
      </c>
    </row>
    <row r="443" spans="1:4" ht="27.75" customHeight="1" x14ac:dyDescent="0.2">
      <c r="A443" s="190" t="s">
        <v>1542</v>
      </c>
      <c r="B443" s="190" t="s">
        <v>2213</v>
      </c>
      <c r="C443" s="191">
        <v>0</v>
      </c>
      <c r="D443" s="191">
        <v>0.79721202503896904</v>
      </c>
    </row>
    <row r="444" spans="1:4" ht="27.75" customHeight="1" x14ac:dyDescent="0.2">
      <c r="A444" s="190" t="s">
        <v>1543</v>
      </c>
      <c r="B444" s="190" t="s">
        <v>2214</v>
      </c>
      <c r="C444" s="191">
        <v>0.541567760165657</v>
      </c>
      <c r="D444" s="191">
        <v>5.6121241660772911</v>
      </c>
    </row>
    <row r="445" spans="1:4" ht="27.75" customHeight="1" x14ac:dyDescent="0.2">
      <c r="A445" s="190" t="s">
        <v>1544</v>
      </c>
      <c r="B445" s="190" t="s">
        <v>2215</v>
      </c>
      <c r="C445" s="191">
        <v>0.18920343374365489</v>
      </c>
      <c r="D445" s="191">
        <v>1.306744018510928</v>
      </c>
    </row>
    <row r="446" spans="1:4" ht="27.75" customHeight="1" x14ac:dyDescent="0.2">
      <c r="A446" s="190" t="s">
        <v>1545</v>
      </c>
      <c r="B446" s="190" t="s">
        <v>2216</v>
      </c>
      <c r="C446" s="191">
        <v>-0.34106767684547901</v>
      </c>
      <c r="D446" s="191">
        <v>2.5013097864183829</v>
      </c>
    </row>
    <row r="447" spans="1:4" ht="27.75" customHeight="1" x14ac:dyDescent="0.2">
      <c r="A447" s="190" t="s">
        <v>1546</v>
      </c>
      <c r="B447" s="190" t="s">
        <v>2217</v>
      </c>
      <c r="C447" s="191">
        <v>1.6860664545803852</v>
      </c>
      <c r="D447" s="191">
        <v>1.8509940623991747</v>
      </c>
    </row>
    <row r="448" spans="1:4" ht="27.75" customHeight="1" x14ac:dyDescent="0.2">
      <c r="A448" s="190" t="s">
        <v>1547</v>
      </c>
      <c r="B448" s="190" t="s">
        <v>2218</v>
      </c>
      <c r="C448" s="191">
        <v>3.2412867308308302</v>
      </c>
      <c r="D448" s="191">
        <v>1.5421060187380649</v>
      </c>
    </row>
    <row r="449" spans="1:4" ht="27.75" customHeight="1" x14ac:dyDescent="0.2">
      <c r="A449" s="190" t="s">
        <v>1548</v>
      </c>
      <c r="B449" s="190" t="s">
        <v>2219</v>
      </c>
      <c r="C449" s="191">
        <v>1.8183627554907233</v>
      </c>
      <c r="D449" s="191">
        <v>10.871356439086579</v>
      </c>
    </row>
    <row r="450" spans="1:4" ht="27.75" customHeight="1" x14ac:dyDescent="0.2">
      <c r="A450" s="190" t="s">
        <v>1549</v>
      </c>
      <c r="B450" s="190" t="s">
        <v>2219</v>
      </c>
      <c r="C450" s="191">
        <v>-6.1523714223987558E-2</v>
      </c>
      <c r="D450" s="191">
        <v>4.4085738265633196</v>
      </c>
    </row>
    <row r="451" spans="1:4" ht="27.75" customHeight="1" x14ac:dyDescent="0.2">
      <c r="A451" s="190" t="s">
        <v>1550</v>
      </c>
      <c r="B451" s="190" t="s">
        <v>2220</v>
      </c>
      <c r="C451" s="191">
        <v>6.5526672240125497E-2</v>
      </c>
      <c r="D451" s="191">
        <v>0.20801208369306606</v>
      </c>
    </row>
    <row r="452" spans="1:4" ht="27.75" customHeight="1" x14ac:dyDescent="0.2">
      <c r="A452" s="190" t="s">
        <v>1551</v>
      </c>
      <c r="B452" s="190" t="s">
        <v>2220</v>
      </c>
      <c r="C452" s="191">
        <v>0</v>
      </c>
      <c r="D452" s="191">
        <v>0</v>
      </c>
    </row>
    <row r="453" spans="1:4" ht="27.75" customHeight="1" x14ac:dyDescent="0.2">
      <c r="A453" s="190" t="s">
        <v>1552</v>
      </c>
      <c r="B453" s="190" t="s">
        <v>2220</v>
      </c>
      <c r="C453" s="191">
        <v>8.1890593444493495E-3</v>
      </c>
      <c r="D453" s="191">
        <v>0.33670618385949219</v>
      </c>
    </row>
    <row r="454" spans="1:4" ht="27.75" customHeight="1" x14ac:dyDescent="0.2">
      <c r="A454" s="190" t="s">
        <v>1553</v>
      </c>
      <c r="B454" s="190" t="s">
        <v>2221</v>
      </c>
      <c r="C454" s="191">
        <v>0</v>
      </c>
      <c r="D454" s="191">
        <v>0</v>
      </c>
    </row>
    <row r="455" spans="1:4" ht="27.75" customHeight="1" x14ac:dyDescent="0.2">
      <c r="A455" s="190" t="s">
        <v>1554</v>
      </c>
      <c r="B455" s="190" t="s">
        <v>2221</v>
      </c>
      <c r="C455" s="191">
        <v>0</v>
      </c>
      <c r="D455" s="191">
        <v>0</v>
      </c>
    </row>
    <row r="456" spans="1:4" ht="27.75" customHeight="1" x14ac:dyDescent="0.2">
      <c r="A456" s="190" t="s">
        <v>1555</v>
      </c>
      <c r="B456" s="190" t="s">
        <v>2222</v>
      </c>
      <c r="C456" s="191">
        <v>0</v>
      </c>
      <c r="D456" s="191">
        <v>0</v>
      </c>
    </row>
    <row r="457" spans="1:4" ht="27.75" customHeight="1" x14ac:dyDescent="0.2">
      <c r="A457" s="190" t="s">
        <v>1556</v>
      </c>
      <c r="B457" s="190" t="s">
        <v>2222</v>
      </c>
      <c r="C457" s="191">
        <v>0</v>
      </c>
      <c r="D457" s="191">
        <v>0</v>
      </c>
    </row>
    <row r="458" spans="1:4" ht="27.75" customHeight="1" x14ac:dyDescent="0.2">
      <c r="A458" s="190" t="s">
        <v>1557</v>
      </c>
      <c r="B458" s="190" t="s">
        <v>2223</v>
      </c>
      <c r="C458" s="191">
        <v>0</v>
      </c>
      <c r="D458" s="191">
        <v>0</v>
      </c>
    </row>
    <row r="459" spans="1:4" ht="27.75" customHeight="1" x14ac:dyDescent="0.2">
      <c r="A459" s="190" t="s">
        <v>2460</v>
      </c>
      <c r="B459" s="190" t="s">
        <v>2491</v>
      </c>
      <c r="C459" s="191">
        <v>0.30964417498570146</v>
      </c>
      <c r="D459" s="191">
        <v>-0.11548406238123235</v>
      </c>
    </row>
    <row r="460" spans="1:4" ht="27.75" customHeight="1" x14ac:dyDescent="0.2">
      <c r="A460" s="190" t="s">
        <v>1558</v>
      </c>
      <c r="B460" s="190" t="s">
        <v>2224</v>
      </c>
      <c r="C460" s="191">
        <v>0.17459619350329605</v>
      </c>
      <c r="D460" s="191">
        <v>0.64259067706105755</v>
      </c>
    </row>
    <row r="461" spans="1:4" ht="27.75" customHeight="1" x14ac:dyDescent="0.2">
      <c r="A461" s="190" t="s">
        <v>1559</v>
      </c>
      <c r="B461" s="190" t="s">
        <v>2225</v>
      </c>
      <c r="C461" s="191">
        <v>0.31614250658836501</v>
      </c>
      <c r="D461" s="191">
        <v>2.6622931801811216</v>
      </c>
    </row>
    <row r="462" spans="1:4" ht="27.75" customHeight="1" x14ac:dyDescent="0.2">
      <c r="A462" s="190" t="s">
        <v>1560</v>
      </c>
      <c r="B462" s="190" t="s">
        <v>2226</v>
      </c>
      <c r="C462" s="191">
        <v>2.3377962722441197</v>
      </c>
      <c r="D462" s="191">
        <v>22.207194715498741</v>
      </c>
    </row>
    <row r="463" spans="1:4" ht="27.75" customHeight="1" x14ac:dyDescent="0.2">
      <c r="A463" s="190" t="s">
        <v>1561</v>
      </c>
      <c r="B463" s="190" t="s">
        <v>2227</v>
      </c>
      <c r="C463" s="191">
        <v>5.2782995294010746</v>
      </c>
      <c r="D463" s="191">
        <v>0.15020040988613381</v>
      </c>
    </row>
    <row r="464" spans="1:4" ht="27.75" customHeight="1" x14ac:dyDescent="0.2">
      <c r="A464" s="190" t="s">
        <v>1563</v>
      </c>
      <c r="B464" s="190" t="s">
        <v>2229</v>
      </c>
      <c r="C464" s="191">
        <v>2.6838055257847961</v>
      </c>
      <c r="D464" s="191">
        <v>-5.8435397668043692</v>
      </c>
    </row>
    <row r="465" spans="1:4" ht="27.75" customHeight="1" x14ac:dyDescent="0.2">
      <c r="A465" s="190" t="s">
        <v>1565</v>
      </c>
      <c r="B465" s="190" t="s">
        <v>2231</v>
      </c>
      <c r="C465" s="191">
        <v>1.5386648555577471</v>
      </c>
      <c r="D465" s="191">
        <v>8.6705481437398291</v>
      </c>
    </row>
    <row r="466" spans="1:4" ht="27.75" customHeight="1" x14ac:dyDescent="0.2">
      <c r="A466" s="190" t="s">
        <v>1567</v>
      </c>
      <c r="B466" s="190" t="s">
        <v>2232</v>
      </c>
      <c r="C466" s="191">
        <v>0</v>
      </c>
      <c r="D466" s="191">
        <v>0</v>
      </c>
    </row>
    <row r="467" spans="1:4" ht="27.75" customHeight="1" x14ac:dyDescent="0.2">
      <c r="A467" s="190" t="s">
        <v>1568</v>
      </c>
      <c r="B467" s="190" t="s">
        <v>2233</v>
      </c>
      <c r="C467" s="191">
        <v>2.0033402334326023</v>
      </c>
      <c r="D467" s="191">
        <v>4.9819351970035921</v>
      </c>
    </row>
    <row r="468" spans="1:4" ht="27.75" customHeight="1" x14ac:dyDescent="0.2">
      <c r="A468" s="190" t="s">
        <v>1570</v>
      </c>
      <c r="B468" s="190" t="s">
        <v>2235</v>
      </c>
      <c r="C468" s="191">
        <v>0.63960577200708901</v>
      </c>
      <c r="D468" s="191">
        <v>2.2037770157322316</v>
      </c>
    </row>
    <row r="469" spans="1:4" ht="27.75" customHeight="1" x14ac:dyDescent="0.2">
      <c r="A469" s="190" t="s">
        <v>1572</v>
      </c>
      <c r="B469" s="190" t="s">
        <v>2237</v>
      </c>
      <c r="C469" s="191">
        <v>1.70220386086542E-2</v>
      </c>
      <c r="D469" s="191">
        <v>4.4948771424990396E-2</v>
      </c>
    </row>
    <row r="470" spans="1:4" ht="27.75" customHeight="1" x14ac:dyDescent="0.2">
      <c r="A470" s="190" t="s">
        <v>1573</v>
      </c>
      <c r="B470" s="190" t="s">
        <v>2238</v>
      </c>
      <c r="C470" s="191">
        <v>0</v>
      </c>
      <c r="D470" s="191">
        <v>0</v>
      </c>
    </row>
    <row r="471" spans="1:4" ht="27.75" customHeight="1" x14ac:dyDescent="0.2">
      <c r="A471" s="190" t="s">
        <v>1574</v>
      </c>
      <c r="B471" s="190" t="s">
        <v>2239</v>
      </c>
      <c r="C471" s="191">
        <v>5.8930309720372387E-2</v>
      </c>
      <c r="D471" s="191">
        <v>2.4226306836647709</v>
      </c>
    </row>
    <row r="472" spans="1:4" ht="27.75" customHeight="1" x14ac:dyDescent="0.2">
      <c r="A472" s="190" t="s">
        <v>1577</v>
      </c>
      <c r="B472" s="190" t="s">
        <v>2242</v>
      </c>
      <c r="C472" s="191">
        <v>1.747208067632452</v>
      </c>
      <c r="D472" s="191">
        <v>9.4296664733906574</v>
      </c>
    </row>
    <row r="473" spans="1:4" ht="27.75" customHeight="1" x14ac:dyDescent="0.2">
      <c r="A473" s="190" t="s">
        <v>2461</v>
      </c>
      <c r="B473" s="190" t="s">
        <v>2492</v>
      </c>
      <c r="C473" s="191">
        <v>4.5734792366136201E-2</v>
      </c>
      <c r="D473" s="191">
        <v>1.8865429350948921</v>
      </c>
    </row>
    <row r="474" spans="1:4" ht="27.75" customHeight="1" x14ac:dyDescent="0.2">
      <c r="A474" s="190" t="s">
        <v>1578</v>
      </c>
      <c r="B474" s="190" t="s">
        <v>2243</v>
      </c>
      <c r="C474" s="191">
        <v>0.21178358487698373</v>
      </c>
      <c r="D474" s="191">
        <v>-2.0279934839943836E-2</v>
      </c>
    </row>
    <row r="475" spans="1:4" ht="27.75" customHeight="1" x14ac:dyDescent="0.2">
      <c r="A475" s="190" t="s">
        <v>1580</v>
      </c>
      <c r="B475" s="190" t="s">
        <v>2245</v>
      </c>
      <c r="C475" s="191">
        <v>9.3632098365568101E-2</v>
      </c>
      <c r="D475" s="191">
        <v>-3.6032850143719972E-2</v>
      </c>
    </row>
    <row r="476" spans="1:4" ht="27.75" customHeight="1" x14ac:dyDescent="0.2">
      <c r="A476" s="190" t="s">
        <v>1581</v>
      </c>
      <c r="B476" s="190" t="s">
        <v>2246</v>
      </c>
      <c r="C476" s="191">
        <v>1.2136400197311303</v>
      </c>
      <c r="D476" s="191">
        <v>5.1423178087166388</v>
      </c>
    </row>
    <row r="477" spans="1:4" ht="27.75" customHeight="1" x14ac:dyDescent="0.2">
      <c r="A477" s="190" t="s">
        <v>2462</v>
      </c>
      <c r="B477" s="190" t="s">
        <v>2493</v>
      </c>
      <c r="C477" s="191">
        <v>0.22260199152015331</v>
      </c>
      <c r="D477" s="191">
        <v>0.23165296579963579</v>
      </c>
    </row>
    <row r="478" spans="1:4" ht="27.75" customHeight="1" x14ac:dyDescent="0.2">
      <c r="A478" s="190" t="s">
        <v>1582</v>
      </c>
      <c r="B478" s="190" t="s">
        <v>2247</v>
      </c>
      <c r="C478" s="191">
        <v>1.963391277240683</v>
      </c>
      <c r="D478" s="191">
        <v>17.852727976491408</v>
      </c>
    </row>
    <row r="479" spans="1:4" ht="27.75" customHeight="1" x14ac:dyDescent="0.2">
      <c r="A479" s="190" t="s">
        <v>1584</v>
      </c>
      <c r="B479" s="190" t="s">
        <v>2249</v>
      </c>
      <c r="C479" s="191">
        <v>2.2032598419032325</v>
      </c>
      <c r="D479" s="191">
        <v>0.2009093771846544</v>
      </c>
    </row>
    <row r="480" spans="1:4" ht="27.75" customHeight="1" x14ac:dyDescent="0.2">
      <c r="A480" s="190" t="s">
        <v>1585</v>
      </c>
      <c r="B480" s="190" t="s">
        <v>2250</v>
      </c>
      <c r="C480" s="191">
        <v>1.056491323450075</v>
      </c>
      <c r="D480" s="191">
        <v>5.6461741383488473</v>
      </c>
    </row>
    <row r="481" spans="1:4" ht="27.75" customHeight="1" x14ac:dyDescent="0.2">
      <c r="A481" s="190" t="s">
        <v>1586</v>
      </c>
      <c r="B481" s="190" t="s">
        <v>2251</v>
      </c>
      <c r="C481" s="191">
        <v>0</v>
      </c>
      <c r="D481" s="191">
        <v>0</v>
      </c>
    </row>
    <row r="482" spans="1:4" ht="27.75" customHeight="1" x14ac:dyDescent="0.2">
      <c r="A482" s="190" t="s">
        <v>1587</v>
      </c>
      <c r="B482" s="190" t="s">
        <v>2252</v>
      </c>
      <c r="C482" s="191">
        <v>0.40528612724503854</v>
      </c>
      <c r="D482" s="191">
        <v>12.009103367814907</v>
      </c>
    </row>
    <row r="483" spans="1:4" ht="27.75" customHeight="1" x14ac:dyDescent="0.2">
      <c r="A483" s="190" t="s">
        <v>1588</v>
      </c>
      <c r="B483" s="190" t="s">
        <v>2253</v>
      </c>
      <c r="C483" s="191">
        <v>0</v>
      </c>
      <c r="D483" s="191">
        <v>2.3898865155834939</v>
      </c>
    </row>
    <row r="484" spans="1:4" ht="27.75" customHeight="1" x14ac:dyDescent="0.2">
      <c r="A484" s="190" t="s">
        <v>1589</v>
      </c>
      <c r="B484" s="190" t="s">
        <v>2254</v>
      </c>
      <c r="C484" s="191">
        <v>5.4835985808428397E-2</v>
      </c>
      <c r="D484" s="191">
        <v>2.7236143006241584</v>
      </c>
    </row>
    <row r="485" spans="1:4" ht="27.75" customHeight="1" x14ac:dyDescent="0.2">
      <c r="A485" s="190" t="s">
        <v>1590</v>
      </c>
      <c r="B485" s="190" t="s">
        <v>2255</v>
      </c>
      <c r="C485" s="191">
        <v>0.389454483680511</v>
      </c>
      <c r="D485" s="191">
        <v>1.7037594101608606</v>
      </c>
    </row>
    <row r="486" spans="1:4" ht="27.75" customHeight="1" x14ac:dyDescent="0.2">
      <c r="A486" s="190" t="s">
        <v>1592</v>
      </c>
      <c r="B486" s="190" t="s">
        <v>2257</v>
      </c>
      <c r="C486" s="191">
        <v>0.30659301216749651</v>
      </c>
      <c r="D486" s="191">
        <v>7.7582340346559722</v>
      </c>
    </row>
    <row r="487" spans="1:4" ht="27.75" customHeight="1" x14ac:dyDescent="0.2">
      <c r="A487" s="190" t="s">
        <v>1593</v>
      </c>
      <c r="B487" s="190" t="s">
        <v>2258</v>
      </c>
      <c r="C487" s="191">
        <v>-0.21151646310299099</v>
      </c>
      <c r="D487" s="191">
        <v>1.0521026709941843</v>
      </c>
    </row>
    <row r="488" spans="1:4" ht="27.75" customHeight="1" x14ac:dyDescent="0.2">
      <c r="A488" s="190" t="s">
        <v>1594</v>
      </c>
      <c r="B488" s="190" t="s">
        <v>2259</v>
      </c>
      <c r="C488" s="191">
        <v>-1.29482326682324E-2</v>
      </c>
      <c r="D488" s="191">
        <v>-10.684848150864383</v>
      </c>
    </row>
    <row r="489" spans="1:4" ht="27.75" customHeight="1" x14ac:dyDescent="0.2">
      <c r="A489" s="190" t="s">
        <v>1595</v>
      </c>
      <c r="B489" s="190" t="s">
        <v>2260</v>
      </c>
      <c r="C489" s="191">
        <v>0.1438516758613784</v>
      </c>
      <c r="D489" s="191">
        <v>5.7274552810020625</v>
      </c>
    </row>
    <row r="490" spans="1:4" ht="27.75" customHeight="1" x14ac:dyDescent="0.2">
      <c r="A490" s="190" t="s">
        <v>1596</v>
      </c>
      <c r="B490" s="190" t="s">
        <v>2261</v>
      </c>
      <c r="C490" s="191">
        <v>0.89737230505569388</v>
      </c>
      <c r="D490" s="191">
        <v>3.5352294462325822</v>
      </c>
    </row>
    <row r="491" spans="1:4" ht="27.75" customHeight="1" x14ac:dyDescent="0.2">
      <c r="A491" s="190" t="s">
        <v>1597</v>
      </c>
      <c r="B491" s="190" t="s">
        <v>2262</v>
      </c>
      <c r="C491" s="191">
        <v>2.6545117528159485</v>
      </c>
      <c r="D491" s="191">
        <v>11.695597568453373</v>
      </c>
    </row>
    <row r="492" spans="1:4" ht="27.75" customHeight="1" x14ac:dyDescent="0.2">
      <c r="A492" s="190" t="s">
        <v>1598</v>
      </c>
      <c r="B492" s="190" t="s">
        <v>2263</v>
      </c>
      <c r="C492" s="191">
        <v>1.7061351120763402E-2</v>
      </c>
      <c r="D492" s="191">
        <v>4.5024173936077827E-2</v>
      </c>
    </row>
    <row r="493" spans="1:4" ht="27.75" customHeight="1" x14ac:dyDescent="0.2">
      <c r="A493" s="190" t="s">
        <v>1599</v>
      </c>
      <c r="B493" s="190" t="s">
        <v>2264</v>
      </c>
      <c r="C493" s="191">
        <v>0.11599164833276174</v>
      </c>
      <c r="D493" s="191">
        <v>-0.16733735551566462</v>
      </c>
    </row>
    <row r="494" spans="1:4" ht="27.75" customHeight="1" x14ac:dyDescent="0.2">
      <c r="A494" s="190" t="s">
        <v>1601</v>
      </c>
      <c r="B494" s="190" t="s">
        <v>2266</v>
      </c>
      <c r="C494" s="191">
        <v>-3.983395879895911E-2</v>
      </c>
      <c r="D494" s="191">
        <v>14.879532435392115</v>
      </c>
    </row>
    <row r="495" spans="1:4" ht="27.75" customHeight="1" x14ac:dyDescent="0.2">
      <c r="A495" s="190" t="s">
        <v>1602</v>
      </c>
      <c r="B495" s="190" t="s">
        <v>2267</v>
      </c>
      <c r="C495" s="191">
        <v>0.27927831988427998</v>
      </c>
      <c r="D495" s="191">
        <v>36.576240593970439</v>
      </c>
    </row>
    <row r="496" spans="1:4" ht="27.75" customHeight="1" x14ac:dyDescent="0.2">
      <c r="A496" s="190" t="s">
        <v>1603</v>
      </c>
      <c r="B496" s="190" t="s">
        <v>2268</v>
      </c>
      <c r="C496" s="191">
        <v>10.969891355342051</v>
      </c>
      <c r="D496" s="191">
        <v>0.12816046220525301</v>
      </c>
    </row>
    <row r="497" spans="1:4" ht="27.75" customHeight="1" x14ac:dyDescent="0.2">
      <c r="A497" s="190" t="s">
        <v>1604</v>
      </c>
      <c r="B497" s="190" t="s">
        <v>2269</v>
      </c>
      <c r="C497" s="191">
        <v>0.35580723309457762</v>
      </c>
      <c r="D497" s="191">
        <v>14.60142270510457</v>
      </c>
    </row>
    <row r="498" spans="1:4" ht="27.75" customHeight="1" x14ac:dyDescent="0.2">
      <c r="A498" s="190" t="s">
        <v>1605</v>
      </c>
      <c r="B498" s="190" t="s">
        <v>2270</v>
      </c>
      <c r="C498" s="191">
        <v>7.8502988492730781</v>
      </c>
      <c r="D498" s="191">
        <v>0.35406856765095629</v>
      </c>
    </row>
    <row r="499" spans="1:4" ht="27.75" customHeight="1" x14ac:dyDescent="0.2">
      <c r="A499" s="190" t="s">
        <v>1606</v>
      </c>
      <c r="B499" s="190" t="s">
        <v>2271</v>
      </c>
      <c r="C499" s="191">
        <v>0.19886692545301304</v>
      </c>
      <c r="D499" s="191">
        <v>3.9035670513501111</v>
      </c>
    </row>
    <row r="500" spans="1:4" ht="27.75" customHeight="1" x14ac:dyDescent="0.2">
      <c r="A500" s="190" t="s">
        <v>1607</v>
      </c>
      <c r="B500" s="190" t="s">
        <v>2271</v>
      </c>
      <c r="C500" s="191">
        <v>1.55517901225359</v>
      </c>
      <c r="D500" s="191">
        <v>9.6437344496056951</v>
      </c>
    </row>
    <row r="501" spans="1:4" ht="27.75" customHeight="1" x14ac:dyDescent="0.2">
      <c r="A501" s="190" t="s">
        <v>1608</v>
      </c>
      <c r="B501" s="190" t="s">
        <v>2272</v>
      </c>
      <c r="C501" s="191">
        <v>2.5992011573663945</v>
      </c>
      <c r="D501" s="191">
        <v>0.71351231369657464</v>
      </c>
    </row>
    <row r="502" spans="1:4" ht="27.75" customHeight="1" x14ac:dyDescent="0.2">
      <c r="A502" s="190" t="s">
        <v>1610</v>
      </c>
      <c r="B502" s="190" t="s">
        <v>2274</v>
      </c>
      <c r="C502" s="191">
        <v>2.9432345704410841</v>
      </c>
      <c r="D502" s="191">
        <v>14.167758016709051</v>
      </c>
    </row>
    <row r="503" spans="1:4" ht="27.75" customHeight="1" x14ac:dyDescent="0.2">
      <c r="A503" s="190" t="s">
        <v>1611</v>
      </c>
      <c r="B503" s="190" t="s">
        <v>2275</v>
      </c>
      <c r="C503" s="191">
        <v>-1.30786597605219</v>
      </c>
      <c r="D503" s="191">
        <v>1.3831690015608293</v>
      </c>
    </row>
    <row r="504" spans="1:4" ht="27.75" customHeight="1" x14ac:dyDescent="0.2">
      <c r="A504" s="190" t="s">
        <v>1612</v>
      </c>
      <c r="B504" s="190" t="s">
        <v>2276</v>
      </c>
      <c r="C504" s="191">
        <v>2.7281634358533795E-2</v>
      </c>
      <c r="D504" s="191">
        <v>0.89709176784910516</v>
      </c>
    </row>
    <row r="505" spans="1:4" ht="27.75" customHeight="1" x14ac:dyDescent="0.2">
      <c r="A505" s="190" t="s">
        <v>1613</v>
      </c>
      <c r="B505" s="190" t="s">
        <v>2277</v>
      </c>
      <c r="C505" s="191">
        <v>2.83393589315977</v>
      </c>
      <c r="D505" s="191">
        <v>-9.0288638735442905E-2</v>
      </c>
    </row>
    <row r="506" spans="1:4" ht="27.75" customHeight="1" x14ac:dyDescent="0.2">
      <c r="A506" s="190" t="s">
        <v>1614</v>
      </c>
      <c r="B506" s="190" t="s">
        <v>2278</v>
      </c>
      <c r="C506" s="191">
        <v>0.22501714458603209</v>
      </c>
      <c r="D506" s="191">
        <v>8.0763930608113057</v>
      </c>
    </row>
    <row r="507" spans="1:4" ht="27.75" customHeight="1" x14ac:dyDescent="0.2">
      <c r="A507" s="190" t="s">
        <v>1615</v>
      </c>
      <c r="B507" s="190" t="s">
        <v>2279</v>
      </c>
      <c r="C507" s="191">
        <v>2.020745342095295</v>
      </c>
      <c r="D507" s="191">
        <v>7.069117005243247</v>
      </c>
    </row>
    <row r="508" spans="1:4" ht="27.75" customHeight="1" x14ac:dyDescent="0.2">
      <c r="A508" s="190" t="s">
        <v>1616</v>
      </c>
      <c r="B508" s="190" t="s">
        <v>2280</v>
      </c>
      <c r="C508" s="191">
        <v>2.9505086470469389E-2</v>
      </c>
      <c r="D508" s="191">
        <v>-0.12322970655166464</v>
      </c>
    </row>
    <row r="509" spans="1:4" ht="27.75" customHeight="1" x14ac:dyDescent="0.2">
      <c r="A509" s="190" t="s">
        <v>1617</v>
      </c>
      <c r="B509" s="190" t="s">
        <v>2281</v>
      </c>
      <c r="C509" s="191">
        <v>1.0758960867954119</v>
      </c>
      <c r="D509" s="191">
        <v>4.3765327552355942</v>
      </c>
    </row>
    <row r="510" spans="1:4" ht="27.75" customHeight="1" x14ac:dyDescent="0.2">
      <c r="A510" s="190" t="s">
        <v>1618</v>
      </c>
      <c r="B510" s="190" t="s">
        <v>2282</v>
      </c>
      <c r="C510" s="191">
        <v>0.69460823861266852</v>
      </c>
      <c r="D510" s="191">
        <v>6.4345478466898536</v>
      </c>
    </row>
    <row r="511" spans="1:4" ht="27.75" customHeight="1" x14ac:dyDescent="0.2">
      <c r="A511" s="190" t="s">
        <v>1619</v>
      </c>
      <c r="B511" s="190" t="s">
        <v>2283</v>
      </c>
      <c r="C511" s="191">
        <v>0.61688432616786693</v>
      </c>
      <c r="D511" s="191">
        <v>2.6422120026279696</v>
      </c>
    </row>
    <row r="512" spans="1:4" ht="27.75" customHeight="1" x14ac:dyDescent="0.2">
      <c r="A512" s="190" t="s">
        <v>1622</v>
      </c>
      <c r="B512" s="190" t="s">
        <v>2285</v>
      </c>
      <c r="C512" s="191">
        <v>0.48261824710638623</v>
      </c>
      <c r="D512" s="191">
        <v>1.8113840685830345</v>
      </c>
    </row>
    <row r="513" spans="1:4" ht="27.75" customHeight="1" x14ac:dyDescent="0.2">
      <c r="A513" s="190" t="s">
        <v>1623</v>
      </c>
      <c r="B513" s="190" t="s">
        <v>2286</v>
      </c>
      <c r="C513" s="191">
        <v>-0.83014202075594667</v>
      </c>
      <c r="D513" s="191">
        <v>24.488087927316606</v>
      </c>
    </row>
    <row r="514" spans="1:4" ht="27.75" customHeight="1" x14ac:dyDescent="0.2">
      <c r="A514" s="190" t="s">
        <v>1624</v>
      </c>
      <c r="B514" s="190" t="s">
        <v>2287</v>
      </c>
      <c r="C514" s="191">
        <v>4.5640921619368706</v>
      </c>
      <c r="D514" s="191">
        <v>4.0442551370595075</v>
      </c>
    </row>
    <row r="515" spans="1:4" ht="27.75" customHeight="1" x14ac:dyDescent="0.2">
      <c r="A515" s="190" t="s">
        <v>1625</v>
      </c>
      <c r="B515" s="190" t="s">
        <v>2288</v>
      </c>
      <c r="C515" s="191">
        <v>0.81885273905384803</v>
      </c>
      <c r="D515" s="191">
        <v>6.1854442259920175</v>
      </c>
    </row>
    <row r="516" spans="1:4" ht="27.75" customHeight="1" x14ac:dyDescent="0.2">
      <c r="A516" s="190" t="s">
        <v>1626</v>
      </c>
      <c r="B516" s="190" t="s">
        <v>2289</v>
      </c>
      <c r="C516" s="191">
        <v>1.0786793468247189</v>
      </c>
      <c r="D516" s="191">
        <v>5.1041798840628463</v>
      </c>
    </row>
    <row r="517" spans="1:4" ht="27.75" customHeight="1" x14ac:dyDescent="0.2">
      <c r="A517" s="190" t="s">
        <v>1628</v>
      </c>
      <c r="B517" s="190" t="s">
        <v>2291</v>
      </c>
      <c r="C517" s="191">
        <v>0.13544986742170462</v>
      </c>
      <c r="D517" s="191">
        <v>2.6828312946710779</v>
      </c>
    </row>
    <row r="518" spans="1:4" ht="27.75" customHeight="1" x14ac:dyDescent="0.2">
      <c r="A518" s="190" t="s">
        <v>1629</v>
      </c>
      <c r="B518" s="190" t="s">
        <v>2292</v>
      </c>
      <c r="C518" s="191">
        <v>1.3102886717616233</v>
      </c>
      <c r="D518" s="191">
        <v>1.9862520984668863</v>
      </c>
    </row>
    <row r="519" spans="1:4" ht="27.75" customHeight="1" x14ac:dyDescent="0.2">
      <c r="A519" s="190" t="s">
        <v>1630</v>
      </c>
      <c r="B519" s="190" t="s">
        <v>2293</v>
      </c>
      <c r="C519" s="191">
        <v>5.9873826689175999E-2</v>
      </c>
      <c r="D519" s="191">
        <v>2.3253065996938785E-2</v>
      </c>
    </row>
    <row r="520" spans="1:4" ht="27.75" customHeight="1" x14ac:dyDescent="0.2">
      <c r="A520" s="190" t="s">
        <v>1631</v>
      </c>
      <c r="B520" s="190" t="s">
        <v>2294</v>
      </c>
      <c r="C520" s="191">
        <v>1.131398790874858</v>
      </c>
      <c r="D520" s="191">
        <v>28.277059887026418</v>
      </c>
    </row>
    <row r="521" spans="1:4" ht="27.75" customHeight="1" x14ac:dyDescent="0.2">
      <c r="A521" s="190" t="s">
        <v>1632</v>
      </c>
      <c r="B521" s="190" t="s">
        <v>2295</v>
      </c>
      <c r="C521" s="191">
        <v>0</v>
      </c>
      <c r="D521" s="191">
        <v>0</v>
      </c>
    </row>
    <row r="522" spans="1:4" ht="27.75" customHeight="1" x14ac:dyDescent="0.2">
      <c r="A522" s="190" t="s">
        <v>1633</v>
      </c>
      <c r="B522" s="190" t="s">
        <v>2295</v>
      </c>
      <c r="C522" s="191">
        <v>0</v>
      </c>
      <c r="D522" s="191">
        <v>0</v>
      </c>
    </row>
    <row r="523" spans="1:4" ht="27.75" customHeight="1" x14ac:dyDescent="0.2">
      <c r="A523" s="190" t="s">
        <v>1634</v>
      </c>
      <c r="B523" s="190" t="s">
        <v>2296</v>
      </c>
      <c r="C523" s="191">
        <v>0.67004928538021724</v>
      </c>
      <c r="D523" s="191">
        <v>0.40702382146369642</v>
      </c>
    </row>
    <row r="524" spans="1:4" ht="27.75" customHeight="1" x14ac:dyDescent="0.2">
      <c r="A524" s="190" t="s">
        <v>1635</v>
      </c>
      <c r="B524" s="190" t="s">
        <v>2297</v>
      </c>
      <c r="C524" s="191">
        <v>0.13983462061329288</v>
      </c>
      <c r="D524" s="191">
        <v>9.9802208630607492</v>
      </c>
    </row>
    <row r="525" spans="1:4" ht="27.75" customHeight="1" x14ac:dyDescent="0.2">
      <c r="A525" s="190" t="s">
        <v>1636</v>
      </c>
      <c r="B525" s="190" t="s">
        <v>2297</v>
      </c>
      <c r="C525" s="191">
        <v>4.3145337375069502E-2</v>
      </c>
      <c r="D525" s="191">
        <v>5.8778616634693126</v>
      </c>
    </row>
    <row r="526" spans="1:4" ht="27.75" customHeight="1" x14ac:dyDescent="0.2">
      <c r="A526" s="190" t="s">
        <v>1638</v>
      </c>
      <c r="B526" s="190" t="s">
        <v>2299</v>
      </c>
      <c r="C526" s="191">
        <v>3.229896187140215</v>
      </c>
      <c r="D526" s="191">
        <v>2.947108860806567</v>
      </c>
    </row>
    <row r="527" spans="1:4" ht="27.75" customHeight="1" x14ac:dyDescent="0.2">
      <c r="A527" s="190" t="s">
        <v>1639</v>
      </c>
      <c r="B527" s="190" t="s">
        <v>2300</v>
      </c>
      <c r="C527" s="191">
        <v>0.20644823387547692</v>
      </c>
      <c r="D527" s="191">
        <v>4.5840145709656896</v>
      </c>
    </row>
    <row r="528" spans="1:4" ht="27.75" customHeight="1" x14ac:dyDescent="0.2">
      <c r="A528" s="190" t="s">
        <v>1640</v>
      </c>
      <c r="B528" s="190" t="s">
        <v>2301</v>
      </c>
      <c r="C528" s="191">
        <v>0.78056810239455199</v>
      </c>
      <c r="D528" s="191">
        <v>4.3821425393403262</v>
      </c>
    </row>
    <row r="529" spans="1:4" ht="27.75" customHeight="1" x14ac:dyDescent="0.2">
      <c r="A529" s="190" t="s">
        <v>1641</v>
      </c>
      <c r="B529" s="190" t="s">
        <v>2302</v>
      </c>
      <c r="C529" s="191">
        <v>-3.1469990690326931E-2</v>
      </c>
      <c r="D529" s="191">
        <v>8.1911195714962082E-5</v>
      </c>
    </row>
    <row r="530" spans="1:4" ht="27.75" customHeight="1" x14ac:dyDescent="0.2">
      <c r="A530" s="190" t="s">
        <v>1642</v>
      </c>
      <c r="B530" s="190" t="s">
        <v>2303</v>
      </c>
      <c r="C530" s="191">
        <v>6.0799773132944115E-3</v>
      </c>
      <c r="D530" s="191">
        <v>21.5503227459931</v>
      </c>
    </row>
    <row r="531" spans="1:4" ht="27.75" customHeight="1" x14ac:dyDescent="0.2">
      <c r="A531" s="190" t="s">
        <v>1643</v>
      </c>
      <c r="B531" s="190" t="s">
        <v>2304</v>
      </c>
      <c r="C531" s="191">
        <v>0.6001768354998841</v>
      </c>
      <c r="D531" s="191">
        <v>1.3759311249381798</v>
      </c>
    </row>
    <row r="532" spans="1:4" ht="27.75" customHeight="1" x14ac:dyDescent="0.2">
      <c r="A532" s="190" t="s">
        <v>1644</v>
      </c>
      <c r="B532" s="190" t="s">
        <v>2304</v>
      </c>
      <c r="C532" s="191">
        <v>1.9900487615184601</v>
      </c>
      <c r="D532" s="191">
        <v>0.97607372282880567</v>
      </c>
    </row>
    <row r="533" spans="1:4" ht="27.75" customHeight="1" x14ac:dyDescent="0.2">
      <c r="A533" s="190" t="s">
        <v>1645</v>
      </c>
      <c r="B533" s="190" t="s">
        <v>2304</v>
      </c>
      <c r="C533" s="191">
        <v>1.8933688499455901</v>
      </c>
      <c r="D533" s="191">
        <v>0.94536460288088797</v>
      </c>
    </row>
    <row r="534" spans="1:4" ht="27.75" customHeight="1" x14ac:dyDescent="0.2">
      <c r="A534" s="190" t="s">
        <v>1646</v>
      </c>
      <c r="B534" s="190" t="s">
        <v>2305</v>
      </c>
      <c r="C534" s="191">
        <v>0.54851723493304405</v>
      </c>
      <c r="D534" s="191">
        <v>2.0805964602332869</v>
      </c>
    </row>
    <row r="535" spans="1:4" ht="27.75" customHeight="1" x14ac:dyDescent="0.2">
      <c r="A535" s="190" t="s">
        <v>1648</v>
      </c>
      <c r="B535" s="190" t="s">
        <v>2307</v>
      </c>
      <c r="C535" s="191">
        <v>1.0234909413786</v>
      </c>
      <c r="D535" s="191">
        <v>2.0712516958941922</v>
      </c>
    </row>
    <row r="536" spans="1:4" ht="27.75" customHeight="1" x14ac:dyDescent="0.2">
      <c r="A536" s="190" t="s">
        <v>1649</v>
      </c>
      <c r="B536" s="190" t="s">
        <v>2308</v>
      </c>
      <c r="C536" s="191">
        <v>0</v>
      </c>
      <c r="D536" s="191">
        <v>0</v>
      </c>
    </row>
    <row r="537" spans="1:4" ht="27.75" customHeight="1" x14ac:dyDescent="0.2">
      <c r="A537" s="190" t="s">
        <v>1650</v>
      </c>
      <c r="B537" s="190" t="s">
        <v>2309</v>
      </c>
      <c r="C537" s="191">
        <v>0.71035085235235984</v>
      </c>
      <c r="D537" s="191">
        <v>17.611534987484205</v>
      </c>
    </row>
    <row r="538" spans="1:4" ht="27.75" customHeight="1" x14ac:dyDescent="0.2">
      <c r="A538" s="190" t="s">
        <v>1651</v>
      </c>
      <c r="B538" s="190" t="s">
        <v>2310</v>
      </c>
      <c r="C538" s="191">
        <v>0.70922827456687676</v>
      </c>
      <c r="D538" s="191">
        <v>5.8952045522255485</v>
      </c>
    </row>
    <row r="539" spans="1:4" ht="27.75" customHeight="1" x14ac:dyDescent="0.2">
      <c r="A539" s="190" t="s">
        <v>1652</v>
      </c>
      <c r="B539" s="190" t="s">
        <v>2311</v>
      </c>
      <c r="C539" s="191">
        <v>-6.6392173996707909E-2</v>
      </c>
      <c r="D539" s="191">
        <v>1.0372104211186617</v>
      </c>
    </row>
    <row r="540" spans="1:4" ht="27.75" customHeight="1" x14ac:dyDescent="0.2">
      <c r="A540" s="190" t="s">
        <v>1653</v>
      </c>
      <c r="B540" s="190" t="s">
        <v>2312</v>
      </c>
      <c r="C540" s="191">
        <v>0.244572079895299</v>
      </c>
      <c r="D540" s="191">
        <v>-8.9652062613808408</v>
      </c>
    </row>
    <row r="541" spans="1:4" ht="27.75" customHeight="1" x14ac:dyDescent="0.2">
      <c r="A541" s="190" t="s">
        <v>1654</v>
      </c>
      <c r="B541" s="190" t="s">
        <v>2312</v>
      </c>
      <c r="C541" s="191">
        <v>-0.10697835321245823</v>
      </c>
      <c r="D541" s="191">
        <v>-9.7832875571638365</v>
      </c>
    </row>
    <row r="542" spans="1:4" ht="27.75" customHeight="1" x14ac:dyDescent="0.2">
      <c r="A542" s="190" t="s">
        <v>1655</v>
      </c>
      <c r="B542" s="190" t="s">
        <v>2313</v>
      </c>
      <c r="C542" s="191">
        <v>0.25209573633629001</v>
      </c>
      <c r="D542" s="191">
        <v>0.68308323771538437</v>
      </c>
    </row>
    <row r="543" spans="1:4" ht="27.75" customHeight="1" x14ac:dyDescent="0.2">
      <c r="A543" s="190" t="s">
        <v>1657</v>
      </c>
      <c r="B543" s="190" t="s">
        <v>2315</v>
      </c>
      <c r="C543" s="191">
        <v>1.2098092982531756</v>
      </c>
      <c r="D543" s="191">
        <v>0.31475360096903526</v>
      </c>
    </row>
    <row r="544" spans="1:4" ht="27.75" customHeight="1" x14ac:dyDescent="0.2">
      <c r="A544" s="190" t="s">
        <v>1658</v>
      </c>
      <c r="B544" s="190" t="s">
        <v>2316</v>
      </c>
      <c r="C544" s="191">
        <v>0.76174559594961644</v>
      </c>
      <c r="D544" s="191">
        <v>1.356090343027083</v>
      </c>
    </row>
    <row r="545" spans="1:4" ht="27.75" customHeight="1" x14ac:dyDescent="0.2">
      <c r="A545" s="190" t="s">
        <v>1659</v>
      </c>
      <c r="B545" s="190" t="s">
        <v>2317</v>
      </c>
      <c r="C545" s="191">
        <v>7.2323211859573494E-2</v>
      </c>
      <c r="D545" s="191">
        <v>7.1623341333287822</v>
      </c>
    </row>
    <row r="546" spans="1:4" ht="27.75" customHeight="1" x14ac:dyDescent="0.2">
      <c r="A546" s="190" t="s">
        <v>1660</v>
      </c>
      <c r="B546" s="190" t="s">
        <v>2318</v>
      </c>
      <c r="C546" s="191">
        <v>0.18488906418288478</v>
      </c>
      <c r="D546" s="191">
        <v>0.20332218837029112</v>
      </c>
    </row>
    <row r="547" spans="1:4" ht="27.75" customHeight="1" x14ac:dyDescent="0.2">
      <c r="A547" s="190" t="s">
        <v>2463</v>
      </c>
      <c r="B547" s="190" t="s">
        <v>2494</v>
      </c>
      <c r="C547" s="191">
        <v>0.46433532665844601</v>
      </c>
      <c r="D547" s="191">
        <v>0.52846849307684229</v>
      </c>
    </row>
    <row r="548" spans="1:4" ht="27.75" customHeight="1" x14ac:dyDescent="0.2">
      <c r="A548" s="190" t="s">
        <v>1661</v>
      </c>
      <c r="B548" s="190" t="s">
        <v>2319</v>
      </c>
      <c r="C548" s="191">
        <v>0.19425189812093588</v>
      </c>
      <c r="D548" s="191">
        <v>3.207704892842981</v>
      </c>
    </row>
    <row r="549" spans="1:4" ht="27.75" customHeight="1" x14ac:dyDescent="0.2">
      <c r="A549" s="190" t="s">
        <v>1662</v>
      </c>
      <c r="B549" s="190" t="s">
        <v>2320</v>
      </c>
      <c r="C549" s="191">
        <v>4.1298068347310604E-2</v>
      </c>
      <c r="D549" s="191">
        <v>0.21419960170005908</v>
      </c>
    </row>
    <row r="550" spans="1:4" ht="27.75" customHeight="1" x14ac:dyDescent="0.2">
      <c r="A550" s="190" t="s">
        <v>1663</v>
      </c>
      <c r="B550" s="190" t="s">
        <v>2320</v>
      </c>
      <c r="C550" s="191">
        <v>6.2552682546367393</v>
      </c>
      <c r="D550" s="191">
        <v>0.38159229303612197</v>
      </c>
    </row>
    <row r="551" spans="1:4" ht="27.75" customHeight="1" x14ac:dyDescent="0.2">
      <c r="A551" s="190" t="s">
        <v>1664</v>
      </c>
      <c r="B551" s="190" t="s">
        <v>2321</v>
      </c>
      <c r="C551" s="191">
        <v>0.64731983715591002</v>
      </c>
      <c r="D551" s="191">
        <v>3.6826997943233484</v>
      </c>
    </row>
    <row r="552" spans="1:4" ht="27.75" customHeight="1" x14ac:dyDescent="0.2">
      <c r="A552" s="190" t="s">
        <v>1665</v>
      </c>
      <c r="B552" s="190" t="s">
        <v>2322</v>
      </c>
      <c r="C552" s="191">
        <v>3.7906902673081999E-2</v>
      </c>
      <c r="D552" s="191">
        <v>1.3930296368436165E-2</v>
      </c>
    </row>
    <row r="553" spans="1:4" ht="27.75" customHeight="1" x14ac:dyDescent="0.2">
      <c r="A553" s="190" t="s">
        <v>1666</v>
      </c>
      <c r="B553" s="190" t="s">
        <v>2323</v>
      </c>
      <c r="C553" s="191">
        <v>0.44018914921500507</v>
      </c>
      <c r="D553" s="191">
        <v>10.915300292608762</v>
      </c>
    </row>
    <row r="554" spans="1:4" ht="27.75" customHeight="1" x14ac:dyDescent="0.2">
      <c r="A554" s="190" t="s">
        <v>1667</v>
      </c>
      <c r="B554" s="190" t="s">
        <v>2324</v>
      </c>
      <c r="C554" s="191">
        <v>1.5240487764004829</v>
      </c>
      <c r="D554" s="191">
        <v>81.95827642115762</v>
      </c>
    </row>
    <row r="555" spans="1:4" ht="27.75" customHeight="1" x14ac:dyDescent="0.2">
      <c r="A555" s="190" t="s">
        <v>1668</v>
      </c>
      <c r="B555" s="190" t="s">
        <v>2325</v>
      </c>
      <c r="C555" s="191">
        <v>2.7122004473564556</v>
      </c>
      <c r="D555" s="191">
        <v>9.0637325074201538</v>
      </c>
    </row>
    <row r="556" spans="1:4" ht="27.75" customHeight="1" x14ac:dyDescent="0.2">
      <c r="A556" s="190" t="s">
        <v>1669</v>
      </c>
      <c r="B556" s="190" t="s">
        <v>2326</v>
      </c>
      <c r="C556" s="191">
        <v>-1.7186029303619101E-2</v>
      </c>
      <c r="D556" s="191">
        <v>-0.80179240916355721</v>
      </c>
    </row>
    <row r="557" spans="1:4" ht="27.75" customHeight="1" x14ac:dyDescent="0.2">
      <c r="A557" s="190" t="s">
        <v>1670</v>
      </c>
      <c r="B557" s="190" t="s">
        <v>2327</v>
      </c>
      <c r="C557" s="191">
        <v>0.43207492230577482</v>
      </c>
      <c r="D557" s="191">
        <v>0.99912700211099692</v>
      </c>
    </row>
    <row r="558" spans="1:4" ht="27.75" customHeight="1" x14ac:dyDescent="0.2">
      <c r="A558" s="190" t="s">
        <v>1671</v>
      </c>
      <c r="B558" s="190" t="s">
        <v>2328</v>
      </c>
      <c r="C558" s="191">
        <v>0.87599845071796001</v>
      </c>
      <c r="D558" s="191">
        <v>2.1911708877033411</v>
      </c>
    </row>
    <row r="559" spans="1:4" ht="27.75" customHeight="1" x14ac:dyDescent="0.2">
      <c r="A559" s="190" t="s">
        <v>1672</v>
      </c>
      <c r="B559" s="190" t="s">
        <v>2329</v>
      </c>
      <c r="C559" s="191">
        <v>6.1063151122479203E-2</v>
      </c>
      <c r="D559" s="191">
        <v>1.2507639900918284</v>
      </c>
    </row>
    <row r="560" spans="1:4" ht="27.75" customHeight="1" x14ac:dyDescent="0.2">
      <c r="A560" s="190" t="s">
        <v>1673</v>
      </c>
      <c r="B560" s="190" t="s">
        <v>2330</v>
      </c>
      <c r="C560" s="191">
        <v>0.85104295309922806</v>
      </c>
      <c r="D560" s="191">
        <v>38.707224772996803</v>
      </c>
    </row>
    <row r="561" spans="1:4" ht="27.75" customHeight="1" x14ac:dyDescent="0.2">
      <c r="A561" s="190" t="s">
        <v>1674</v>
      </c>
      <c r="B561" s="190" t="s">
        <v>2330</v>
      </c>
      <c r="C561" s="191">
        <v>0.1833901412214185</v>
      </c>
      <c r="D561" s="191">
        <v>7.1012200338070981</v>
      </c>
    </row>
    <row r="562" spans="1:4" ht="27.75" customHeight="1" x14ac:dyDescent="0.2">
      <c r="A562" s="190" t="s">
        <v>1675</v>
      </c>
      <c r="B562" s="190" t="s">
        <v>2331</v>
      </c>
      <c r="C562" s="191">
        <v>0.73116315194264647</v>
      </c>
      <c r="D562" s="191">
        <v>2.2011257142405798</v>
      </c>
    </row>
    <row r="563" spans="1:4" ht="27.75" customHeight="1" x14ac:dyDescent="0.2">
      <c r="A563" s="190" t="s">
        <v>1676</v>
      </c>
      <c r="B563" s="190" t="s">
        <v>2332</v>
      </c>
      <c r="C563" s="191">
        <v>0.18672756844631563</v>
      </c>
      <c r="D563" s="191">
        <v>1.5811016509279401</v>
      </c>
    </row>
    <row r="564" spans="1:4" ht="27.75" customHeight="1" x14ac:dyDescent="0.2">
      <c r="A564" s="190" t="s">
        <v>1677</v>
      </c>
      <c r="B564" s="190" t="s">
        <v>2333</v>
      </c>
      <c r="C564" s="191">
        <v>0</v>
      </c>
      <c r="D564" s="191">
        <v>0</v>
      </c>
    </row>
    <row r="565" spans="1:4" ht="27.75" customHeight="1" x14ac:dyDescent="0.2">
      <c r="A565" s="190" t="s">
        <v>1678</v>
      </c>
      <c r="B565" s="190" t="s">
        <v>2334</v>
      </c>
      <c r="C565" s="191">
        <v>0</v>
      </c>
      <c r="D565" s="191">
        <v>2.0302571496165918</v>
      </c>
    </row>
    <row r="566" spans="1:4" ht="27.75" customHeight="1" x14ac:dyDescent="0.2">
      <c r="A566" s="190" t="s">
        <v>1679</v>
      </c>
      <c r="B566" s="190" t="s">
        <v>2335</v>
      </c>
      <c r="C566" s="191">
        <v>1.1944083340290839</v>
      </c>
      <c r="D566" s="191">
        <v>0.77317342671422828</v>
      </c>
    </row>
    <row r="567" spans="1:4" ht="27.75" customHeight="1" x14ac:dyDescent="0.2">
      <c r="A567" s="190" t="s">
        <v>1680</v>
      </c>
      <c r="B567" s="190" t="s">
        <v>2335</v>
      </c>
      <c r="C567" s="191">
        <v>3.2952852164121205</v>
      </c>
      <c r="D567" s="191">
        <v>7.1827659385609151</v>
      </c>
    </row>
    <row r="568" spans="1:4" ht="27.75" customHeight="1" x14ac:dyDescent="0.2">
      <c r="A568" s="190" t="s">
        <v>1681</v>
      </c>
      <c r="B568" s="190" t="s">
        <v>2336</v>
      </c>
      <c r="C568" s="191">
        <v>0.30719550498968201</v>
      </c>
      <c r="D568" s="191">
        <v>2.0430787729522906</v>
      </c>
    </row>
    <row r="569" spans="1:4" ht="27.75" customHeight="1" x14ac:dyDescent="0.2">
      <c r="A569" s="190" t="s">
        <v>1682</v>
      </c>
      <c r="B569" s="190" t="s">
        <v>2337</v>
      </c>
      <c r="C569" s="191">
        <v>0.69331367012532708</v>
      </c>
      <c r="D569" s="191">
        <v>1.3499711963872856</v>
      </c>
    </row>
    <row r="570" spans="1:4" ht="27.75" customHeight="1" x14ac:dyDescent="0.2">
      <c r="A570" s="190" t="s">
        <v>1683</v>
      </c>
      <c r="B570" s="190" t="s">
        <v>2338</v>
      </c>
      <c r="C570" s="191">
        <v>-3.8387977615872149E-2</v>
      </c>
      <c r="D570" s="191">
        <v>8.3782872725125603</v>
      </c>
    </row>
    <row r="571" spans="1:4" ht="27.75" customHeight="1" x14ac:dyDescent="0.2">
      <c r="A571" s="190" t="s">
        <v>1684</v>
      </c>
      <c r="B571" s="190" t="s">
        <v>2339</v>
      </c>
      <c r="C571" s="191">
        <v>-1.5829997984412578E-2</v>
      </c>
      <c r="D571" s="191">
        <v>0.2878827214643791</v>
      </c>
    </row>
    <row r="572" spans="1:4" ht="27.75" customHeight="1" x14ac:dyDescent="0.2">
      <c r="A572" s="190" t="s">
        <v>1686</v>
      </c>
      <c r="B572" s="190" t="s">
        <v>2341</v>
      </c>
      <c r="C572" s="191">
        <v>0</v>
      </c>
      <c r="D572" s="191">
        <v>0</v>
      </c>
    </row>
    <row r="573" spans="1:4" ht="27.75" customHeight="1" x14ac:dyDescent="0.2">
      <c r="A573" s="190" t="s">
        <v>1687</v>
      </c>
      <c r="B573" s="190" t="s">
        <v>2341</v>
      </c>
      <c r="C573" s="191">
        <v>0.37724702664461801</v>
      </c>
      <c r="D573" s="191">
        <v>0</v>
      </c>
    </row>
    <row r="574" spans="1:4" ht="27.75" customHeight="1" x14ac:dyDescent="0.2">
      <c r="A574" s="190" t="s">
        <v>1688</v>
      </c>
      <c r="B574" s="190" t="s">
        <v>2341</v>
      </c>
      <c r="C574" s="191">
        <v>0.37710004680758302</v>
      </c>
      <c r="D574" s="191">
        <v>0</v>
      </c>
    </row>
    <row r="575" spans="1:4" ht="27.75" customHeight="1" x14ac:dyDescent="0.2">
      <c r="A575" s="190" t="s">
        <v>1689</v>
      </c>
      <c r="B575" s="190" t="s">
        <v>2342</v>
      </c>
      <c r="C575" s="191">
        <v>0</v>
      </c>
      <c r="D575" s="191">
        <v>6.5403503725437417</v>
      </c>
    </row>
    <row r="576" spans="1:4" ht="27.75" customHeight="1" x14ac:dyDescent="0.2">
      <c r="A576" s="190" t="s">
        <v>2464</v>
      </c>
      <c r="B576" s="190" t="s">
        <v>2495</v>
      </c>
      <c r="C576" s="191">
        <v>-1.053463650260255</v>
      </c>
      <c r="D576" s="191">
        <v>8.3979712358353553E-2</v>
      </c>
    </row>
    <row r="577" spans="1:4" ht="27.75" customHeight="1" x14ac:dyDescent="0.2">
      <c r="A577" s="190" t="s">
        <v>1691</v>
      </c>
      <c r="B577" s="190" t="s">
        <v>2344</v>
      </c>
      <c r="C577" s="191">
        <v>5.8211671469060478E-2</v>
      </c>
      <c r="D577" s="191">
        <v>0.9531742805932667</v>
      </c>
    </row>
    <row r="578" spans="1:4" ht="27.75" customHeight="1" x14ac:dyDescent="0.2">
      <c r="A578" s="190" t="s">
        <v>1692</v>
      </c>
      <c r="B578" s="190" t="s">
        <v>2345</v>
      </c>
      <c r="C578" s="191">
        <v>0.57264201929651803</v>
      </c>
      <c r="D578" s="191">
        <v>9.8914380202768655</v>
      </c>
    </row>
    <row r="579" spans="1:4" ht="27.75" customHeight="1" x14ac:dyDescent="0.2">
      <c r="A579" s="190" t="s">
        <v>1693</v>
      </c>
      <c r="B579" s="190" t="s">
        <v>2346</v>
      </c>
      <c r="C579" s="191">
        <v>0.4274193239260311</v>
      </c>
      <c r="D579" s="191">
        <v>9.7138982025962051</v>
      </c>
    </row>
    <row r="580" spans="1:4" ht="27.75" customHeight="1" x14ac:dyDescent="0.2">
      <c r="A580" s="190" t="s">
        <v>1694</v>
      </c>
      <c r="B580" s="190" t="s">
        <v>2347</v>
      </c>
      <c r="C580" s="191">
        <v>6.0884567319354019E-4</v>
      </c>
      <c r="D580" s="191">
        <v>2.1637983248963617</v>
      </c>
    </row>
    <row r="581" spans="1:4" ht="27.75" customHeight="1" x14ac:dyDescent="0.2">
      <c r="A581" s="190" t="s">
        <v>1695</v>
      </c>
      <c r="B581" s="190" t="s">
        <v>2348</v>
      </c>
      <c r="C581" s="191">
        <v>-0.21236782777066573</v>
      </c>
      <c r="D581" s="191">
        <v>1.712182976304491E-2</v>
      </c>
    </row>
    <row r="582" spans="1:4" ht="27.75" customHeight="1" x14ac:dyDescent="0.2">
      <c r="A582" s="190" t="s">
        <v>1696</v>
      </c>
      <c r="B582" s="190" t="s">
        <v>2349</v>
      </c>
      <c r="C582" s="191">
        <v>-2.3100996178606907</v>
      </c>
      <c r="D582" s="191">
        <v>0.33950412651486372</v>
      </c>
    </row>
    <row r="583" spans="1:4" ht="27.75" customHeight="1" x14ac:dyDescent="0.2">
      <c r="A583" s="190" t="s">
        <v>2465</v>
      </c>
      <c r="B583" s="190" t="s">
        <v>2350</v>
      </c>
      <c r="C583" s="191">
        <v>0</v>
      </c>
      <c r="D583" s="191">
        <v>-0.18013196150153998</v>
      </c>
    </row>
    <row r="584" spans="1:4" ht="27.75" customHeight="1" x14ac:dyDescent="0.2">
      <c r="A584" s="190" t="s">
        <v>2466</v>
      </c>
      <c r="B584" s="190" t="s">
        <v>2350</v>
      </c>
      <c r="C584" s="191">
        <v>0</v>
      </c>
      <c r="D584" s="191">
        <v>-0.56580706141846615</v>
      </c>
    </row>
    <row r="585" spans="1:4" ht="27.75" customHeight="1" x14ac:dyDescent="0.2">
      <c r="A585" s="190" t="s">
        <v>1697</v>
      </c>
      <c r="B585" s="190" t="s">
        <v>2350</v>
      </c>
      <c r="C585" s="191">
        <v>1.2044729244515002</v>
      </c>
      <c r="D585" s="191">
        <v>-2.2182957893540758</v>
      </c>
    </row>
    <row r="586" spans="1:4" ht="27.75" customHeight="1" x14ac:dyDescent="0.2">
      <c r="A586" s="190" t="s">
        <v>1698</v>
      </c>
      <c r="B586" s="190" t="s">
        <v>2351</v>
      </c>
      <c r="C586" s="191">
        <v>0.42164643698095178</v>
      </c>
      <c r="D586" s="191">
        <v>0.58852695560315049</v>
      </c>
    </row>
    <row r="587" spans="1:4" ht="27.75" customHeight="1" x14ac:dyDescent="0.2">
      <c r="A587" s="190" t="s">
        <v>1701</v>
      </c>
      <c r="B587" s="190" t="s">
        <v>2354</v>
      </c>
      <c r="C587" s="191">
        <v>-3.4368549215886466</v>
      </c>
      <c r="D587" s="191">
        <v>0.4136549527225748</v>
      </c>
    </row>
    <row r="588" spans="1:4" ht="27.75" customHeight="1" x14ac:dyDescent="0.2">
      <c r="A588" s="190" t="s">
        <v>1702</v>
      </c>
      <c r="B588" s="190" t="s">
        <v>2354</v>
      </c>
      <c r="C588" s="191">
        <v>-3.4279846465387065</v>
      </c>
      <c r="D588" s="191">
        <v>0.41366022890477083</v>
      </c>
    </row>
    <row r="589" spans="1:4" ht="27.75" customHeight="1" x14ac:dyDescent="0.2">
      <c r="A589" s="190" t="s">
        <v>1703</v>
      </c>
      <c r="B589" s="190" t="s">
        <v>2355</v>
      </c>
      <c r="C589" s="191">
        <v>1.4792934508537943</v>
      </c>
      <c r="D589" s="191">
        <v>4.2297508688743379</v>
      </c>
    </row>
    <row r="590" spans="1:4" ht="27.75" customHeight="1" x14ac:dyDescent="0.2">
      <c r="A590" s="190" t="s">
        <v>1704</v>
      </c>
      <c r="B590" s="190" t="s">
        <v>2356</v>
      </c>
      <c r="C590" s="191">
        <v>0</v>
      </c>
      <c r="D590" s="191">
        <v>0.39921697012531343</v>
      </c>
    </row>
    <row r="591" spans="1:4" ht="27.75" customHeight="1" x14ac:dyDescent="0.2">
      <c r="A591" s="190" t="s">
        <v>1705</v>
      </c>
      <c r="B591" s="190" t="s">
        <v>2357</v>
      </c>
      <c r="C591" s="191">
        <v>0</v>
      </c>
      <c r="D591" s="191">
        <v>1.9358867432153901</v>
      </c>
    </row>
    <row r="592" spans="1:4" ht="27.75" customHeight="1" x14ac:dyDescent="0.2">
      <c r="A592" s="190" t="s">
        <v>1706</v>
      </c>
      <c r="B592" s="190" t="s">
        <v>2357</v>
      </c>
      <c r="C592" s="191">
        <v>1.527032515995832</v>
      </c>
      <c r="D592" s="191">
        <v>2.7081843757366295</v>
      </c>
    </row>
    <row r="593" spans="1:4" ht="27.75" customHeight="1" x14ac:dyDescent="0.2">
      <c r="A593" s="190" t="s">
        <v>1707</v>
      </c>
      <c r="B593" s="190" t="s">
        <v>2358</v>
      </c>
      <c r="C593" s="191">
        <v>0.22658422585649102</v>
      </c>
      <c r="D593" s="191">
        <v>0.8858712676936924</v>
      </c>
    </row>
    <row r="594" spans="1:4" ht="27.75" customHeight="1" x14ac:dyDescent="0.2">
      <c r="A594" s="190" t="s">
        <v>1709</v>
      </c>
      <c r="B594" s="190" t="s">
        <v>2360</v>
      </c>
      <c r="C594" s="191">
        <v>2.9545273577020601</v>
      </c>
      <c r="D594" s="191">
        <v>30.057191858640348</v>
      </c>
    </row>
    <row r="595" spans="1:4" ht="27.75" customHeight="1" x14ac:dyDescent="0.2">
      <c r="A595" s="190" t="s">
        <v>1711</v>
      </c>
      <c r="B595" s="190" t="s">
        <v>2362</v>
      </c>
      <c r="C595" s="191">
        <v>1.3702684536405421</v>
      </c>
      <c r="D595" s="191">
        <v>6.0512071335810935E-2</v>
      </c>
    </row>
    <row r="596" spans="1:4" ht="27.75" customHeight="1" x14ac:dyDescent="0.2">
      <c r="A596" s="190" t="s">
        <v>1712</v>
      </c>
      <c r="B596" s="190" t="s">
        <v>2363</v>
      </c>
      <c r="C596" s="191">
        <v>0.64025240774773295</v>
      </c>
      <c r="D596" s="191">
        <v>40.810131283151897</v>
      </c>
    </row>
    <row r="597" spans="1:4" ht="27.75" customHeight="1" x14ac:dyDescent="0.2">
      <c r="A597" s="190" t="s">
        <v>1713</v>
      </c>
      <c r="B597" s="190" t="s">
        <v>2364</v>
      </c>
      <c r="C597" s="191">
        <v>2.3580060514815959</v>
      </c>
      <c r="D597" s="191">
        <v>11.874685443552373</v>
      </c>
    </row>
    <row r="598" spans="1:4" ht="27.75" customHeight="1" x14ac:dyDescent="0.2">
      <c r="A598" s="190" t="s">
        <v>1714</v>
      </c>
      <c r="B598" s="190" t="s">
        <v>2365</v>
      </c>
      <c r="C598" s="191">
        <v>0.85553294174648853</v>
      </c>
      <c r="D598" s="191">
        <v>6.9601158759113826</v>
      </c>
    </row>
    <row r="599" spans="1:4" ht="27.75" customHeight="1" x14ac:dyDescent="0.2">
      <c r="A599" s="190" t="s">
        <v>1715</v>
      </c>
      <c r="B599" s="190" t="s">
        <v>2366</v>
      </c>
      <c r="C599" s="191">
        <v>2.6488093179315699</v>
      </c>
      <c r="D599" s="191">
        <v>0.996652207418812</v>
      </c>
    </row>
    <row r="600" spans="1:4" ht="27.75" customHeight="1" x14ac:dyDescent="0.2">
      <c r="A600" s="190" t="s">
        <v>1716</v>
      </c>
      <c r="B600" s="190" t="s">
        <v>2367</v>
      </c>
      <c r="C600" s="191">
        <v>1.3812139328741411</v>
      </c>
      <c r="D600" s="191">
        <v>7.8015439240105167</v>
      </c>
    </row>
    <row r="601" spans="1:4" ht="27.75" customHeight="1" x14ac:dyDescent="0.2">
      <c r="A601" s="190" t="s">
        <v>1718</v>
      </c>
      <c r="B601" s="190" t="s">
        <v>2369</v>
      </c>
      <c r="C601" s="191">
        <v>0.10003098442893149</v>
      </c>
      <c r="D601" s="191">
        <v>1.5546447931354428</v>
      </c>
    </row>
    <row r="602" spans="1:4" ht="27.75" customHeight="1" x14ac:dyDescent="0.2">
      <c r="A602" s="190" t="s">
        <v>1719</v>
      </c>
      <c r="B602" s="190" t="s">
        <v>2370</v>
      </c>
      <c r="C602" s="191">
        <v>0.15834158110205532</v>
      </c>
      <c r="D602" s="191">
        <v>2.6918484941838874</v>
      </c>
    </row>
    <row r="603" spans="1:4" ht="27.75" customHeight="1" x14ac:dyDescent="0.2">
      <c r="A603" s="190" t="s">
        <v>1720</v>
      </c>
      <c r="B603" s="190" t="s">
        <v>2371</v>
      </c>
      <c r="C603" s="191">
        <v>0</v>
      </c>
      <c r="D603" s="191">
        <v>2.8974410287158032</v>
      </c>
    </row>
    <row r="604" spans="1:4" ht="27.75" customHeight="1" x14ac:dyDescent="0.2">
      <c r="A604" s="190" t="s">
        <v>1721</v>
      </c>
      <c r="B604" s="190" t="s">
        <v>2372</v>
      </c>
      <c r="C604" s="191">
        <v>-0.31194462234864906</v>
      </c>
      <c r="D604" s="191">
        <v>-7.9011506660978281E-2</v>
      </c>
    </row>
    <row r="605" spans="1:4" ht="27.75" customHeight="1" x14ac:dyDescent="0.2">
      <c r="A605" s="190" t="s">
        <v>1722</v>
      </c>
      <c r="B605" s="190" t="s">
        <v>2373</v>
      </c>
      <c r="C605" s="191">
        <v>0.73443243317690876</v>
      </c>
      <c r="D605" s="191">
        <v>14.402230927614298</v>
      </c>
    </row>
    <row r="606" spans="1:4" ht="27.75" customHeight="1" x14ac:dyDescent="0.2">
      <c r="A606" s="190" t="s">
        <v>1723</v>
      </c>
      <c r="B606" s="190" t="s">
        <v>2374</v>
      </c>
      <c r="C606" s="191">
        <v>2.2926704867903807</v>
      </c>
      <c r="D606" s="191">
        <v>7.0504156973393384</v>
      </c>
    </row>
    <row r="607" spans="1:4" ht="27.75" customHeight="1" x14ac:dyDescent="0.2">
      <c r="A607" s="190" t="s">
        <v>1724</v>
      </c>
      <c r="B607" s="190" t="s">
        <v>2375</v>
      </c>
      <c r="C607" s="191">
        <v>1.289162370782422</v>
      </c>
      <c r="D607" s="191">
        <v>3.9561245516136303</v>
      </c>
    </row>
    <row r="608" spans="1:4" ht="27.75" customHeight="1" x14ac:dyDescent="0.2">
      <c r="A608" s="190" t="s">
        <v>1725</v>
      </c>
      <c r="B608" s="190" t="s">
        <v>2376</v>
      </c>
      <c r="C608" s="191">
        <v>1.499594964485006</v>
      </c>
      <c r="D608" s="191">
        <v>18.771260272389139</v>
      </c>
    </row>
    <row r="609" spans="1:4" ht="27.75" customHeight="1" x14ac:dyDescent="0.2">
      <c r="A609" s="190" t="s">
        <v>1726</v>
      </c>
      <c r="B609" s="190" t="s">
        <v>2377</v>
      </c>
      <c r="C609" s="191">
        <v>0.21623256695372997</v>
      </c>
      <c r="D609" s="191">
        <v>2.1015316318216226</v>
      </c>
    </row>
    <row r="610" spans="1:4" ht="27.75" customHeight="1" x14ac:dyDescent="0.2">
      <c r="A610" s="190" t="s">
        <v>1728</v>
      </c>
      <c r="B610" s="190" t="s">
        <v>2378</v>
      </c>
      <c r="C610" s="191">
        <v>1.9623870217574599</v>
      </c>
      <c r="D610" s="191">
        <v>7.6296174936019288</v>
      </c>
    </row>
    <row r="611" spans="1:4" ht="27.75" customHeight="1" x14ac:dyDescent="0.2">
      <c r="A611" s="190" t="s">
        <v>1729</v>
      </c>
      <c r="B611" s="190" t="s">
        <v>2379</v>
      </c>
      <c r="C611" s="191">
        <v>5.6020309944079969</v>
      </c>
      <c r="D611" s="191">
        <v>-0.91413710600374198</v>
      </c>
    </row>
    <row r="612" spans="1:4" ht="27.75" customHeight="1" x14ac:dyDescent="0.2">
      <c r="A612" s="190" t="s">
        <v>1730</v>
      </c>
      <c r="B612" s="190" t="s">
        <v>2379</v>
      </c>
      <c r="C612" s="191">
        <v>5.9598577770501837</v>
      </c>
      <c r="D612" s="191">
        <v>-0.90522871728636556</v>
      </c>
    </row>
    <row r="613" spans="1:4" ht="27.75" customHeight="1" x14ac:dyDescent="0.2">
      <c r="A613" s="190" t="s">
        <v>1731</v>
      </c>
      <c r="B613" s="190" t="s">
        <v>2380</v>
      </c>
      <c r="C613" s="191">
        <v>9.6808821654367303E-3</v>
      </c>
      <c r="D613" s="191">
        <v>0.54146336161087438</v>
      </c>
    </row>
    <row r="614" spans="1:4" ht="27.75" customHeight="1" x14ac:dyDescent="0.2">
      <c r="A614" s="190" t="s">
        <v>1732</v>
      </c>
      <c r="B614" s="190" t="s">
        <v>2381</v>
      </c>
      <c r="C614" s="191">
        <v>0</v>
      </c>
      <c r="D614" s="191">
        <v>0.85738244153079624</v>
      </c>
    </row>
    <row r="615" spans="1:4" ht="27.75" customHeight="1" x14ac:dyDescent="0.2">
      <c r="A615" s="190" t="s">
        <v>1734</v>
      </c>
      <c r="B615" s="190" t="s">
        <v>2383</v>
      </c>
      <c r="C615" s="191">
        <v>3.5316151052125289</v>
      </c>
      <c r="D615" s="191">
        <v>-0.41466847731592882</v>
      </c>
    </row>
    <row r="616" spans="1:4" ht="27.75" customHeight="1" x14ac:dyDescent="0.2">
      <c r="A616" s="190" t="s">
        <v>1735</v>
      </c>
      <c r="B616" s="190" t="s">
        <v>2384</v>
      </c>
      <c r="C616" s="191">
        <v>1.5723710916453042</v>
      </c>
      <c r="D616" s="191">
        <v>8.9126912451535532</v>
      </c>
    </row>
    <row r="617" spans="1:4" ht="27.75" customHeight="1" x14ac:dyDescent="0.2">
      <c r="A617" s="190" t="s">
        <v>1736</v>
      </c>
      <c r="B617" s="190" t="s">
        <v>2385</v>
      </c>
      <c r="C617" s="191">
        <v>0.45003978130637201</v>
      </c>
      <c r="D617" s="191">
        <v>2.9657561473296368</v>
      </c>
    </row>
    <row r="618" spans="1:4" ht="27.75" customHeight="1" x14ac:dyDescent="0.2">
      <c r="A618" s="190" t="s">
        <v>1737</v>
      </c>
      <c r="B618" s="190" t="s">
        <v>2386</v>
      </c>
      <c r="C618" s="191">
        <v>0.92015160379410921</v>
      </c>
      <c r="D618" s="191">
        <v>9.0384437685935826</v>
      </c>
    </row>
    <row r="619" spans="1:4" ht="27.75" customHeight="1" x14ac:dyDescent="0.2">
      <c r="A619" s="190" t="s">
        <v>1738</v>
      </c>
      <c r="B619" s="190" t="s">
        <v>2387</v>
      </c>
      <c r="C619" s="191">
        <v>0.39644747243867151</v>
      </c>
      <c r="D619" s="191">
        <v>13.881973612093928</v>
      </c>
    </row>
    <row r="620" spans="1:4" ht="27.75" customHeight="1" x14ac:dyDescent="0.2">
      <c r="A620" s="190" t="s">
        <v>1739</v>
      </c>
      <c r="B620" s="190" t="s">
        <v>2388</v>
      </c>
      <c r="C620" s="191">
        <v>0.18014747268610179</v>
      </c>
      <c r="D620" s="191">
        <v>0.61176382717817057</v>
      </c>
    </row>
    <row r="621" spans="1:4" ht="27.75" customHeight="1" x14ac:dyDescent="0.2">
      <c r="A621" s="190" t="s">
        <v>1740</v>
      </c>
      <c r="B621" s="190" t="s">
        <v>2389</v>
      </c>
      <c r="C621" s="191">
        <v>1.105479299662119</v>
      </c>
      <c r="D621" s="191">
        <v>9.8453890584242494</v>
      </c>
    </row>
    <row r="622" spans="1:4" ht="27.75" customHeight="1" x14ac:dyDescent="0.2">
      <c r="A622" s="190" t="s">
        <v>1741</v>
      </c>
      <c r="B622" s="190" t="s">
        <v>2390</v>
      </c>
      <c r="C622" s="191">
        <v>0.260525756649303</v>
      </c>
      <c r="D622" s="191">
        <v>70.440670245772793</v>
      </c>
    </row>
    <row r="623" spans="1:4" ht="27.75" customHeight="1" x14ac:dyDescent="0.2">
      <c r="A623" s="190" t="s">
        <v>1742</v>
      </c>
      <c r="B623" s="190" t="s">
        <v>2391</v>
      </c>
      <c r="C623" s="191">
        <v>1.310001748840407</v>
      </c>
      <c r="D623" s="191">
        <v>5.9623358046273776</v>
      </c>
    </row>
    <row r="624" spans="1:4" ht="27.75" customHeight="1" x14ac:dyDescent="0.2">
      <c r="A624" s="190" t="s">
        <v>1743</v>
      </c>
      <c r="B624" s="190" t="s">
        <v>2392</v>
      </c>
      <c r="C624" s="191">
        <v>5.1507078282612042</v>
      </c>
      <c r="D624" s="191">
        <v>0.2678813760092158</v>
      </c>
    </row>
    <row r="625" spans="1:4" ht="27.75" customHeight="1" x14ac:dyDescent="0.2">
      <c r="A625" s="190" t="s">
        <v>1745</v>
      </c>
      <c r="B625" s="190" t="s">
        <v>2394</v>
      </c>
      <c r="C625" s="191">
        <v>1.8405931663518129</v>
      </c>
      <c r="D625" s="191">
        <v>-0.10940121402014968</v>
      </c>
    </row>
    <row r="626" spans="1:4" ht="27.75" customHeight="1" x14ac:dyDescent="0.2">
      <c r="A626" s="190" t="s">
        <v>1746</v>
      </c>
      <c r="B626" s="190" t="s">
        <v>2395</v>
      </c>
      <c r="C626" s="191">
        <v>7.9147449551200053E-3</v>
      </c>
      <c r="D626" s="191">
        <v>0.10088782618407438</v>
      </c>
    </row>
    <row r="627" spans="1:4" ht="27.75" customHeight="1" x14ac:dyDescent="0.2">
      <c r="A627" s="190" t="s">
        <v>1748</v>
      </c>
      <c r="B627" s="190" t="s">
        <v>2397</v>
      </c>
      <c r="C627" s="191">
        <v>0</v>
      </c>
      <c r="D627" s="191">
        <v>0</v>
      </c>
    </row>
    <row r="628" spans="1:4" ht="27.75" customHeight="1" x14ac:dyDescent="0.2">
      <c r="A628" s="190" t="s">
        <v>1749</v>
      </c>
      <c r="B628" s="190" t="s">
        <v>2398</v>
      </c>
      <c r="C628" s="191">
        <v>1.058732157786566</v>
      </c>
      <c r="D628" s="191">
        <v>1.0792001546266038E-2</v>
      </c>
    </row>
    <row r="629" spans="1:4" ht="27.75" customHeight="1" x14ac:dyDescent="0.2">
      <c r="A629" s="190" t="s">
        <v>1750</v>
      </c>
      <c r="B629" s="190" t="s">
        <v>2399</v>
      </c>
      <c r="C629" s="191">
        <v>1.540328784789492</v>
      </c>
      <c r="D629" s="191">
        <v>7.8561653399769673</v>
      </c>
    </row>
    <row r="630" spans="1:4" ht="27.75" customHeight="1" x14ac:dyDescent="0.2">
      <c r="A630" s="190" t="s">
        <v>2467</v>
      </c>
      <c r="B630" s="190" t="s">
        <v>2496</v>
      </c>
      <c r="C630" s="191">
        <v>2.3188719903249641E-3</v>
      </c>
      <c r="D630" s="191">
        <v>7.9543358578317333E-2</v>
      </c>
    </row>
    <row r="631" spans="1:4" ht="27.75" customHeight="1" x14ac:dyDescent="0.2">
      <c r="A631" s="190" t="s">
        <v>1751</v>
      </c>
      <c r="B631" s="190" t="s">
        <v>2400</v>
      </c>
      <c r="C631" s="191">
        <v>0</v>
      </c>
      <c r="D631" s="191">
        <v>4.9435376136993661</v>
      </c>
    </row>
    <row r="632" spans="1:4" ht="27.75" customHeight="1" x14ac:dyDescent="0.2">
      <c r="A632" s="190" t="s">
        <v>1752</v>
      </c>
      <c r="B632" s="190" t="s">
        <v>2400</v>
      </c>
      <c r="C632" s="191">
        <v>0</v>
      </c>
      <c r="D632" s="191">
        <v>7.582890887161545</v>
      </c>
    </row>
    <row r="633" spans="1:4" ht="27.75" customHeight="1" x14ac:dyDescent="0.2">
      <c r="A633" s="190" t="s">
        <v>1753</v>
      </c>
      <c r="B633" s="190" t="s">
        <v>2401</v>
      </c>
      <c r="C633" s="191">
        <v>2.7564551372949309</v>
      </c>
      <c r="D633" s="191">
        <v>4.4240655796720132</v>
      </c>
    </row>
    <row r="634" spans="1:4" ht="27.75" customHeight="1" x14ac:dyDescent="0.2">
      <c r="A634" s="190" t="s">
        <v>1754</v>
      </c>
      <c r="B634" s="190" t="s">
        <v>2402</v>
      </c>
      <c r="C634" s="191">
        <v>0.48801680838987399</v>
      </c>
      <c r="D634" s="191">
        <v>4.4380844216769324</v>
      </c>
    </row>
    <row r="635" spans="1:4" ht="27.75" customHeight="1" x14ac:dyDescent="0.2">
      <c r="A635" s="190" t="s">
        <v>1755</v>
      </c>
      <c r="B635" s="190" t="s">
        <v>2403</v>
      </c>
      <c r="C635" s="191">
        <v>-0.18599397781128979</v>
      </c>
      <c r="D635" s="191">
        <v>0.3910211031827675</v>
      </c>
    </row>
    <row r="636" spans="1:4" ht="27.75" customHeight="1" x14ac:dyDescent="0.2">
      <c r="A636" s="190" t="s">
        <v>1757</v>
      </c>
      <c r="B636" s="190" t="s">
        <v>2405</v>
      </c>
      <c r="C636" s="191">
        <v>0</v>
      </c>
      <c r="D636" s="191">
        <v>0</v>
      </c>
    </row>
    <row r="637" spans="1:4" ht="27.75" customHeight="1" x14ac:dyDescent="0.2">
      <c r="A637" s="190" t="s">
        <v>1758</v>
      </c>
      <c r="B637" s="190" t="s">
        <v>2406</v>
      </c>
      <c r="C637" s="191">
        <v>3.0855878517581399</v>
      </c>
      <c r="D637" s="191">
        <v>9.9138148294598789</v>
      </c>
    </row>
    <row r="638" spans="1:4" ht="27.75" customHeight="1" x14ac:dyDescent="0.2">
      <c r="A638" s="190" t="s">
        <v>1760</v>
      </c>
      <c r="B638" s="190" t="s">
        <v>2408</v>
      </c>
      <c r="C638" s="191">
        <v>0.45026959282580231</v>
      </c>
      <c r="D638" s="191">
        <v>9.7616546986212303</v>
      </c>
    </row>
    <row r="639" spans="1:4" ht="27.75" customHeight="1" x14ac:dyDescent="0.2">
      <c r="A639" s="190" t="s">
        <v>1761</v>
      </c>
      <c r="B639" s="190" t="s">
        <v>2409</v>
      </c>
      <c r="C639" s="191">
        <v>-0.48513018412956871</v>
      </c>
      <c r="D639" s="191">
        <v>11.176007576265798</v>
      </c>
    </row>
    <row r="640" spans="1:4" ht="27.75" customHeight="1" x14ac:dyDescent="0.2">
      <c r="A640" s="190" t="s">
        <v>1762</v>
      </c>
      <c r="B640" s="190" t="s">
        <v>2410</v>
      </c>
      <c r="C640" s="191">
        <v>0.1197170215237247</v>
      </c>
      <c r="D640" s="191">
        <v>7.958384591934589</v>
      </c>
    </row>
    <row r="641" spans="1:4" ht="27.75" customHeight="1" x14ac:dyDescent="0.2">
      <c r="A641" s="190" t="s">
        <v>1763</v>
      </c>
      <c r="B641" s="190" t="s">
        <v>2411</v>
      </c>
      <c r="C641" s="191">
        <v>1.3242110495326651</v>
      </c>
      <c r="D641" s="191">
        <v>8.1306746956713063</v>
      </c>
    </row>
    <row r="642" spans="1:4" ht="27.75" customHeight="1" x14ac:dyDescent="0.2">
      <c r="A642" s="190" t="s">
        <v>1765</v>
      </c>
      <c r="B642" s="190" t="s">
        <v>2413</v>
      </c>
      <c r="C642" s="191">
        <v>0.22565429680892571</v>
      </c>
      <c r="D642" s="191">
        <v>15.919098961909256</v>
      </c>
    </row>
    <row r="643" spans="1:4" ht="27.75" customHeight="1" x14ac:dyDescent="0.2">
      <c r="A643" s="190" t="s">
        <v>1766</v>
      </c>
      <c r="B643" s="190" t="s">
        <v>2414</v>
      </c>
      <c r="C643" s="191">
        <v>1.7987140306091125</v>
      </c>
      <c r="D643" s="191">
        <v>-4.3752720201274853E-2</v>
      </c>
    </row>
    <row r="644" spans="1:4" ht="27.75" customHeight="1" x14ac:dyDescent="0.2">
      <c r="A644" s="190" t="s">
        <v>1767</v>
      </c>
      <c r="B644" s="190" t="s">
        <v>2415</v>
      </c>
      <c r="C644" s="191">
        <v>0.77289074369872801</v>
      </c>
      <c r="D644" s="191">
        <v>-9.4164398639107194E-4</v>
      </c>
    </row>
    <row r="645" spans="1:4" ht="27.75" customHeight="1" x14ac:dyDescent="0.2">
      <c r="A645" s="190" t="s">
        <v>1769</v>
      </c>
      <c r="B645" s="190" t="s">
        <v>2417</v>
      </c>
      <c r="C645" s="191">
        <v>1.2498908620608389</v>
      </c>
      <c r="D645" s="191">
        <v>5.1826060971762011E-2</v>
      </c>
    </row>
    <row r="646" spans="1:4" ht="27.75" customHeight="1" x14ac:dyDescent="0.2">
      <c r="A646" s="190" t="s">
        <v>1771</v>
      </c>
      <c r="B646" s="190" t="s">
        <v>2419</v>
      </c>
      <c r="C646" s="191">
        <v>0.54251217798828999</v>
      </c>
      <c r="D646" s="191">
        <v>0.58268906619876892</v>
      </c>
    </row>
    <row r="647" spans="1:4" ht="27.75" customHeight="1" x14ac:dyDescent="0.2">
      <c r="A647" s="190" t="s">
        <v>1056</v>
      </c>
      <c r="B647" s="190" t="s">
        <v>1775</v>
      </c>
      <c r="C647" s="191">
        <v>4.3379675175469234</v>
      </c>
      <c r="D647" s="191">
        <v>4.5820042342308902</v>
      </c>
    </row>
    <row r="648" spans="1:4" ht="27.75" customHeight="1" x14ac:dyDescent="0.2">
      <c r="A648" s="190" t="s">
        <v>1059</v>
      </c>
      <c r="B648" s="190" t="s">
        <v>1778</v>
      </c>
      <c r="C648" s="191">
        <v>0.35220660915570806</v>
      </c>
      <c r="D648" s="191">
        <v>1.031610797058901</v>
      </c>
    </row>
    <row r="649" spans="1:4" ht="27.75" customHeight="1" x14ac:dyDescent="0.2">
      <c r="A649" s="190" t="s">
        <v>1075</v>
      </c>
      <c r="B649" s="190" t="s">
        <v>1791</v>
      </c>
      <c r="C649" s="191">
        <v>4.2829379579798781</v>
      </c>
      <c r="D649" s="191">
        <v>0.18101950345952922</v>
      </c>
    </row>
    <row r="650" spans="1:4" ht="27.75" customHeight="1" x14ac:dyDescent="0.2">
      <c r="A650" s="190" t="s">
        <v>1084</v>
      </c>
      <c r="B650" s="190" t="s">
        <v>1800</v>
      </c>
      <c r="C650" s="191">
        <v>0.23415178276016135</v>
      </c>
      <c r="D650" s="191">
        <v>1.7726143312856435E-3</v>
      </c>
    </row>
    <row r="651" spans="1:4" ht="27.75" customHeight="1" x14ac:dyDescent="0.2">
      <c r="A651" s="190" t="s">
        <v>1090</v>
      </c>
      <c r="B651" s="190" t="s">
        <v>1806</v>
      </c>
      <c r="C651" s="191">
        <v>-0.45666776699362888</v>
      </c>
      <c r="D651" s="191">
        <v>0.27300336594732499</v>
      </c>
    </row>
    <row r="652" spans="1:4" ht="27.75" customHeight="1" x14ac:dyDescent="0.2">
      <c r="A652" s="190" t="s">
        <v>1104</v>
      </c>
      <c r="B652" s="190" t="s">
        <v>1819</v>
      </c>
      <c r="C652" s="191">
        <v>-0.20604213063892934</v>
      </c>
      <c r="D652" s="191">
        <v>5.163079453180619E-2</v>
      </c>
    </row>
    <row r="653" spans="1:4" ht="27.75" customHeight="1" x14ac:dyDescent="0.2">
      <c r="A653" s="190" t="s">
        <v>1108</v>
      </c>
      <c r="B653" s="190" t="s">
        <v>1822</v>
      </c>
      <c r="C653" s="191">
        <v>2.7895953176209392</v>
      </c>
      <c r="D653" s="191">
        <v>-1.4707257793196149E-3</v>
      </c>
    </row>
    <row r="654" spans="1:4" ht="27.75" customHeight="1" x14ac:dyDescent="0.2">
      <c r="A654" s="190" t="s">
        <v>1115</v>
      </c>
      <c r="B654" s="190" t="s">
        <v>1828</v>
      </c>
      <c r="C654" s="191">
        <v>0.69241581295075971</v>
      </c>
      <c r="D654" s="191">
        <v>5.4780106111946836E-3</v>
      </c>
    </row>
    <row r="655" spans="1:4" ht="27.75" customHeight="1" x14ac:dyDescent="0.2">
      <c r="A655" s="190" t="s">
        <v>1116</v>
      </c>
      <c r="B655" s="190" t="s">
        <v>1829</v>
      </c>
      <c r="C655" s="191">
        <v>0.35688648073443452</v>
      </c>
      <c r="D655" s="191">
        <v>-1.0189962204284753E-2</v>
      </c>
    </row>
    <row r="656" spans="1:4" ht="27.75" customHeight="1" x14ac:dyDescent="0.2">
      <c r="A656" s="190" t="s">
        <v>1117</v>
      </c>
      <c r="B656" s="190" t="s">
        <v>1830</v>
      </c>
      <c r="C656" s="191">
        <v>7.0047046282096463</v>
      </c>
      <c r="D656" s="191">
        <v>0.85055640245237818</v>
      </c>
    </row>
    <row r="657" spans="1:4" ht="27.75" customHeight="1" x14ac:dyDescent="0.2">
      <c r="A657" s="190" t="s">
        <v>1118</v>
      </c>
      <c r="B657" s="190" t="s">
        <v>1831</v>
      </c>
      <c r="C657" s="191">
        <v>1.5234761770240197E-2</v>
      </c>
      <c r="D657" s="191">
        <v>-0.16966762008780301</v>
      </c>
    </row>
    <row r="658" spans="1:4" ht="27.75" customHeight="1" x14ac:dyDescent="0.2">
      <c r="A658" s="190" t="s">
        <v>1144</v>
      </c>
      <c r="B658" s="190" t="s">
        <v>1854</v>
      </c>
      <c r="C658" s="191">
        <v>0</v>
      </c>
      <c r="D658" s="191">
        <v>-4.9718121059650344E-3</v>
      </c>
    </row>
    <row r="659" spans="1:4" ht="27.75" customHeight="1" x14ac:dyDescent="0.2">
      <c r="A659" s="190" t="s">
        <v>1145</v>
      </c>
      <c r="B659" s="190" t="s">
        <v>1854</v>
      </c>
      <c r="C659" s="191">
        <v>0</v>
      </c>
      <c r="D659" s="191">
        <v>8.9387184090680138E-3</v>
      </c>
    </row>
    <row r="660" spans="1:4" ht="27.75" customHeight="1" x14ac:dyDescent="0.2">
      <c r="A660" s="190" t="s">
        <v>1163</v>
      </c>
      <c r="B660" s="190" t="s">
        <v>1866</v>
      </c>
      <c r="C660" s="191">
        <v>1.589558603819976</v>
      </c>
      <c r="D660" s="191">
        <v>3.3211433046147931E-2</v>
      </c>
    </row>
    <row r="661" spans="1:4" ht="27.75" customHeight="1" x14ac:dyDescent="0.2">
      <c r="A661" s="190" t="s">
        <v>1169</v>
      </c>
      <c r="B661" s="190" t="s">
        <v>1872</v>
      </c>
      <c r="C661" s="191">
        <v>-0.20648125747103599</v>
      </c>
      <c r="D661" s="191">
        <v>5.1731409973647918E-2</v>
      </c>
    </row>
    <row r="662" spans="1:4" ht="27.75" customHeight="1" x14ac:dyDescent="0.2">
      <c r="A662" s="190" t="s">
        <v>1175</v>
      </c>
      <c r="B662" s="190" t="s">
        <v>1878</v>
      </c>
      <c r="C662" s="191">
        <v>0.24305357169194527</v>
      </c>
      <c r="D662" s="191">
        <v>6.3095418990612023E-2</v>
      </c>
    </row>
    <row r="663" spans="1:4" ht="27.75" customHeight="1" x14ac:dyDescent="0.2">
      <c r="A663" s="190" t="s">
        <v>1180</v>
      </c>
      <c r="B663" s="190" t="s">
        <v>1883</v>
      </c>
      <c r="C663" s="191">
        <v>0</v>
      </c>
      <c r="D663" s="191">
        <v>1.4791219700976249E-2</v>
      </c>
    </row>
    <row r="664" spans="1:4" ht="27.75" customHeight="1" x14ac:dyDescent="0.2">
      <c r="A664" s="190" t="s">
        <v>1181</v>
      </c>
      <c r="B664" s="190" t="s">
        <v>1884</v>
      </c>
      <c r="C664" s="191">
        <v>5.1316822616644266</v>
      </c>
      <c r="D664" s="191">
        <v>0.19481775455667893</v>
      </c>
    </row>
    <row r="665" spans="1:4" ht="27.75" customHeight="1" x14ac:dyDescent="0.2">
      <c r="A665" s="190" t="s">
        <v>1184</v>
      </c>
      <c r="B665" s="190" t="s">
        <v>1887</v>
      </c>
      <c r="C665" s="191">
        <v>1.6433386643893315</v>
      </c>
      <c r="D665" s="191">
        <v>-7.4862559328443101E-2</v>
      </c>
    </row>
    <row r="666" spans="1:4" ht="27.75" customHeight="1" x14ac:dyDescent="0.2">
      <c r="A666" s="190" t="s">
        <v>1203</v>
      </c>
      <c r="B666" s="190" t="s">
        <v>1905</v>
      </c>
      <c r="C666" s="191">
        <v>0</v>
      </c>
      <c r="D666" s="191">
        <v>0</v>
      </c>
    </row>
    <row r="667" spans="1:4" ht="27.75" customHeight="1" x14ac:dyDescent="0.2">
      <c r="A667" s="190" t="s">
        <v>1210</v>
      </c>
      <c r="B667" s="190" t="s">
        <v>1911</v>
      </c>
      <c r="C667" s="191">
        <v>0.54401137925277321</v>
      </c>
      <c r="D667" s="191">
        <v>2.2545674439470975E-2</v>
      </c>
    </row>
    <row r="668" spans="1:4" ht="27.75" customHeight="1" x14ac:dyDescent="0.2">
      <c r="A668" s="190" t="s">
        <v>1223</v>
      </c>
      <c r="B668" s="190" t="s">
        <v>1924</v>
      </c>
      <c r="C668" s="191">
        <v>0</v>
      </c>
      <c r="D668" s="191">
        <v>1.3970208946934461E-2</v>
      </c>
    </row>
    <row r="669" spans="1:4" ht="27.75" customHeight="1" x14ac:dyDescent="0.2">
      <c r="A669" s="190" t="s">
        <v>1229</v>
      </c>
      <c r="B669" s="190" t="s">
        <v>1930</v>
      </c>
      <c r="C669" s="191">
        <v>3.8151603738104054</v>
      </c>
      <c r="D669" s="191">
        <v>0.70213712176330745</v>
      </c>
    </row>
    <row r="670" spans="1:4" ht="27.75" customHeight="1" x14ac:dyDescent="0.2">
      <c r="A670" s="190" t="s">
        <v>1234</v>
      </c>
      <c r="B670" s="190" t="s">
        <v>1934</v>
      </c>
      <c r="C670" s="191">
        <v>1.7372480048590093</v>
      </c>
      <c r="D670" s="191">
        <v>0.59143461377358397</v>
      </c>
    </row>
    <row r="671" spans="1:4" ht="27.75" customHeight="1" x14ac:dyDescent="0.2">
      <c r="A671" s="190" t="s">
        <v>1237</v>
      </c>
      <c r="B671" s="190" t="s">
        <v>1937</v>
      </c>
      <c r="C671" s="191">
        <v>18.887548199613327</v>
      </c>
      <c r="D671" s="191">
        <v>-0.34515670476602622</v>
      </c>
    </row>
    <row r="672" spans="1:4" ht="27.75" customHeight="1" x14ac:dyDescent="0.2">
      <c r="A672" s="190" t="s">
        <v>1249</v>
      </c>
      <c r="B672" s="190" t="s">
        <v>1948</v>
      </c>
      <c r="C672" s="191">
        <v>46.292565608925401</v>
      </c>
      <c r="D672" s="191">
        <v>5.7982946405473967E-2</v>
      </c>
    </row>
    <row r="673" spans="1:4" ht="27.75" customHeight="1" x14ac:dyDescent="0.2">
      <c r="A673" s="190" t="s">
        <v>1254</v>
      </c>
      <c r="B673" s="190" t="s">
        <v>1952</v>
      </c>
      <c r="C673" s="191">
        <v>10.12865900564673</v>
      </c>
      <c r="D673" s="191">
        <v>0.74527815579784829</v>
      </c>
    </row>
    <row r="674" spans="1:4" ht="27.75" customHeight="1" x14ac:dyDescent="0.2">
      <c r="A674" s="190" t="s">
        <v>1256</v>
      </c>
      <c r="B674" s="190" t="s">
        <v>1954</v>
      </c>
      <c r="C674" s="191">
        <v>4.5986290094822833</v>
      </c>
      <c r="D674" s="191">
        <v>4.1555856100709221E-2</v>
      </c>
    </row>
    <row r="675" spans="1:4" ht="27.75" customHeight="1" x14ac:dyDescent="0.2">
      <c r="A675" s="190" t="s">
        <v>1260</v>
      </c>
      <c r="B675" s="190" t="s">
        <v>1958</v>
      </c>
      <c r="C675" s="191">
        <v>0.50219871629175838</v>
      </c>
      <c r="D675" s="191">
        <v>1.2994958278830127E-2</v>
      </c>
    </row>
    <row r="676" spans="1:4" ht="27.75" customHeight="1" x14ac:dyDescent="0.2">
      <c r="A676" s="190" t="s">
        <v>1261</v>
      </c>
      <c r="B676" s="190" t="s">
        <v>1959</v>
      </c>
      <c r="C676" s="191">
        <v>9.3924813952782592E-3</v>
      </c>
      <c r="D676" s="191">
        <v>4.2231678798357302E-3</v>
      </c>
    </row>
    <row r="677" spans="1:4" ht="27.75" customHeight="1" x14ac:dyDescent="0.2">
      <c r="A677" s="190" t="s">
        <v>1265</v>
      </c>
      <c r="B677" s="190" t="s">
        <v>1962</v>
      </c>
      <c r="C677" s="191">
        <v>-1.690354057518507</v>
      </c>
      <c r="D677" s="191">
        <v>0.17967512386260376</v>
      </c>
    </row>
    <row r="678" spans="1:4" ht="27.75" customHeight="1" x14ac:dyDescent="0.2">
      <c r="A678" s="190" t="s">
        <v>1273</v>
      </c>
      <c r="B678" s="190" t="s">
        <v>1970</v>
      </c>
      <c r="C678" s="191">
        <v>0</v>
      </c>
      <c r="D678" s="191">
        <v>0</v>
      </c>
    </row>
    <row r="679" spans="1:4" ht="27.75" customHeight="1" x14ac:dyDescent="0.2">
      <c r="A679" s="190" t="s">
        <v>1281</v>
      </c>
      <c r="B679" s="190" t="s">
        <v>1977</v>
      </c>
      <c r="C679" s="191">
        <v>0</v>
      </c>
      <c r="D679" s="191">
        <v>0</v>
      </c>
    </row>
    <row r="680" spans="1:4" ht="27.75" customHeight="1" x14ac:dyDescent="0.2">
      <c r="A680" s="190" t="s">
        <v>1291</v>
      </c>
      <c r="B680" s="190" t="s">
        <v>1985</v>
      </c>
      <c r="C680" s="191">
        <v>4.1971614478355344</v>
      </c>
      <c r="D680" s="191">
        <v>3.6531418526479973</v>
      </c>
    </row>
    <row r="681" spans="1:4" ht="27.75" customHeight="1" x14ac:dyDescent="0.2">
      <c r="A681" s="190" t="s">
        <v>1297</v>
      </c>
      <c r="B681" s="190" t="s">
        <v>1991</v>
      </c>
      <c r="C681" s="191">
        <v>0.21478148990522133</v>
      </c>
      <c r="D681" s="191">
        <v>8.7980994420669478E-2</v>
      </c>
    </row>
    <row r="682" spans="1:4" ht="27.75" customHeight="1" x14ac:dyDescent="0.2">
      <c r="A682" s="190" t="s">
        <v>1304</v>
      </c>
      <c r="B682" s="190" t="s">
        <v>1995</v>
      </c>
      <c r="C682" s="191">
        <v>0.13890110158483582</v>
      </c>
      <c r="D682" s="191">
        <v>-9.0335748795408594E-2</v>
      </c>
    </row>
    <row r="683" spans="1:4" ht="27.75" customHeight="1" x14ac:dyDescent="0.2">
      <c r="A683" s="190" t="s">
        <v>1308</v>
      </c>
      <c r="B683" s="190" t="s">
        <v>1999</v>
      </c>
      <c r="C683" s="191">
        <v>-3.2382214436682977E-4</v>
      </c>
      <c r="D683" s="191">
        <v>-8.6916582689606225E-3</v>
      </c>
    </row>
    <row r="684" spans="1:4" ht="27.75" customHeight="1" x14ac:dyDescent="0.2">
      <c r="A684" s="190" t="s">
        <v>1309</v>
      </c>
      <c r="B684" s="190" t="s">
        <v>2000</v>
      </c>
      <c r="C684" s="191">
        <v>7.0831251565133053</v>
      </c>
      <c r="D684" s="191">
        <v>0.85086013449981479</v>
      </c>
    </row>
    <row r="685" spans="1:4" ht="27.75" customHeight="1" x14ac:dyDescent="0.2">
      <c r="A685" s="190" t="s">
        <v>1310</v>
      </c>
      <c r="B685" s="190" t="s">
        <v>2001</v>
      </c>
      <c r="C685" s="191">
        <v>0.909942657345717</v>
      </c>
      <c r="D685" s="191">
        <v>0.56394212050866055</v>
      </c>
    </row>
    <row r="686" spans="1:4" ht="27.75" customHeight="1" x14ac:dyDescent="0.2">
      <c r="A686" s="190" t="s">
        <v>1311</v>
      </c>
      <c r="B686" s="190" t="s">
        <v>2002</v>
      </c>
      <c r="C686" s="191">
        <v>1.1186495506327452</v>
      </c>
      <c r="D686" s="191">
        <v>0.2302634301871298</v>
      </c>
    </row>
    <row r="687" spans="1:4" ht="27.75" customHeight="1" x14ac:dyDescent="0.2">
      <c r="A687" s="190" t="s">
        <v>1312</v>
      </c>
      <c r="B687" s="190" t="s">
        <v>2003</v>
      </c>
      <c r="C687" s="191">
        <v>0.21324216648629568</v>
      </c>
      <c r="D687" s="191">
        <v>0.29110802557017712</v>
      </c>
    </row>
    <row r="688" spans="1:4" ht="27.75" customHeight="1" x14ac:dyDescent="0.2">
      <c r="A688" s="190" t="s">
        <v>1315</v>
      </c>
      <c r="B688" s="190" t="s">
        <v>2006</v>
      </c>
      <c r="C688" s="191">
        <v>21.48232119161403</v>
      </c>
      <c r="D688" s="191">
        <v>5.4020353191346118</v>
      </c>
    </row>
    <row r="689" spans="1:4" ht="27.75" customHeight="1" x14ac:dyDescent="0.2">
      <c r="A689" s="190" t="s">
        <v>1320</v>
      </c>
      <c r="B689" s="190" t="s">
        <v>2011</v>
      </c>
      <c r="C689" s="191">
        <v>0.35220660915570806</v>
      </c>
      <c r="D689" s="191">
        <v>1.031610797058901</v>
      </c>
    </row>
    <row r="690" spans="1:4" ht="27.75" customHeight="1" x14ac:dyDescent="0.2">
      <c r="A690" s="190" t="s">
        <v>1325</v>
      </c>
      <c r="B690" s="190" t="s">
        <v>2016</v>
      </c>
      <c r="C690" s="191">
        <v>65.929832668953921</v>
      </c>
      <c r="D690" s="191">
        <v>0.94410368052450622</v>
      </c>
    </row>
    <row r="691" spans="1:4" ht="27.75" customHeight="1" x14ac:dyDescent="0.2">
      <c r="A691" s="190" t="s">
        <v>1326</v>
      </c>
      <c r="B691" s="190" t="s">
        <v>2017</v>
      </c>
      <c r="C691" s="191">
        <v>0.6031631794067559</v>
      </c>
      <c r="D691" s="191">
        <v>5.9793395847850705E-2</v>
      </c>
    </row>
    <row r="692" spans="1:4" ht="27.75" customHeight="1" x14ac:dyDescent="0.2">
      <c r="A692" s="190" t="s">
        <v>1329</v>
      </c>
      <c r="B692" s="190" t="s">
        <v>2020</v>
      </c>
      <c r="C692" s="191">
        <v>1.087926185797594E-2</v>
      </c>
      <c r="D692" s="191">
        <v>0.58505103350568588</v>
      </c>
    </row>
    <row r="693" spans="1:4" ht="27.75" customHeight="1" x14ac:dyDescent="0.2">
      <c r="A693" s="190" t="s">
        <v>1330</v>
      </c>
      <c r="B693" s="190" t="s">
        <v>2021</v>
      </c>
      <c r="C693" s="191">
        <v>0.20759442402463946</v>
      </c>
      <c r="D693" s="191">
        <v>1.2498747854770509E-2</v>
      </c>
    </row>
    <row r="694" spans="1:4" ht="27.75" customHeight="1" x14ac:dyDescent="0.2">
      <c r="A694" s="190" t="s">
        <v>2468</v>
      </c>
      <c r="B694" s="190" t="s">
        <v>2497</v>
      </c>
      <c r="C694" s="191">
        <v>-0.26585567052582615</v>
      </c>
      <c r="D694" s="191">
        <v>-0.19686223155260113</v>
      </c>
    </row>
    <row r="695" spans="1:4" ht="27.75" customHeight="1" x14ac:dyDescent="0.2">
      <c r="A695" s="190" t="s">
        <v>1341</v>
      </c>
      <c r="B695" s="190" t="s">
        <v>2031</v>
      </c>
      <c r="C695" s="191">
        <v>11.652883389264883</v>
      </c>
      <c r="D695" s="191">
        <v>0.31250909392111126</v>
      </c>
    </row>
    <row r="696" spans="1:4" ht="27.75" customHeight="1" x14ac:dyDescent="0.2">
      <c r="A696" s="190" t="s">
        <v>1350</v>
      </c>
      <c r="B696" s="190" t="s">
        <v>2038</v>
      </c>
      <c r="C696" s="191">
        <v>12.411122165829488</v>
      </c>
      <c r="D696" s="191">
        <v>5.6574419038959434E-2</v>
      </c>
    </row>
    <row r="697" spans="1:4" ht="27.75" customHeight="1" x14ac:dyDescent="0.2">
      <c r="A697" s="190" t="s">
        <v>2469</v>
      </c>
      <c r="B697" s="190" t="s">
        <v>2498</v>
      </c>
      <c r="C697" s="191">
        <v>0.32043218453091726</v>
      </c>
      <c r="D697" s="191">
        <v>-1.7042686937637996E-2</v>
      </c>
    </row>
    <row r="698" spans="1:4" ht="27.75" customHeight="1" x14ac:dyDescent="0.2">
      <c r="A698" s="190" t="s">
        <v>1365</v>
      </c>
      <c r="B698" s="190" t="s">
        <v>2053</v>
      </c>
      <c r="C698" s="191">
        <v>0.55213395887965722</v>
      </c>
      <c r="D698" s="191">
        <v>0.17399801937556869</v>
      </c>
    </row>
    <row r="699" spans="1:4" ht="27.75" customHeight="1" x14ac:dyDescent="0.2">
      <c r="A699" s="190" t="s">
        <v>1370</v>
      </c>
      <c r="B699" s="190" t="s">
        <v>2058</v>
      </c>
      <c r="C699" s="191">
        <v>0</v>
      </c>
      <c r="D699" s="191">
        <v>1.2009948120235672E-2</v>
      </c>
    </row>
    <row r="700" spans="1:4" ht="27.75" customHeight="1" x14ac:dyDescent="0.2">
      <c r="A700" s="190" t="s">
        <v>1387</v>
      </c>
      <c r="B700" s="190" t="s">
        <v>2071</v>
      </c>
      <c r="C700" s="191">
        <v>1.5839212617852827</v>
      </c>
      <c r="D700" s="191">
        <v>0.64256719818331498</v>
      </c>
    </row>
    <row r="701" spans="1:4" ht="27.75" customHeight="1" x14ac:dyDescent="0.2">
      <c r="A701" s="190" t="s">
        <v>1396</v>
      </c>
      <c r="B701" s="190" t="s">
        <v>2079</v>
      </c>
      <c r="C701" s="191">
        <v>1.2669350585939034</v>
      </c>
      <c r="D701" s="191">
        <v>4.0641125782912013E-2</v>
      </c>
    </row>
    <row r="702" spans="1:4" ht="27.75" customHeight="1" x14ac:dyDescent="0.2">
      <c r="A702" s="190" t="s">
        <v>1399</v>
      </c>
      <c r="B702" s="190" t="s">
        <v>2082</v>
      </c>
      <c r="C702" s="191">
        <v>13.276077314090415</v>
      </c>
      <c r="D702" s="191">
        <v>1.7595397521286582</v>
      </c>
    </row>
    <row r="703" spans="1:4" ht="27.75" customHeight="1" x14ac:dyDescent="0.2">
      <c r="A703" s="190" t="s">
        <v>1410</v>
      </c>
      <c r="B703" s="190" t="s">
        <v>2092</v>
      </c>
      <c r="C703" s="191">
        <v>8.1988157328361597E-3</v>
      </c>
      <c r="D703" s="191">
        <v>1.6973925751032203E-2</v>
      </c>
    </row>
    <row r="704" spans="1:4" ht="27.75" customHeight="1" x14ac:dyDescent="0.2">
      <c r="A704" s="190" t="s">
        <v>1422</v>
      </c>
      <c r="B704" s="190" t="s">
        <v>2103</v>
      </c>
      <c r="C704" s="191">
        <v>0.11968575328641387</v>
      </c>
      <c r="D704" s="191">
        <v>0.42145171942782378</v>
      </c>
    </row>
    <row r="705" spans="1:4" ht="27.75" customHeight="1" x14ac:dyDescent="0.2">
      <c r="A705" s="190" t="s">
        <v>1437</v>
      </c>
      <c r="B705" s="190" t="s">
        <v>2115</v>
      </c>
      <c r="C705" s="191">
        <v>0.57990411335316561</v>
      </c>
      <c r="D705" s="191">
        <v>2.5148716006821115E-2</v>
      </c>
    </row>
    <row r="706" spans="1:4" ht="27.75" customHeight="1" x14ac:dyDescent="0.2">
      <c r="A706" s="190" t="s">
        <v>1444</v>
      </c>
      <c r="B706" s="190" t="s">
        <v>2121</v>
      </c>
      <c r="C706" s="191">
        <v>2.4633706628808507E-2</v>
      </c>
      <c r="D706" s="191">
        <v>0.43146540085927987</v>
      </c>
    </row>
    <row r="707" spans="1:4" ht="27.75" customHeight="1" x14ac:dyDescent="0.2">
      <c r="A707" s="190" t="s">
        <v>1448</v>
      </c>
      <c r="B707" s="190" t="s">
        <v>2125</v>
      </c>
      <c r="C707" s="191">
        <v>-4.5963497431013257E-3</v>
      </c>
      <c r="D707" s="191">
        <v>-0.21602775275863198</v>
      </c>
    </row>
    <row r="708" spans="1:4" ht="27.75" customHeight="1" x14ac:dyDescent="0.2">
      <c r="A708" s="190" t="s">
        <v>1454</v>
      </c>
      <c r="B708" s="190" t="s">
        <v>2131</v>
      </c>
      <c r="C708" s="191">
        <v>3.0311665230404929</v>
      </c>
      <c r="D708" s="191">
        <v>0.2491153761726479</v>
      </c>
    </row>
    <row r="709" spans="1:4" ht="27.75" customHeight="1" x14ac:dyDescent="0.2">
      <c r="A709" s="190" t="s">
        <v>1484</v>
      </c>
      <c r="B709" s="190" t="s">
        <v>2159</v>
      </c>
      <c r="C709" s="191">
        <v>8.300382185904347</v>
      </c>
      <c r="D709" s="191">
        <v>0.72262962519727481</v>
      </c>
    </row>
    <row r="710" spans="1:4" ht="27.75" customHeight="1" x14ac:dyDescent="0.2">
      <c r="A710" s="190" t="s">
        <v>1485</v>
      </c>
      <c r="B710" s="190" t="s">
        <v>2160</v>
      </c>
      <c r="C710" s="191">
        <v>0.59109308970862151</v>
      </c>
      <c r="D710" s="191">
        <v>3.2699035394938347E-2</v>
      </c>
    </row>
    <row r="711" spans="1:4" ht="27.75" customHeight="1" x14ac:dyDescent="0.2">
      <c r="A711" s="190" t="s">
        <v>1489</v>
      </c>
      <c r="B711" s="190" t="s">
        <v>2164</v>
      </c>
      <c r="C711" s="191">
        <v>18.121674281803088</v>
      </c>
      <c r="D711" s="191">
        <v>1.2936373245403097</v>
      </c>
    </row>
    <row r="712" spans="1:4" ht="27.75" customHeight="1" x14ac:dyDescent="0.2">
      <c r="A712" s="190" t="s">
        <v>1494</v>
      </c>
      <c r="B712" s="190" t="s">
        <v>2169</v>
      </c>
      <c r="C712" s="191">
        <v>3.106444897370956</v>
      </c>
      <c r="D712" s="191">
        <v>-1.7747596201432625E-2</v>
      </c>
    </row>
    <row r="713" spans="1:4" ht="27.75" customHeight="1" x14ac:dyDescent="0.2">
      <c r="A713" s="190" t="s">
        <v>1496</v>
      </c>
      <c r="B713" s="190" t="s">
        <v>2171</v>
      </c>
      <c r="C713" s="191">
        <v>4.4105065315480703</v>
      </c>
      <c r="D713" s="191">
        <v>0.17030479354301331</v>
      </c>
    </row>
    <row r="714" spans="1:4" ht="27.75" customHeight="1" x14ac:dyDescent="0.2">
      <c r="A714" s="190" t="s">
        <v>2470</v>
      </c>
      <c r="B714" s="190" t="s">
        <v>2499</v>
      </c>
      <c r="C714" s="191">
        <v>0.67607855945366335</v>
      </c>
      <c r="D714" s="191">
        <v>1.7816329970917377</v>
      </c>
    </row>
    <row r="715" spans="1:4" ht="27.75" customHeight="1" x14ac:dyDescent="0.2">
      <c r="A715" s="190" t="s">
        <v>1519</v>
      </c>
      <c r="B715" s="190" t="s">
        <v>2192</v>
      </c>
      <c r="C715" s="191">
        <v>55.10492355858058</v>
      </c>
      <c r="D715" s="191">
        <v>6.4679894217839262E-2</v>
      </c>
    </row>
    <row r="716" spans="1:4" ht="27.75" customHeight="1" x14ac:dyDescent="0.2">
      <c r="A716" s="190" t="s">
        <v>1520</v>
      </c>
      <c r="B716" s="190" t="s">
        <v>2193</v>
      </c>
      <c r="C716" s="191">
        <v>2.1559034082304489</v>
      </c>
      <c r="D716" s="191">
        <v>33.198140038695421</v>
      </c>
    </row>
    <row r="717" spans="1:4" ht="27.75" customHeight="1" x14ac:dyDescent="0.2">
      <c r="A717" s="190" t="s">
        <v>1522</v>
      </c>
      <c r="B717" s="190" t="s">
        <v>2195</v>
      </c>
      <c r="C717" s="191">
        <v>3.2932663757125905E-2</v>
      </c>
      <c r="D717" s="191">
        <v>0.39752064829723455</v>
      </c>
    </row>
    <row r="718" spans="1:4" ht="27.75" customHeight="1" x14ac:dyDescent="0.2">
      <c r="A718" s="190" t="s">
        <v>1528</v>
      </c>
      <c r="B718" s="190" t="s">
        <v>2200</v>
      </c>
      <c r="C718" s="191">
        <v>7.2403368349646851</v>
      </c>
      <c r="D718" s="191">
        <v>0.21501723942831408</v>
      </c>
    </row>
    <row r="719" spans="1:4" ht="27.75" customHeight="1" x14ac:dyDescent="0.2">
      <c r="A719" s="190" t="s">
        <v>1537</v>
      </c>
      <c r="B719" s="190" t="s">
        <v>2208</v>
      </c>
      <c r="C719" s="191">
        <v>0.3547236336827938</v>
      </c>
      <c r="D719" s="191">
        <v>0.12202483895793187</v>
      </c>
    </row>
    <row r="720" spans="1:4" ht="27.75" customHeight="1" x14ac:dyDescent="0.2">
      <c r="A720" s="190" t="s">
        <v>1540</v>
      </c>
      <c r="B720" s="190" t="s">
        <v>2211</v>
      </c>
      <c r="C720" s="191">
        <v>-0.93610259278015207</v>
      </c>
      <c r="D720" s="191">
        <v>0.9510494589060382</v>
      </c>
    </row>
    <row r="721" spans="1:4" ht="27.75" customHeight="1" x14ac:dyDescent="0.2">
      <c r="A721" s="190" t="s">
        <v>1562</v>
      </c>
      <c r="B721" s="190" t="s">
        <v>2228</v>
      </c>
      <c r="C721" s="191">
        <v>11.869843537583007</v>
      </c>
      <c r="D721" s="191">
        <v>0.17578314563318642</v>
      </c>
    </row>
    <row r="722" spans="1:4" ht="27.75" customHeight="1" x14ac:dyDescent="0.2">
      <c r="A722" s="190" t="s">
        <v>1564</v>
      </c>
      <c r="B722" s="190" t="s">
        <v>2230</v>
      </c>
      <c r="C722" s="191">
        <v>-1.4992337591204199</v>
      </c>
      <c r="D722" s="191">
        <v>0.17449792090952099</v>
      </c>
    </row>
    <row r="723" spans="1:4" ht="27.75" customHeight="1" x14ac:dyDescent="0.2">
      <c r="A723" s="190" t="s">
        <v>1566</v>
      </c>
      <c r="B723" s="190" t="s">
        <v>2232</v>
      </c>
      <c r="C723" s="191">
        <v>0</v>
      </c>
      <c r="D723" s="191">
        <v>0</v>
      </c>
    </row>
    <row r="724" spans="1:4" ht="27.75" customHeight="1" x14ac:dyDescent="0.2">
      <c r="A724" s="190" t="s">
        <v>1569</v>
      </c>
      <c r="B724" s="190" t="s">
        <v>2234</v>
      </c>
      <c r="C724" s="191">
        <v>-0.20071192867124846</v>
      </c>
      <c r="D724" s="191">
        <v>0.26949571182401594</v>
      </c>
    </row>
    <row r="725" spans="1:4" ht="27.75" customHeight="1" x14ac:dyDescent="0.2">
      <c r="A725" s="190" t="s">
        <v>1571</v>
      </c>
      <c r="B725" s="190" t="s">
        <v>2236</v>
      </c>
      <c r="C725" s="191">
        <v>19.128836654069591</v>
      </c>
      <c r="D725" s="191">
        <v>4.3291677810183664</v>
      </c>
    </row>
    <row r="726" spans="1:4" ht="27.75" customHeight="1" x14ac:dyDescent="0.2">
      <c r="A726" s="190" t="s">
        <v>1575</v>
      </c>
      <c r="B726" s="190" t="s">
        <v>2240</v>
      </c>
      <c r="C726" s="191">
        <v>47.868230850253546</v>
      </c>
      <c r="D726" s="191">
        <v>0.49581386210357437</v>
      </c>
    </row>
    <row r="727" spans="1:4" ht="27.75" customHeight="1" x14ac:dyDescent="0.2">
      <c r="A727" s="190" t="s">
        <v>1576</v>
      </c>
      <c r="B727" s="190" t="s">
        <v>2241</v>
      </c>
      <c r="C727" s="191">
        <v>1.3954099323106119</v>
      </c>
      <c r="D727" s="191">
        <v>2.0897645918841814</v>
      </c>
    </row>
    <row r="728" spans="1:4" ht="27.75" customHeight="1" x14ac:dyDescent="0.2">
      <c r="A728" s="190" t="s">
        <v>1579</v>
      </c>
      <c r="B728" s="190" t="s">
        <v>2244</v>
      </c>
      <c r="C728" s="191">
        <v>0.21286464240533751</v>
      </c>
      <c r="D728" s="191">
        <v>0.29146804146942862</v>
      </c>
    </row>
    <row r="729" spans="1:4" ht="27.75" customHeight="1" x14ac:dyDescent="0.2">
      <c r="A729" s="190" t="s">
        <v>2471</v>
      </c>
      <c r="B729" s="190" t="s">
        <v>2493</v>
      </c>
      <c r="C729" s="191">
        <v>4.4380357064131424</v>
      </c>
      <c r="D729" s="191">
        <v>0.33654637880825078</v>
      </c>
    </row>
    <row r="730" spans="1:4" ht="27.75" customHeight="1" x14ac:dyDescent="0.2">
      <c r="A730" s="190" t="s">
        <v>1583</v>
      </c>
      <c r="B730" s="190" t="s">
        <v>2248</v>
      </c>
      <c r="C730" s="191">
        <v>4.2052031894567312</v>
      </c>
      <c r="D730" s="191">
        <v>9.99017203643211E-2</v>
      </c>
    </row>
    <row r="731" spans="1:4" ht="27.75" customHeight="1" x14ac:dyDescent="0.2">
      <c r="A731" s="190" t="s">
        <v>1591</v>
      </c>
      <c r="B731" s="190" t="s">
        <v>2256</v>
      </c>
      <c r="C731" s="191">
        <v>0.43329465486934543</v>
      </c>
      <c r="D731" s="191">
        <v>-5.3767689066775592E-2</v>
      </c>
    </row>
    <row r="732" spans="1:4" ht="27.75" customHeight="1" x14ac:dyDescent="0.2">
      <c r="A732" s="190" t="s">
        <v>1600</v>
      </c>
      <c r="B732" s="190" t="s">
        <v>2265</v>
      </c>
      <c r="C732" s="191">
        <v>-4.4517859007545173E-2</v>
      </c>
      <c r="D732" s="191">
        <v>-7.3633247498519419E-3</v>
      </c>
    </row>
    <row r="733" spans="1:4" ht="27.75" customHeight="1" x14ac:dyDescent="0.2">
      <c r="A733" s="190" t="s">
        <v>1609</v>
      </c>
      <c r="B733" s="190" t="s">
        <v>2273</v>
      </c>
      <c r="C733" s="191">
        <v>0.66375008583889916</v>
      </c>
      <c r="D733" s="191">
        <v>-0.12680964254009186</v>
      </c>
    </row>
    <row r="734" spans="1:4" ht="27.75" customHeight="1" x14ac:dyDescent="0.2">
      <c r="A734" s="190" t="s">
        <v>1620</v>
      </c>
      <c r="B734" s="190" t="s">
        <v>2284</v>
      </c>
      <c r="C734" s="191">
        <v>5.6551072013979659E-2</v>
      </c>
      <c r="D734" s="191">
        <v>-0.30785318016860252</v>
      </c>
    </row>
    <row r="735" spans="1:4" ht="27.75" customHeight="1" x14ac:dyDescent="0.2">
      <c r="A735" s="190" t="s">
        <v>1621</v>
      </c>
      <c r="B735" s="190" t="s">
        <v>2284</v>
      </c>
      <c r="C735" s="191">
        <v>5.6232969960866103E-2</v>
      </c>
      <c r="D735" s="191">
        <v>-0.30242267164002828</v>
      </c>
    </row>
    <row r="736" spans="1:4" ht="27.75" customHeight="1" x14ac:dyDescent="0.2">
      <c r="A736" s="190" t="s">
        <v>1627</v>
      </c>
      <c r="B736" s="190" t="s">
        <v>2290</v>
      </c>
      <c r="C736" s="191">
        <v>16.288401605363752</v>
      </c>
      <c r="D736" s="191">
        <v>9.4052194244763854E-2</v>
      </c>
    </row>
    <row r="737" spans="1:4" ht="27.75" customHeight="1" x14ac:dyDescent="0.2">
      <c r="A737" s="190" t="s">
        <v>1637</v>
      </c>
      <c r="B737" s="190" t="s">
        <v>2298</v>
      </c>
      <c r="C737" s="191">
        <v>4.6382095620957901E-2</v>
      </c>
      <c r="D737" s="191">
        <v>0.70921616489101191</v>
      </c>
    </row>
    <row r="738" spans="1:4" ht="27.75" customHeight="1" x14ac:dyDescent="0.2">
      <c r="A738" s="190" t="s">
        <v>2472</v>
      </c>
      <c r="B738" s="190" t="s">
        <v>2500</v>
      </c>
      <c r="C738" s="191">
        <v>0.91953225124939553</v>
      </c>
      <c r="D738" s="191">
        <v>20.329360065315498</v>
      </c>
    </row>
    <row r="739" spans="1:4" ht="27.75" customHeight="1" x14ac:dyDescent="0.2">
      <c r="A739" s="190" t="s">
        <v>1647</v>
      </c>
      <c r="B739" s="190" t="s">
        <v>2306</v>
      </c>
      <c r="C739" s="191">
        <v>11.779991127695775</v>
      </c>
      <c r="D739" s="191">
        <v>0.73466802013725641</v>
      </c>
    </row>
    <row r="740" spans="1:4" ht="27.75" customHeight="1" x14ac:dyDescent="0.2">
      <c r="A740" s="190" t="s">
        <v>1656</v>
      </c>
      <c r="B740" s="190" t="s">
        <v>2314</v>
      </c>
      <c r="C740" s="191">
        <v>7.2398195716906715</v>
      </c>
      <c r="D740" s="191">
        <v>3.5577544449446892</v>
      </c>
    </row>
    <row r="741" spans="1:4" ht="27.75" customHeight="1" x14ac:dyDescent="0.2">
      <c r="A741" s="190" t="s">
        <v>2473</v>
      </c>
      <c r="B741" s="190" t="s">
        <v>2501</v>
      </c>
      <c r="C741" s="191">
        <v>0.19425189812093588</v>
      </c>
      <c r="D741" s="191">
        <v>3.207704892842981</v>
      </c>
    </row>
    <row r="742" spans="1:4" ht="27.75" customHeight="1" x14ac:dyDescent="0.2">
      <c r="A742" s="190" t="s">
        <v>1685</v>
      </c>
      <c r="B742" s="190" t="s">
        <v>2340</v>
      </c>
      <c r="C742" s="191">
        <v>8.8199435129460735</v>
      </c>
      <c r="D742" s="191">
        <v>0.97014946510744338</v>
      </c>
    </row>
    <row r="743" spans="1:4" ht="27.75" customHeight="1" x14ac:dyDescent="0.2">
      <c r="A743" s="190" t="s">
        <v>1690</v>
      </c>
      <c r="B743" s="190" t="s">
        <v>2343</v>
      </c>
      <c r="C743" s="191">
        <v>-6.5204648953688493E-2</v>
      </c>
      <c r="D743" s="191">
        <v>-8.6203731317016502E-3</v>
      </c>
    </row>
    <row r="744" spans="1:4" ht="27.75" customHeight="1" x14ac:dyDescent="0.2">
      <c r="A744" s="190" t="s">
        <v>2474</v>
      </c>
      <c r="B744" s="190" t="s">
        <v>2502</v>
      </c>
      <c r="C744" s="191">
        <v>-0.19909333351908809</v>
      </c>
      <c r="D744" s="191">
        <v>5.0364067066168722E-2</v>
      </c>
    </row>
    <row r="745" spans="1:4" ht="27.75" customHeight="1" x14ac:dyDescent="0.2">
      <c r="A745" s="190" t="s">
        <v>1699</v>
      </c>
      <c r="B745" s="190" t="s">
        <v>2352</v>
      </c>
      <c r="C745" s="191">
        <v>-3.8147471322548601E-2</v>
      </c>
      <c r="D745" s="191">
        <v>0.44235171165926812</v>
      </c>
    </row>
    <row r="746" spans="1:4" ht="27.75" customHeight="1" x14ac:dyDescent="0.2">
      <c r="A746" s="190" t="s">
        <v>1700</v>
      </c>
      <c r="B746" s="190" t="s">
        <v>2353</v>
      </c>
      <c r="C746" s="191">
        <v>2.091897663586598</v>
      </c>
      <c r="D746" s="191">
        <v>0.15755390210723963</v>
      </c>
    </row>
    <row r="747" spans="1:4" ht="27.75" customHeight="1" x14ac:dyDescent="0.2">
      <c r="A747" s="190" t="s">
        <v>1708</v>
      </c>
      <c r="B747" s="190" t="s">
        <v>2359</v>
      </c>
      <c r="C747" s="191">
        <v>-1.3462182386211261E-3</v>
      </c>
      <c r="D747" s="191">
        <v>-0.2072664067046022</v>
      </c>
    </row>
    <row r="748" spans="1:4" ht="27.75" customHeight="1" x14ac:dyDescent="0.2">
      <c r="A748" s="190" t="s">
        <v>1710</v>
      </c>
      <c r="B748" s="190" t="s">
        <v>2361</v>
      </c>
      <c r="C748" s="191">
        <v>7.2466549709141308</v>
      </c>
      <c r="D748" s="191">
        <v>0.21503506243562143</v>
      </c>
    </row>
    <row r="749" spans="1:4" ht="27.75" customHeight="1" x14ac:dyDescent="0.2">
      <c r="A749" s="190" t="s">
        <v>1717</v>
      </c>
      <c r="B749" s="190" t="s">
        <v>2368</v>
      </c>
      <c r="C749" s="191">
        <v>-0.10526611502890341</v>
      </c>
      <c r="D749" s="191">
        <v>9.5086245039668033E-2</v>
      </c>
    </row>
    <row r="750" spans="1:4" ht="27.75" customHeight="1" x14ac:dyDescent="0.2">
      <c r="A750" s="190" t="s">
        <v>1727</v>
      </c>
      <c r="B750" s="190" t="s">
        <v>2200</v>
      </c>
      <c r="C750" s="191">
        <v>6.83108172098511</v>
      </c>
      <c r="D750" s="191">
        <v>0.21735991327766069</v>
      </c>
    </row>
    <row r="751" spans="1:4" ht="27.75" customHeight="1" x14ac:dyDescent="0.2">
      <c r="A751" s="190" t="s">
        <v>1733</v>
      </c>
      <c r="B751" s="190" t="s">
        <v>2382</v>
      </c>
      <c r="C751" s="191">
        <v>2.1302998294045541E-2</v>
      </c>
      <c r="D751" s="191">
        <v>-0.41154194845784559</v>
      </c>
    </row>
    <row r="752" spans="1:4" ht="27.75" customHeight="1" x14ac:dyDescent="0.2">
      <c r="A752" s="190" t="s">
        <v>1744</v>
      </c>
      <c r="B752" s="190" t="s">
        <v>2393</v>
      </c>
      <c r="C752" s="191">
        <v>0.2442386813578441</v>
      </c>
      <c r="D752" s="191">
        <v>0.46695802566754097</v>
      </c>
    </row>
    <row r="753" spans="1:4" ht="27.75" customHeight="1" x14ac:dyDescent="0.2">
      <c r="A753" s="190" t="s">
        <v>1747</v>
      </c>
      <c r="B753" s="190" t="s">
        <v>2396</v>
      </c>
      <c r="C753" s="191">
        <v>21.286967032979032</v>
      </c>
      <c r="D753" s="191">
        <v>1.2021085846751305</v>
      </c>
    </row>
    <row r="754" spans="1:4" ht="27.75" customHeight="1" x14ac:dyDescent="0.2">
      <c r="A754" s="190" t="s">
        <v>1756</v>
      </c>
      <c r="B754" s="190" t="s">
        <v>2404</v>
      </c>
      <c r="C754" s="191">
        <v>-4.5493133125936371E-2</v>
      </c>
      <c r="D754" s="191">
        <v>-7.226303313920962E-3</v>
      </c>
    </row>
    <row r="755" spans="1:4" ht="27.75" customHeight="1" x14ac:dyDescent="0.2">
      <c r="A755" s="190" t="s">
        <v>1759</v>
      </c>
      <c r="B755" s="190" t="s">
        <v>2407</v>
      </c>
      <c r="C755" s="191">
        <v>12.236182235491601</v>
      </c>
      <c r="D755" s="191">
        <v>1.2069277388520661</v>
      </c>
    </row>
    <row r="756" spans="1:4" ht="27.75" customHeight="1" x14ac:dyDescent="0.2">
      <c r="A756" s="190" t="s">
        <v>1764</v>
      </c>
      <c r="B756" s="190" t="s">
        <v>2412</v>
      </c>
      <c r="C756" s="191">
        <v>0</v>
      </c>
      <c r="D756" s="191">
        <v>0</v>
      </c>
    </row>
    <row r="757" spans="1:4" ht="27.75" customHeight="1" x14ac:dyDescent="0.2">
      <c r="A757" s="190" t="s">
        <v>1768</v>
      </c>
      <c r="B757" s="190" t="s">
        <v>2416</v>
      </c>
      <c r="C757" s="191">
        <v>3.2142148131043489</v>
      </c>
      <c r="D757" s="191">
        <v>-1.6186565369289418E-3</v>
      </c>
    </row>
    <row r="758" spans="1:4" ht="27.75" customHeight="1" x14ac:dyDescent="0.2">
      <c r="A758" s="190" t="s">
        <v>1770</v>
      </c>
      <c r="B758" s="190" t="s">
        <v>2418</v>
      </c>
      <c r="C758" s="191">
        <v>-0.57132500867542535</v>
      </c>
      <c r="D758" s="191">
        <v>-2.3582193587801115E-4</v>
      </c>
    </row>
  </sheetData>
  <sheetProtection selectLockedCells="1" selectUnlockedCells="1"/>
  <autoFilter ref="A3:D758" xr:uid="{00000000-0009-0000-0000-000009000000}"/>
  <sortState xmlns:xlrd2="http://schemas.microsoft.com/office/spreadsheetml/2017/richdata2" ref="A4:D734">
    <sortCondition ref="A4:A734"/>
  </sortState>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xr:uid="{00000000-0004-0000-0900-000000000000}"/>
  </hyperlinks>
  <pageMargins left="0.39370078740157483" right="0.35433070866141736" top="0.82677165354330717" bottom="0.74803149606299213" header="0.51181102362204722" footer="0.51181102362204722"/>
  <pageSetup paperSize="9" scale="61"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32" customWidth="1"/>
    <col min="2" max="2" width="11.5703125" style="32" customWidth="1"/>
    <col min="3" max="3" width="37.42578125" style="32" bestFit="1" customWidth="1"/>
    <col min="4" max="4" width="40.5703125" style="33" bestFit="1" customWidth="1"/>
    <col min="5" max="6" width="4.7109375" style="32" customWidth="1"/>
    <col min="7" max="7" width="29.140625" style="32" bestFit="1" customWidth="1"/>
    <col min="8" max="8" width="11.5703125" style="32"/>
    <col min="9" max="9" width="60.28515625" style="32" customWidth="1"/>
    <col min="10" max="16384" width="11.5703125" style="32"/>
  </cols>
  <sheetData>
    <row r="1" spans="1:2" ht="26.25" customHeight="1" x14ac:dyDescent="0.2">
      <c r="A1" s="301" t="s">
        <v>86</v>
      </c>
      <c r="B1" s="301"/>
    </row>
    <row r="2" spans="1:2" ht="12.75" customHeight="1" x14ac:dyDescent="0.2">
      <c r="A2" s="137"/>
      <c r="B2" s="137"/>
    </row>
    <row r="3" spans="1:2" ht="12.75" customHeight="1" x14ac:dyDescent="0.2">
      <c r="A3" s="137"/>
      <c r="B3" s="137"/>
    </row>
    <row r="4" spans="1:2" ht="12.75" customHeight="1" x14ac:dyDescent="0.2">
      <c r="A4" s="137"/>
      <c r="B4" s="137"/>
    </row>
    <row r="5" spans="1:2" ht="12.75" customHeight="1" x14ac:dyDescent="0.2">
      <c r="A5" s="137"/>
      <c r="B5" s="137"/>
    </row>
    <row r="6" spans="1:2" ht="12.75" customHeight="1" x14ac:dyDescent="0.2">
      <c r="A6" s="137"/>
      <c r="B6" s="137"/>
    </row>
    <row r="7" spans="1:2" ht="12.75" customHeight="1" x14ac:dyDescent="0.2">
      <c r="A7" s="137"/>
      <c r="B7" s="137"/>
    </row>
    <row r="8" spans="1:2" ht="12.75" customHeight="1" x14ac:dyDescent="0.2">
      <c r="A8" s="137"/>
      <c r="B8" s="137"/>
    </row>
    <row r="9" spans="1:2" ht="12.75" customHeight="1" x14ac:dyDescent="0.2">
      <c r="A9" s="137"/>
      <c r="B9" s="137"/>
    </row>
    <row r="10" spans="1:2" ht="12.75" customHeight="1" x14ac:dyDescent="0.2">
      <c r="A10" s="137"/>
      <c r="B10" s="137"/>
    </row>
    <row r="11" spans="1:2" ht="12.75" customHeight="1" x14ac:dyDescent="0.2">
      <c r="A11" s="137"/>
      <c r="B11" s="137"/>
    </row>
    <row r="12" spans="1:2" ht="12.75" customHeight="1" x14ac:dyDescent="0.2">
      <c r="A12" s="137"/>
      <c r="B12" s="137"/>
    </row>
    <row r="13" spans="1:2" ht="12.75" customHeight="1" x14ac:dyDescent="0.2">
      <c r="A13" s="137"/>
      <c r="B13" s="137"/>
    </row>
    <row r="14" spans="1:2" ht="12.75" customHeight="1" x14ac:dyDescent="0.2">
      <c r="A14" s="137"/>
      <c r="B14" s="137"/>
    </row>
    <row r="15" spans="1:2" ht="12.75" customHeight="1" x14ac:dyDescent="0.2">
      <c r="A15" s="137"/>
      <c r="B15" s="137"/>
    </row>
    <row r="16" spans="1:2" ht="12.75" customHeight="1" x14ac:dyDescent="0.2">
      <c r="A16" s="137"/>
      <c r="B16" s="137"/>
    </row>
    <row r="17" spans="1:9" ht="12.75" customHeight="1" x14ac:dyDescent="0.2">
      <c r="A17" s="137"/>
      <c r="B17" s="137"/>
    </row>
    <row r="18" spans="1:9" ht="12.75" customHeight="1" x14ac:dyDescent="0.2">
      <c r="A18" s="137"/>
      <c r="B18" s="137"/>
    </row>
    <row r="19" spans="1:9" ht="12.75" customHeight="1" x14ac:dyDescent="0.2">
      <c r="A19" s="137"/>
      <c r="B19" s="137"/>
    </row>
    <row r="20" spans="1:9" ht="12.75" customHeight="1" x14ac:dyDescent="0.2">
      <c r="A20" s="137"/>
      <c r="B20" s="137"/>
    </row>
    <row r="21" spans="1:9" ht="12.75" customHeight="1" x14ac:dyDescent="0.2">
      <c r="A21" s="137"/>
      <c r="B21" s="137"/>
    </row>
    <row r="22" spans="1:9" ht="12.75" customHeight="1" x14ac:dyDescent="0.2">
      <c r="A22" s="137"/>
      <c r="B22" s="137"/>
    </row>
    <row r="23" spans="1:9" ht="12.75" customHeight="1" x14ac:dyDescent="0.2">
      <c r="A23" s="137"/>
      <c r="B23" s="137"/>
    </row>
    <row r="24" spans="1:9" ht="12.75" customHeight="1" x14ac:dyDescent="0.2">
      <c r="A24" s="137"/>
      <c r="B24" s="137"/>
    </row>
    <row r="25" spans="1:9" ht="12.75" customHeight="1" x14ac:dyDescent="0.2">
      <c r="A25" s="137"/>
      <c r="B25" s="137"/>
    </row>
    <row r="26" spans="1:9" ht="12.75" customHeight="1" x14ac:dyDescent="0.2">
      <c r="A26" s="137"/>
      <c r="B26" s="137"/>
    </row>
    <row r="27" spans="1:9" ht="12.75" customHeight="1" x14ac:dyDescent="0.2">
      <c r="A27" s="137"/>
      <c r="B27" s="137"/>
    </row>
    <row r="28" spans="1:9" s="31" customFormat="1" ht="51" x14ac:dyDescent="0.2">
      <c r="A28" s="49" t="s">
        <v>214</v>
      </c>
      <c r="B28" s="49" t="s">
        <v>215</v>
      </c>
      <c r="C28" s="49" t="s">
        <v>216</v>
      </c>
      <c r="D28" s="49" t="s">
        <v>217</v>
      </c>
      <c r="E28" s="34"/>
      <c r="F28" s="34"/>
      <c r="G28" s="49" t="s">
        <v>437</v>
      </c>
      <c r="H28" s="49" t="s">
        <v>438</v>
      </c>
      <c r="I28" s="49" t="s">
        <v>439</v>
      </c>
    </row>
    <row r="29" spans="1:9" x14ac:dyDescent="0.2">
      <c r="A29" s="95">
        <v>3</v>
      </c>
      <c r="B29" s="96">
        <v>166</v>
      </c>
      <c r="C29" s="97" t="s">
        <v>218</v>
      </c>
      <c r="D29" s="98" t="s">
        <v>219</v>
      </c>
      <c r="H29" s="88">
        <v>40057</v>
      </c>
      <c r="I29" s="89" t="s">
        <v>440</v>
      </c>
    </row>
    <row r="30" spans="1:9" x14ac:dyDescent="0.2">
      <c r="A30" s="95">
        <v>4</v>
      </c>
      <c r="B30" s="96">
        <v>168</v>
      </c>
      <c r="C30" s="97" t="s">
        <v>218</v>
      </c>
      <c r="D30" s="98" t="s">
        <v>219</v>
      </c>
      <c r="G30" s="89" t="s">
        <v>441</v>
      </c>
      <c r="H30" s="88">
        <v>40275</v>
      </c>
      <c r="I30" s="138" t="s">
        <v>445</v>
      </c>
    </row>
    <row r="31" spans="1:9" x14ac:dyDescent="0.2">
      <c r="A31" s="95">
        <v>5</v>
      </c>
      <c r="B31" s="96">
        <v>100</v>
      </c>
      <c r="C31" s="97" t="s">
        <v>220</v>
      </c>
      <c r="D31" s="98" t="s">
        <v>219</v>
      </c>
      <c r="G31" s="139" t="s">
        <v>448</v>
      </c>
      <c r="H31" s="88">
        <v>40347</v>
      </c>
      <c r="I31" s="32" t="s">
        <v>442</v>
      </c>
    </row>
    <row r="32" spans="1:9" x14ac:dyDescent="0.2">
      <c r="A32" s="95">
        <v>6</v>
      </c>
      <c r="B32" s="96">
        <v>257</v>
      </c>
      <c r="C32" s="97" t="s">
        <v>221</v>
      </c>
      <c r="D32" s="98" t="s">
        <v>219</v>
      </c>
      <c r="G32" s="138" t="s">
        <v>449</v>
      </c>
      <c r="H32" s="88">
        <v>41166</v>
      </c>
      <c r="I32" s="138" t="s">
        <v>450</v>
      </c>
    </row>
    <row r="33" spans="1:9" x14ac:dyDescent="0.2">
      <c r="A33" s="95">
        <v>7</v>
      </c>
      <c r="B33" s="96">
        <v>158</v>
      </c>
      <c r="C33" s="97" t="s">
        <v>221</v>
      </c>
      <c r="D33" s="98" t="s">
        <v>219</v>
      </c>
      <c r="G33" s="139" t="s">
        <v>443</v>
      </c>
      <c r="H33" s="88">
        <v>41178</v>
      </c>
      <c r="I33" s="138" t="s">
        <v>444</v>
      </c>
    </row>
    <row r="34" spans="1:9" x14ac:dyDescent="0.2">
      <c r="A34" s="95">
        <v>8</v>
      </c>
      <c r="B34" s="96">
        <v>159</v>
      </c>
      <c r="C34" s="97" t="s">
        <v>221</v>
      </c>
      <c r="D34" s="98" t="s">
        <v>219</v>
      </c>
      <c r="G34" s="89" t="s">
        <v>507</v>
      </c>
      <c r="H34" s="88">
        <v>41758</v>
      </c>
      <c r="I34" s="32" t="s">
        <v>508</v>
      </c>
    </row>
    <row r="35" spans="1:9" x14ac:dyDescent="0.2">
      <c r="A35" s="95">
        <v>9</v>
      </c>
      <c r="B35" s="96">
        <v>1111</v>
      </c>
      <c r="C35" s="97" t="s">
        <v>221</v>
      </c>
      <c r="D35" s="98" t="s">
        <v>219</v>
      </c>
      <c r="G35" s="32" t="s">
        <v>505</v>
      </c>
      <c r="H35" s="88">
        <v>41758</v>
      </c>
      <c r="I35" s="89" t="s">
        <v>506</v>
      </c>
    </row>
    <row r="36" spans="1:9" x14ac:dyDescent="0.2">
      <c r="A36" s="95">
        <v>10</v>
      </c>
      <c r="B36" s="96">
        <v>1104</v>
      </c>
      <c r="C36" s="97" t="s">
        <v>221</v>
      </c>
      <c r="D36" s="98" t="s">
        <v>219</v>
      </c>
      <c r="G36" s="32" t="s">
        <v>505</v>
      </c>
      <c r="H36" s="88">
        <v>41944</v>
      </c>
      <c r="I36" s="89" t="s">
        <v>557</v>
      </c>
    </row>
    <row r="37" spans="1:9" x14ac:dyDescent="0.2">
      <c r="A37" s="95">
        <v>11</v>
      </c>
      <c r="B37" s="96">
        <v>1112</v>
      </c>
      <c r="C37" s="97" t="s">
        <v>221</v>
      </c>
      <c r="D37" s="98" t="s">
        <v>219</v>
      </c>
      <c r="G37" s="32" t="s">
        <v>583</v>
      </c>
      <c r="H37" s="88">
        <v>42081</v>
      </c>
      <c r="I37" s="32" t="s">
        <v>584</v>
      </c>
    </row>
    <row r="38" spans="1:9" x14ac:dyDescent="0.2">
      <c r="A38" s="95">
        <v>12</v>
      </c>
      <c r="B38" s="96">
        <v>1116</v>
      </c>
      <c r="C38" s="97" t="s">
        <v>221</v>
      </c>
      <c r="D38" s="98" t="s">
        <v>219</v>
      </c>
      <c r="G38" s="32" t="s">
        <v>585</v>
      </c>
      <c r="H38" s="88">
        <v>42081</v>
      </c>
      <c r="I38" s="32" t="s">
        <v>586</v>
      </c>
    </row>
    <row r="39" spans="1:9" x14ac:dyDescent="0.2">
      <c r="A39" s="95">
        <v>13</v>
      </c>
      <c r="B39" s="96">
        <v>139</v>
      </c>
      <c r="C39" s="97" t="s">
        <v>222</v>
      </c>
      <c r="D39" s="98" t="s">
        <v>457</v>
      </c>
      <c r="G39" s="32" t="s">
        <v>587</v>
      </c>
      <c r="H39" s="88">
        <v>42081</v>
      </c>
      <c r="I39" s="32" t="s">
        <v>612</v>
      </c>
    </row>
    <row r="40" spans="1:9" x14ac:dyDescent="0.2">
      <c r="A40" s="95">
        <v>15</v>
      </c>
      <c r="B40" s="96">
        <v>152</v>
      </c>
      <c r="C40" s="97" t="s">
        <v>222</v>
      </c>
      <c r="D40" s="98" t="s">
        <v>457</v>
      </c>
      <c r="G40" s="89" t="s">
        <v>582</v>
      </c>
      <c r="H40" s="88">
        <v>42081</v>
      </c>
      <c r="I40" s="89" t="s">
        <v>611</v>
      </c>
    </row>
    <row r="41" spans="1:9" x14ac:dyDescent="0.2">
      <c r="A41" s="95">
        <v>16</v>
      </c>
      <c r="B41" s="96">
        <v>113</v>
      </c>
      <c r="C41" s="97" t="s">
        <v>223</v>
      </c>
      <c r="D41" s="98" t="s">
        <v>458</v>
      </c>
      <c r="G41" s="32" t="s">
        <v>588</v>
      </c>
      <c r="H41" s="88">
        <v>42081</v>
      </c>
      <c r="I41" s="89" t="s">
        <v>589</v>
      </c>
    </row>
    <row r="42" spans="1:9" x14ac:dyDescent="0.2">
      <c r="A42" s="95">
        <v>17</v>
      </c>
      <c r="B42" s="96">
        <v>125</v>
      </c>
      <c r="C42" s="97" t="s">
        <v>223</v>
      </c>
      <c r="D42" s="98" t="s">
        <v>458</v>
      </c>
      <c r="G42" s="32" t="s">
        <v>590</v>
      </c>
      <c r="H42" s="88">
        <v>42081</v>
      </c>
      <c r="I42" s="32" t="s">
        <v>591</v>
      </c>
    </row>
    <row r="43" spans="1:9" x14ac:dyDescent="0.2">
      <c r="A43" s="95">
        <v>18</v>
      </c>
      <c r="B43" s="96">
        <v>126</v>
      </c>
      <c r="C43" s="97" t="s">
        <v>223</v>
      </c>
      <c r="D43" s="98" t="s">
        <v>458</v>
      </c>
      <c r="G43" s="32" t="s">
        <v>590</v>
      </c>
      <c r="H43" s="88">
        <v>42081</v>
      </c>
      <c r="I43" s="32" t="s">
        <v>592</v>
      </c>
    </row>
    <row r="44" spans="1:9" x14ac:dyDescent="0.2">
      <c r="A44" s="95">
        <v>19</v>
      </c>
      <c r="B44" s="96">
        <v>127</v>
      </c>
      <c r="C44" s="97" t="s">
        <v>223</v>
      </c>
      <c r="D44" s="98" t="s">
        <v>458</v>
      </c>
      <c r="G44" s="32" t="s">
        <v>593</v>
      </c>
      <c r="H44" s="88">
        <v>42081</v>
      </c>
      <c r="I44" s="32" t="s">
        <v>594</v>
      </c>
    </row>
    <row r="45" spans="1:9" x14ac:dyDescent="0.2">
      <c r="A45" s="95">
        <v>20</v>
      </c>
      <c r="B45" s="96">
        <v>129</v>
      </c>
      <c r="C45" s="97" t="s">
        <v>223</v>
      </c>
      <c r="D45" s="98" t="s">
        <v>458</v>
      </c>
      <c r="G45" s="32" t="s">
        <v>595</v>
      </c>
      <c r="H45" s="88">
        <v>42081</v>
      </c>
      <c r="I45" s="32" t="s">
        <v>596</v>
      </c>
    </row>
    <row r="46" spans="1:9" x14ac:dyDescent="0.2">
      <c r="A46" s="95">
        <v>21</v>
      </c>
      <c r="B46" s="96">
        <v>130</v>
      </c>
      <c r="C46" s="97" t="s">
        <v>223</v>
      </c>
      <c r="D46" s="98" t="s">
        <v>458</v>
      </c>
      <c r="G46" s="32" t="s">
        <v>597</v>
      </c>
      <c r="H46" s="88">
        <v>42081</v>
      </c>
      <c r="I46" s="32" t="s">
        <v>594</v>
      </c>
    </row>
    <row r="47" spans="1:9" x14ac:dyDescent="0.2">
      <c r="A47" s="95">
        <v>22</v>
      </c>
      <c r="B47" s="96">
        <v>131</v>
      </c>
      <c r="C47" s="97" t="s">
        <v>223</v>
      </c>
      <c r="D47" s="98" t="s">
        <v>458</v>
      </c>
      <c r="G47" s="32" t="s">
        <v>597</v>
      </c>
      <c r="H47" s="88">
        <v>42081</v>
      </c>
      <c r="I47" s="32" t="s">
        <v>598</v>
      </c>
    </row>
    <row r="48" spans="1:9" x14ac:dyDescent="0.2">
      <c r="A48" s="95">
        <v>23</v>
      </c>
      <c r="B48" s="96">
        <v>136</v>
      </c>
      <c r="C48" s="97" t="s">
        <v>224</v>
      </c>
      <c r="D48" s="98" t="s">
        <v>459</v>
      </c>
      <c r="G48" s="32" t="s">
        <v>599</v>
      </c>
      <c r="H48" s="88">
        <v>42081</v>
      </c>
      <c r="I48" s="32" t="s">
        <v>596</v>
      </c>
    </row>
    <row r="49" spans="1:9" x14ac:dyDescent="0.2">
      <c r="A49" s="95">
        <v>24</v>
      </c>
      <c r="B49" s="96">
        <v>137</v>
      </c>
      <c r="C49" s="97" t="s">
        <v>224</v>
      </c>
      <c r="D49" s="98" t="s">
        <v>458</v>
      </c>
      <c r="G49" s="32" t="s">
        <v>600</v>
      </c>
      <c r="H49" s="88">
        <v>42081</v>
      </c>
      <c r="I49" s="32" t="s">
        <v>594</v>
      </c>
    </row>
    <row r="50" spans="1:9" x14ac:dyDescent="0.2">
      <c r="A50" s="95">
        <v>25</v>
      </c>
      <c r="B50" s="96">
        <v>138</v>
      </c>
      <c r="C50" s="97" t="s">
        <v>224</v>
      </c>
      <c r="D50" s="98" t="s">
        <v>458</v>
      </c>
      <c r="G50" s="32" t="s">
        <v>601</v>
      </c>
      <c r="H50" s="88">
        <v>42081</v>
      </c>
      <c r="I50" s="32" t="s">
        <v>602</v>
      </c>
    </row>
    <row r="51" spans="1:9" x14ac:dyDescent="0.2">
      <c r="A51" s="95">
        <v>26</v>
      </c>
      <c r="B51" s="96">
        <v>141</v>
      </c>
      <c r="C51" s="97" t="s">
        <v>224</v>
      </c>
      <c r="D51" s="98" t="s">
        <v>219</v>
      </c>
      <c r="G51" s="32" t="s">
        <v>603</v>
      </c>
      <c r="H51" s="88">
        <v>42081</v>
      </c>
      <c r="I51" s="32" t="s">
        <v>604</v>
      </c>
    </row>
    <row r="52" spans="1:9" x14ac:dyDescent="0.2">
      <c r="A52" s="95">
        <v>28</v>
      </c>
      <c r="B52" s="96">
        <v>143</v>
      </c>
      <c r="C52" s="97" t="s">
        <v>224</v>
      </c>
      <c r="D52" s="98" t="s">
        <v>219</v>
      </c>
      <c r="G52" s="32" t="s">
        <v>605</v>
      </c>
      <c r="H52" s="88">
        <v>42081</v>
      </c>
      <c r="I52" s="32" t="s">
        <v>606</v>
      </c>
    </row>
    <row r="53" spans="1:9" x14ac:dyDescent="0.2">
      <c r="A53" s="95">
        <v>29</v>
      </c>
      <c r="B53" s="96">
        <v>144</v>
      </c>
      <c r="C53" s="97" t="s">
        <v>224</v>
      </c>
      <c r="D53" s="98" t="s">
        <v>457</v>
      </c>
      <c r="G53" s="32" t="s">
        <v>605</v>
      </c>
      <c r="H53" s="88">
        <v>42081</v>
      </c>
      <c r="I53" s="32" t="s">
        <v>607</v>
      </c>
    </row>
    <row r="54" spans="1:9" x14ac:dyDescent="0.2">
      <c r="A54" s="95">
        <v>30</v>
      </c>
      <c r="B54" s="96">
        <v>145</v>
      </c>
      <c r="C54" s="97" t="s">
        <v>224</v>
      </c>
      <c r="D54" s="98" t="s">
        <v>219</v>
      </c>
      <c r="G54" s="32" t="s">
        <v>608</v>
      </c>
      <c r="H54" s="88">
        <v>42081</v>
      </c>
      <c r="I54" s="32" t="s">
        <v>609</v>
      </c>
    </row>
    <row r="55" spans="1:9" x14ac:dyDescent="0.2">
      <c r="A55" s="95">
        <v>31</v>
      </c>
      <c r="B55" s="96">
        <v>146</v>
      </c>
      <c r="C55" s="97" t="s">
        <v>224</v>
      </c>
      <c r="D55" s="98" t="s">
        <v>219</v>
      </c>
      <c r="G55" s="32" t="s">
        <v>608</v>
      </c>
      <c r="H55" s="88">
        <v>42081</v>
      </c>
      <c r="I55" s="32" t="s">
        <v>610</v>
      </c>
    </row>
    <row r="56" spans="1:9" x14ac:dyDescent="0.2">
      <c r="A56" s="95">
        <v>32</v>
      </c>
      <c r="B56" s="96">
        <v>147</v>
      </c>
      <c r="C56" s="97" t="s">
        <v>224</v>
      </c>
      <c r="D56" s="98" t="s">
        <v>219</v>
      </c>
      <c r="G56" s="89" t="s">
        <v>613</v>
      </c>
      <c r="H56" s="88">
        <v>42089</v>
      </c>
      <c r="I56" s="89" t="s">
        <v>614</v>
      </c>
    </row>
    <row r="57" spans="1:9" x14ac:dyDescent="0.2">
      <c r="A57" s="95">
        <v>33</v>
      </c>
      <c r="B57" s="96">
        <v>228</v>
      </c>
      <c r="C57" s="97" t="s">
        <v>224</v>
      </c>
      <c r="D57" s="98" t="s">
        <v>459</v>
      </c>
      <c r="G57" s="89" t="s">
        <v>595</v>
      </c>
      <c r="H57" s="88">
        <v>42166</v>
      </c>
      <c r="I57" s="89" t="s">
        <v>594</v>
      </c>
    </row>
    <row r="58" spans="1:9" x14ac:dyDescent="0.2">
      <c r="A58" s="95">
        <v>34</v>
      </c>
      <c r="B58" s="96">
        <v>149</v>
      </c>
      <c r="C58" s="97" t="s">
        <v>224</v>
      </c>
      <c r="D58" s="98" t="s">
        <v>459</v>
      </c>
      <c r="G58" s="89" t="s">
        <v>599</v>
      </c>
      <c r="H58" s="88">
        <v>42166</v>
      </c>
      <c r="I58" s="89" t="s">
        <v>594</v>
      </c>
    </row>
    <row r="59" spans="1:9" x14ac:dyDescent="0.2">
      <c r="A59" s="95">
        <v>35</v>
      </c>
      <c r="B59" s="96">
        <v>150</v>
      </c>
      <c r="C59" s="97" t="s">
        <v>224</v>
      </c>
      <c r="D59" s="98" t="s">
        <v>219</v>
      </c>
      <c r="G59" s="89" t="s">
        <v>631</v>
      </c>
      <c r="H59" s="88">
        <v>42166</v>
      </c>
      <c r="I59" s="89" t="s">
        <v>271</v>
      </c>
    </row>
    <row r="60" spans="1:9" x14ac:dyDescent="0.2">
      <c r="A60" s="95">
        <v>36</v>
      </c>
      <c r="B60" s="96">
        <v>151</v>
      </c>
      <c r="C60" s="97" t="s">
        <v>224</v>
      </c>
      <c r="D60" s="98" t="s">
        <v>458</v>
      </c>
      <c r="G60" s="89" t="s">
        <v>632</v>
      </c>
      <c r="H60" s="88">
        <v>42166</v>
      </c>
      <c r="I60" s="89" t="s">
        <v>257</v>
      </c>
    </row>
    <row r="61" spans="1:9" x14ac:dyDescent="0.2">
      <c r="A61" s="95">
        <v>37</v>
      </c>
      <c r="B61" s="96">
        <v>153</v>
      </c>
      <c r="C61" s="97" t="s">
        <v>224</v>
      </c>
      <c r="D61" s="98" t="s">
        <v>458</v>
      </c>
      <c r="G61" s="89" t="s">
        <v>633</v>
      </c>
      <c r="H61" s="88">
        <v>42166</v>
      </c>
      <c r="I61" s="89" t="s">
        <v>355</v>
      </c>
    </row>
    <row r="62" spans="1:9" x14ac:dyDescent="0.2">
      <c r="A62" s="95">
        <v>38</v>
      </c>
      <c r="B62" s="96">
        <v>154</v>
      </c>
      <c r="C62" s="97" t="s">
        <v>224</v>
      </c>
      <c r="D62" s="98" t="s">
        <v>219</v>
      </c>
      <c r="G62" s="89" t="s">
        <v>634</v>
      </c>
      <c r="H62" s="88">
        <v>42166</v>
      </c>
      <c r="I62" s="89" t="s">
        <v>354</v>
      </c>
    </row>
    <row r="63" spans="1:9" x14ac:dyDescent="0.2">
      <c r="A63" s="95">
        <v>39</v>
      </c>
      <c r="B63" s="96">
        <v>155</v>
      </c>
      <c r="C63" s="97" t="s">
        <v>224</v>
      </c>
      <c r="D63" s="98" t="s">
        <v>219</v>
      </c>
      <c r="G63" s="89" t="s">
        <v>635</v>
      </c>
      <c r="H63" s="88">
        <v>42166</v>
      </c>
      <c r="I63" s="89" t="s">
        <v>636</v>
      </c>
    </row>
    <row r="64" spans="1:9" x14ac:dyDescent="0.2">
      <c r="A64" s="95">
        <v>40</v>
      </c>
      <c r="B64" s="96">
        <v>157</v>
      </c>
      <c r="C64" s="97" t="s">
        <v>223</v>
      </c>
      <c r="D64" s="98" t="s">
        <v>458</v>
      </c>
      <c r="G64" s="89" t="s">
        <v>637</v>
      </c>
      <c r="H64" s="88">
        <v>42166</v>
      </c>
      <c r="I64" s="89" t="s">
        <v>638</v>
      </c>
    </row>
    <row r="65" spans="1:9" x14ac:dyDescent="0.2">
      <c r="A65" s="95">
        <v>41</v>
      </c>
      <c r="B65" s="96">
        <v>171</v>
      </c>
      <c r="C65" s="97" t="s">
        <v>225</v>
      </c>
      <c r="D65" s="98" t="s">
        <v>458</v>
      </c>
      <c r="G65" s="89" t="s">
        <v>639</v>
      </c>
      <c r="H65" s="88">
        <v>42166</v>
      </c>
      <c r="I65" s="89" t="s">
        <v>640</v>
      </c>
    </row>
    <row r="66" spans="1:9" x14ac:dyDescent="0.2">
      <c r="A66" s="95">
        <v>42</v>
      </c>
      <c r="B66" s="96">
        <v>173</v>
      </c>
      <c r="C66" s="97" t="s">
        <v>226</v>
      </c>
      <c r="D66" s="98" t="s">
        <v>458</v>
      </c>
      <c r="G66" s="89" t="s">
        <v>641</v>
      </c>
      <c r="H66" s="88">
        <v>42166</v>
      </c>
      <c r="I66" s="89" t="s">
        <v>642</v>
      </c>
    </row>
    <row r="67" spans="1:9" x14ac:dyDescent="0.2">
      <c r="A67" s="95">
        <v>43</v>
      </c>
      <c r="B67" s="96">
        <v>174</v>
      </c>
      <c r="C67" s="97" t="s">
        <v>226</v>
      </c>
      <c r="D67" s="98" t="s">
        <v>458</v>
      </c>
      <c r="G67" s="89" t="s">
        <v>643</v>
      </c>
      <c r="H67" s="88">
        <v>42166</v>
      </c>
      <c r="I67" s="89" t="s">
        <v>644</v>
      </c>
    </row>
    <row r="68" spans="1:9" x14ac:dyDescent="0.2">
      <c r="A68" s="95">
        <v>44</v>
      </c>
      <c r="B68" s="96">
        <v>185</v>
      </c>
      <c r="C68" s="97" t="s">
        <v>225</v>
      </c>
      <c r="D68" s="98" t="s">
        <v>458</v>
      </c>
      <c r="G68" s="89" t="s">
        <v>645</v>
      </c>
      <c r="H68" s="88">
        <v>42166</v>
      </c>
      <c r="I68" s="89" t="s">
        <v>646</v>
      </c>
    </row>
    <row r="69" spans="1:9" x14ac:dyDescent="0.2">
      <c r="A69" s="95">
        <v>45</v>
      </c>
      <c r="B69" s="96">
        <v>19</v>
      </c>
      <c r="C69" s="97" t="s">
        <v>227</v>
      </c>
      <c r="D69" s="98" t="s">
        <v>219</v>
      </c>
      <c r="G69" s="89" t="s">
        <v>647</v>
      </c>
      <c r="H69" s="88">
        <v>42166</v>
      </c>
      <c r="I69" s="89" t="s">
        <v>648</v>
      </c>
    </row>
    <row r="70" spans="1:9" x14ac:dyDescent="0.2">
      <c r="A70" s="95">
        <v>46</v>
      </c>
      <c r="B70" s="96">
        <v>78</v>
      </c>
      <c r="C70" s="97" t="s">
        <v>228</v>
      </c>
      <c r="D70" s="98" t="s">
        <v>219</v>
      </c>
      <c r="G70" s="89" t="s">
        <v>649</v>
      </c>
      <c r="H70" s="88">
        <v>42166</v>
      </c>
      <c r="I70" s="89" t="s">
        <v>650</v>
      </c>
    </row>
    <row r="71" spans="1:9" x14ac:dyDescent="0.2">
      <c r="A71" s="95">
        <v>47</v>
      </c>
      <c r="B71" s="96">
        <v>15</v>
      </c>
      <c r="C71" s="97" t="s">
        <v>229</v>
      </c>
      <c r="D71" s="98" t="s">
        <v>219</v>
      </c>
      <c r="G71" s="89" t="s">
        <v>649</v>
      </c>
      <c r="H71" s="88">
        <v>42166</v>
      </c>
      <c r="I71" s="89" t="s">
        <v>651</v>
      </c>
    </row>
    <row r="72" spans="1:9" x14ac:dyDescent="0.2">
      <c r="A72" s="95">
        <v>48</v>
      </c>
      <c r="B72" s="96">
        <v>79</v>
      </c>
      <c r="C72" s="97" t="s">
        <v>230</v>
      </c>
      <c r="D72" s="98" t="s">
        <v>457</v>
      </c>
      <c r="G72" s="89" t="s">
        <v>652</v>
      </c>
      <c r="H72" s="88">
        <v>42166</v>
      </c>
      <c r="I72" s="89" t="s">
        <v>653</v>
      </c>
    </row>
    <row r="73" spans="1:9" x14ac:dyDescent="0.2">
      <c r="A73" s="95">
        <v>49</v>
      </c>
      <c r="B73" s="96">
        <v>128</v>
      </c>
      <c r="C73" s="97" t="s">
        <v>223</v>
      </c>
      <c r="D73" s="98" t="s">
        <v>219</v>
      </c>
      <c r="G73" s="89" t="s">
        <v>652</v>
      </c>
      <c r="H73" s="88">
        <v>42166</v>
      </c>
      <c r="I73" s="89" t="s">
        <v>654</v>
      </c>
    </row>
    <row r="74" spans="1:9" x14ac:dyDescent="0.2">
      <c r="A74" s="95">
        <v>50</v>
      </c>
      <c r="B74" s="96">
        <v>14</v>
      </c>
      <c r="C74" s="97" t="s">
        <v>231</v>
      </c>
      <c r="D74" s="98" t="s">
        <v>219</v>
      </c>
      <c r="G74" s="89" t="s">
        <v>655</v>
      </c>
      <c r="H74" s="88">
        <v>42166</v>
      </c>
      <c r="I74" s="89" t="s">
        <v>656</v>
      </c>
    </row>
    <row r="75" spans="1:9" x14ac:dyDescent="0.2">
      <c r="A75" s="95">
        <v>51</v>
      </c>
      <c r="B75" s="96">
        <v>112</v>
      </c>
      <c r="C75" s="97" t="s">
        <v>232</v>
      </c>
      <c r="D75" s="98">
        <v>1</v>
      </c>
      <c r="G75" s="89" t="s">
        <v>657</v>
      </c>
      <c r="H75" s="88">
        <v>42166</v>
      </c>
      <c r="I75" s="89" t="s">
        <v>658</v>
      </c>
    </row>
    <row r="76" spans="1:9" x14ac:dyDescent="0.2">
      <c r="A76" s="95">
        <v>51</v>
      </c>
      <c r="B76" s="96">
        <v>120</v>
      </c>
      <c r="C76" s="97" t="s">
        <v>232</v>
      </c>
      <c r="D76" s="98">
        <v>2</v>
      </c>
      <c r="G76" s="89" t="s">
        <v>659</v>
      </c>
      <c r="H76" s="88">
        <v>42166</v>
      </c>
      <c r="I76" s="89" t="s">
        <v>660</v>
      </c>
    </row>
    <row r="77" spans="1:9" x14ac:dyDescent="0.2">
      <c r="A77" s="95">
        <v>52</v>
      </c>
      <c r="B77" s="96">
        <v>114</v>
      </c>
      <c r="C77" s="97" t="s">
        <v>233</v>
      </c>
      <c r="D77" s="98" t="s">
        <v>457</v>
      </c>
      <c r="G77" s="89" t="s">
        <v>661</v>
      </c>
      <c r="H77" s="88">
        <v>42166</v>
      </c>
      <c r="I77" s="89" t="s">
        <v>662</v>
      </c>
    </row>
    <row r="78" spans="1:9" x14ac:dyDescent="0.2">
      <c r="A78" s="95">
        <v>53</v>
      </c>
      <c r="B78" s="96">
        <v>115</v>
      </c>
      <c r="C78" s="97" t="s">
        <v>233</v>
      </c>
      <c r="D78" s="98" t="s">
        <v>457</v>
      </c>
      <c r="G78" s="89" t="s">
        <v>663</v>
      </c>
      <c r="H78" s="88">
        <v>42166</v>
      </c>
      <c r="I78" s="89" t="s">
        <v>664</v>
      </c>
    </row>
    <row r="79" spans="1:9" x14ac:dyDescent="0.2">
      <c r="A79" s="95">
        <v>55</v>
      </c>
      <c r="B79" s="96">
        <v>117</v>
      </c>
      <c r="C79" s="97" t="s">
        <v>233</v>
      </c>
      <c r="D79" s="98" t="s">
        <v>457</v>
      </c>
      <c r="G79" s="89" t="s">
        <v>665</v>
      </c>
      <c r="H79" s="88">
        <v>42166</v>
      </c>
      <c r="I79" s="89" t="s">
        <v>666</v>
      </c>
    </row>
    <row r="80" spans="1:9" x14ac:dyDescent="0.2">
      <c r="A80" s="95">
        <v>56</v>
      </c>
      <c r="B80" s="96">
        <v>118</v>
      </c>
      <c r="C80" s="97" t="s">
        <v>233</v>
      </c>
      <c r="D80" s="98" t="s">
        <v>457</v>
      </c>
      <c r="G80" s="89" t="s">
        <v>667</v>
      </c>
      <c r="H80" s="88">
        <v>42166</v>
      </c>
      <c r="I80" s="89" t="s">
        <v>668</v>
      </c>
    </row>
    <row r="81" spans="1:9" x14ac:dyDescent="0.2">
      <c r="A81" s="95">
        <v>57</v>
      </c>
      <c r="B81" s="96">
        <v>119</v>
      </c>
      <c r="C81" s="97" t="s">
        <v>233</v>
      </c>
      <c r="D81" s="98" t="s">
        <v>219</v>
      </c>
      <c r="G81" s="89" t="s">
        <v>669</v>
      </c>
      <c r="H81" s="88">
        <v>42166</v>
      </c>
      <c r="I81" s="89" t="s">
        <v>670</v>
      </c>
    </row>
    <row r="82" spans="1:9" x14ac:dyDescent="0.2">
      <c r="A82" s="95">
        <v>58</v>
      </c>
      <c r="B82" s="96">
        <v>21</v>
      </c>
      <c r="C82" s="97" t="s">
        <v>271</v>
      </c>
      <c r="D82" s="98">
        <v>1</v>
      </c>
      <c r="G82" s="89" t="s">
        <v>669</v>
      </c>
      <c r="H82" s="88">
        <v>42166</v>
      </c>
      <c r="I82" s="89" t="s">
        <v>671</v>
      </c>
    </row>
    <row r="83" spans="1:9" x14ac:dyDescent="0.2">
      <c r="A83" s="95">
        <v>58</v>
      </c>
      <c r="B83" s="96">
        <v>175</v>
      </c>
      <c r="C83" s="97" t="s">
        <v>271</v>
      </c>
      <c r="D83" s="98">
        <v>1</v>
      </c>
      <c r="G83" s="89" t="s">
        <v>672</v>
      </c>
      <c r="H83" s="88">
        <v>42166</v>
      </c>
      <c r="I83" s="89" t="s">
        <v>673</v>
      </c>
    </row>
    <row r="84" spans="1:9" x14ac:dyDescent="0.2">
      <c r="A84" s="95">
        <v>59</v>
      </c>
      <c r="B84" s="96">
        <v>121</v>
      </c>
      <c r="C84" s="97" t="s">
        <v>233</v>
      </c>
      <c r="D84" s="98" t="s">
        <v>457</v>
      </c>
    </row>
    <row r="85" spans="1:9" x14ac:dyDescent="0.2">
      <c r="A85" s="95">
        <v>60</v>
      </c>
      <c r="B85" s="96">
        <v>122</v>
      </c>
      <c r="C85" s="97" t="s">
        <v>233</v>
      </c>
      <c r="D85" s="98" t="s">
        <v>219</v>
      </c>
    </row>
    <row r="86" spans="1:9" x14ac:dyDescent="0.2">
      <c r="A86" s="95">
        <v>62</v>
      </c>
      <c r="B86" s="96">
        <v>1119</v>
      </c>
      <c r="C86" s="97" t="s">
        <v>234</v>
      </c>
      <c r="D86" s="98" t="s">
        <v>460</v>
      </c>
    </row>
    <row r="87" spans="1:9" x14ac:dyDescent="0.2">
      <c r="A87" s="95">
        <v>63</v>
      </c>
      <c r="B87" s="96">
        <v>172</v>
      </c>
      <c r="C87" s="97" t="s">
        <v>226</v>
      </c>
      <c r="D87" s="98" t="s">
        <v>457</v>
      </c>
    </row>
    <row r="88" spans="1:9" x14ac:dyDescent="0.2">
      <c r="A88" s="95">
        <v>64</v>
      </c>
      <c r="B88" s="96">
        <v>1105</v>
      </c>
      <c r="C88" s="97" t="s">
        <v>233</v>
      </c>
      <c r="D88" s="98" t="s">
        <v>219</v>
      </c>
    </row>
    <row r="89" spans="1:9" x14ac:dyDescent="0.2">
      <c r="A89" s="95">
        <v>65</v>
      </c>
      <c r="B89" s="96">
        <v>10</v>
      </c>
      <c r="C89" s="97" t="s">
        <v>235</v>
      </c>
      <c r="D89" s="98" t="s">
        <v>219</v>
      </c>
    </row>
    <row r="90" spans="1:9" x14ac:dyDescent="0.2">
      <c r="A90" s="95">
        <v>66</v>
      </c>
      <c r="B90" s="96">
        <v>1106</v>
      </c>
      <c r="C90" s="97" t="s">
        <v>235</v>
      </c>
      <c r="D90" s="98" t="s">
        <v>219</v>
      </c>
    </row>
    <row r="91" spans="1:9" x14ac:dyDescent="0.2">
      <c r="A91" s="95">
        <v>67</v>
      </c>
      <c r="B91" s="96">
        <v>102</v>
      </c>
      <c r="C91" s="97" t="s">
        <v>236</v>
      </c>
      <c r="D91" s="98" t="s">
        <v>458</v>
      </c>
    </row>
    <row r="92" spans="1:9" x14ac:dyDescent="0.2">
      <c r="A92" s="95">
        <v>71</v>
      </c>
      <c r="B92" s="96">
        <v>109</v>
      </c>
      <c r="C92" s="97" t="s">
        <v>236</v>
      </c>
      <c r="D92" s="98" t="s">
        <v>219</v>
      </c>
    </row>
    <row r="93" spans="1:9" x14ac:dyDescent="0.2">
      <c r="A93" s="95">
        <v>72</v>
      </c>
      <c r="B93" s="96">
        <v>111</v>
      </c>
      <c r="C93" s="97" t="s">
        <v>236</v>
      </c>
      <c r="D93" s="98" t="s">
        <v>219</v>
      </c>
    </row>
    <row r="94" spans="1:9" x14ac:dyDescent="0.2">
      <c r="A94" s="95">
        <v>73</v>
      </c>
      <c r="B94" s="96">
        <v>156</v>
      </c>
      <c r="C94" s="97" t="s">
        <v>236</v>
      </c>
      <c r="D94" s="98" t="s">
        <v>458</v>
      </c>
    </row>
    <row r="95" spans="1:9" x14ac:dyDescent="0.2">
      <c r="A95" s="95">
        <v>74</v>
      </c>
      <c r="B95" s="96">
        <v>17</v>
      </c>
      <c r="C95" s="97" t="s">
        <v>237</v>
      </c>
      <c r="D95" s="98" t="s">
        <v>219</v>
      </c>
    </row>
    <row r="96" spans="1:9" x14ac:dyDescent="0.2">
      <c r="A96" s="95">
        <v>75</v>
      </c>
      <c r="B96" s="96">
        <v>62</v>
      </c>
      <c r="C96" s="97" t="s">
        <v>238</v>
      </c>
      <c r="D96" s="98" t="s">
        <v>219</v>
      </c>
    </row>
    <row r="97" spans="1:4" x14ac:dyDescent="0.2">
      <c r="A97" s="95">
        <v>76</v>
      </c>
      <c r="B97" s="96">
        <v>63</v>
      </c>
      <c r="C97" s="97" t="s">
        <v>238</v>
      </c>
      <c r="D97" s="98" t="s">
        <v>219</v>
      </c>
    </row>
    <row r="98" spans="1:4" x14ac:dyDescent="0.2">
      <c r="A98" s="95">
        <v>77</v>
      </c>
      <c r="B98" s="96">
        <v>134</v>
      </c>
      <c r="C98" s="97" t="s">
        <v>238</v>
      </c>
      <c r="D98" s="98" t="s">
        <v>219</v>
      </c>
    </row>
    <row r="99" spans="1:4" x14ac:dyDescent="0.2">
      <c r="A99" s="95">
        <v>78</v>
      </c>
      <c r="B99" s="96">
        <v>13</v>
      </c>
      <c r="C99" s="97" t="s">
        <v>239</v>
      </c>
      <c r="D99" s="98" t="s">
        <v>219</v>
      </c>
    </row>
    <row r="100" spans="1:4" x14ac:dyDescent="0.2">
      <c r="A100" s="95">
        <v>79</v>
      </c>
      <c r="B100" s="96">
        <v>97</v>
      </c>
      <c r="C100" s="97" t="s">
        <v>240</v>
      </c>
      <c r="D100" s="98">
        <v>2</v>
      </c>
    </row>
    <row r="101" spans="1:4" x14ac:dyDescent="0.2">
      <c r="A101" s="95">
        <v>79</v>
      </c>
      <c r="B101" s="96">
        <v>164</v>
      </c>
      <c r="C101" s="97" t="s">
        <v>240</v>
      </c>
      <c r="D101" s="98">
        <v>1</v>
      </c>
    </row>
    <row r="102" spans="1:4" x14ac:dyDescent="0.2">
      <c r="A102" s="95">
        <v>80</v>
      </c>
      <c r="B102" s="96">
        <v>96</v>
      </c>
      <c r="C102" s="97" t="s">
        <v>241</v>
      </c>
      <c r="D102" s="98" t="s">
        <v>219</v>
      </c>
    </row>
    <row r="103" spans="1:4" x14ac:dyDescent="0.2">
      <c r="A103" s="95">
        <v>81</v>
      </c>
      <c r="B103" s="96">
        <v>60</v>
      </c>
      <c r="C103" s="97" t="s">
        <v>242</v>
      </c>
      <c r="D103" s="98" t="s">
        <v>219</v>
      </c>
    </row>
    <row r="104" spans="1:4" x14ac:dyDescent="0.2">
      <c r="A104" s="95">
        <v>82</v>
      </c>
      <c r="B104" s="96">
        <v>83</v>
      </c>
      <c r="C104" s="97" t="s">
        <v>243</v>
      </c>
      <c r="D104" s="98" t="s">
        <v>219</v>
      </c>
    </row>
    <row r="105" spans="1:4" x14ac:dyDescent="0.2">
      <c r="A105" s="95">
        <v>83</v>
      </c>
      <c r="B105" s="96">
        <v>84</v>
      </c>
      <c r="C105" s="97" t="s">
        <v>243</v>
      </c>
      <c r="D105" s="98" t="s">
        <v>219</v>
      </c>
    </row>
    <row r="106" spans="1:4" x14ac:dyDescent="0.2">
      <c r="A106" s="95">
        <v>84</v>
      </c>
      <c r="B106" s="96">
        <v>85</v>
      </c>
      <c r="C106" s="97" t="s">
        <v>243</v>
      </c>
      <c r="D106" s="98" t="s">
        <v>219</v>
      </c>
    </row>
    <row r="107" spans="1:4" x14ac:dyDescent="0.2">
      <c r="A107" s="95">
        <v>85</v>
      </c>
      <c r="B107" s="96">
        <v>86</v>
      </c>
      <c r="C107" s="97" t="s">
        <v>243</v>
      </c>
      <c r="D107" s="98" t="s">
        <v>219</v>
      </c>
    </row>
    <row r="108" spans="1:4" x14ac:dyDescent="0.2">
      <c r="A108" s="95">
        <v>86</v>
      </c>
      <c r="B108" s="96">
        <v>1107</v>
      </c>
      <c r="C108" s="97" t="s">
        <v>243</v>
      </c>
      <c r="D108" s="98" t="s">
        <v>219</v>
      </c>
    </row>
    <row r="109" spans="1:4" x14ac:dyDescent="0.2">
      <c r="A109" s="95">
        <v>87</v>
      </c>
      <c r="B109" s="96">
        <v>1109</v>
      </c>
      <c r="C109" s="97" t="s">
        <v>243</v>
      </c>
      <c r="D109" s="98" t="s">
        <v>219</v>
      </c>
    </row>
    <row r="110" spans="1:4" x14ac:dyDescent="0.2">
      <c r="A110" s="95">
        <v>88</v>
      </c>
      <c r="B110" s="96">
        <v>1113</v>
      </c>
      <c r="C110" s="97" t="s">
        <v>243</v>
      </c>
      <c r="D110" s="98" t="s">
        <v>219</v>
      </c>
    </row>
    <row r="111" spans="1:4" x14ac:dyDescent="0.2">
      <c r="A111" s="95">
        <v>91</v>
      </c>
      <c r="B111" s="96">
        <v>3</v>
      </c>
      <c r="C111" s="97" t="s">
        <v>244</v>
      </c>
      <c r="D111" s="98" t="s">
        <v>219</v>
      </c>
    </row>
    <row r="112" spans="1:4" x14ac:dyDescent="0.2">
      <c r="A112" s="95">
        <v>92</v>
      </c>
      <c r="B112" s="96">
        <v>4</v>
      </c>
      <c r="C112" s="97" t="s">
        <v>244</v>
      </c>
      <c r="D112" s="98" t="s">
        <v>219</v>
      </c>
    </row>
    <row r="113" spans="1:4" x14ac:dyDescent="0.2">
      <c r="A113" s="95">
        <v>93</v>
      </c>
      <c r="B113" s="96">
        <v>30</v>
      </c>
      <c r="C113" s="97" t="s">
        <v>245</v>
      </c>
      <c r="D113" s="98">
        <v>1</v>
      </c>
    </row>
    <row r="114" spans="1:4" x14ac:dyDescent="0.2">
      <c r="A114" s="95">
        <v>93</v>
      </c>
      <c r="B114" s="96">
        <v>214</v>
      </c>
      <c r="C114" s="97" t="s">
        <v>245</v>
      </c>
      <c r="D114" s="98">
        <v>2</v>
      </c>
    </row>
    <row r="115" spans="1:4" x14ac:dyDescent="0.2">
      <c r="A115" s="95">
        <v>94</v>
      </c>
      <c r="B115" s="96">
        <v>1108</v>
      </c>
      <c r="C115" s="97" t="s">
        <v>244</v>
      </c>
      <c r="D115" s="98" t="s">
        <v>219</v>
      </c>
    </row>
    <row r="116" spans="1:4" x14ac:dyDescent="0.2">
      <c r="A116" s="95">
        <v>95</v>
      </c>
      <c r="B116" s="96">
        <v>1110</v>
      </c>
      <c r="C116" s="97" t="s">
        <v>244</v>
      </c>
      <c r="D116" s="98" t="s">
        <v>219</v>
      </c>
    </row>
    <row r="117" spans="1:4" x14ac:dyDescent="0.2">
      <c r="A117" s="95">
        <v>96</v>
      </c>
      <c r="B117" s="96">
        <v>1114</v>
      </c>
      <c r="C117" s="97" t="s">
        <v>244</v>
      </c>
      <c r="D117" s="98" t="s">
        <v>219</v>
      </c>
    </row>
    <row r="118" spans="1:4" x14ac:dyDescent="0.2">
      <c r="A118" s="95">
        <v>97</v>
      </c>
      <c r="B118" s="96">
        <v>54</v>
      </c>
      <c r="C118" s="97" t="s">
        <v>246</v>
      </c>
      <c r="D118" s="98" t="s">
        <v>219</v>
      </c>
    </row>
    <row r="119" spans="1:4" x14ac:dyDescent="0.2">
      <c r="A119" s="95">
        <v>98</v>
      </c>
      <c r="B119" s="96">
        <v>12</v>
      </c>
      <c r="C119" s="97" t="s">
        <v>247</v>
      </c>
      <c r="D119" s="98" t="s">
        <v>219</v>
      </c>
    </row>
    <row r="120" spans="1:4" x14ac:dyDescent="0.2">
      <c r="A120" s="95">
        <v>99</v>
      </c>
      <c r="B120" s="96">
        <v>75</v>
      </c>
      <c r="C120" s="97" t="s">
        <v>248</v>
      </c>
      <c r="D120" s="98" t="s">
        <v>457</v>
      </c>
    </row>
    <row r="121" spans="1:4" x14ac:dyDescent="0.2">
      <c r="A121" s="95">
        <v>100</v>
      </c>
      <c r="B121" s="96">
        <v>76</v>
      </c>
      <c r="C121" s="97" t="s">
        <v>248</v>
      </c>
      <c r="D121" s="98" t="s">
        <v>457</v>
      </c>
    </row>
    <row r="122" spans="1:4" x14ac:dyDescent="0.2">
      <c r="A122" s="95">
        <v>101</v>
      </c>
      <c r="B122" s="96">
        <v>7</v>
      </c>
      <c r="C122" s="97" t="s">
        <v>249</v>
      </c>
      <c r="D122" s="98" t="s">
        <v>219</v>
      </c>
    </row>
    <row r="123" spans="1:4" x14ac:dyDescent="0.2">
      <c r="A123" s="95">
        <v>102</v>
      </c>
      <c r="B123" s="96">
        <v>8</v>
      </c>
      <c r="C123" s="97" t="s">
        <v>249</v>
      </c>
      <c r="D123" s="98" t="s">
        <v>219</v>
      </c>
    </row>
    <row r="124" spans="1:4" x14ac:dyDescent="0.2">
      <c r="A124" s="95">
        <v>103</v>
      </c>
      <c r="B124" s="96">
        <v>9</v>
      </c>
      <c r="C124" s="97" t="s">
        <v>249</v>
      </c>
      <c r="D124" s="98" t="s">
        <v>219</v>
      </c>
    </row>
    <row r="125" spans="1:4" x14ac:dyDescent="0.2">
      <c r="A125" s="95">
        <v>104</v>
      </c>
      <c r="B125" s="96">
        <v>61</v>
      </c>
      <c r="C125" s="97" t="s">
        <v>250</v>
      </c>
      <c r="D125" s="98" t="s">
        <v>458</v>
      </c>
    </row>
    <row r="126" spans="1:4" x14ac:dyDescent="0.2">
      <c r="A126" s="95">
        <v>105</v>
      </c>
      <c r="B126" s="96">
        <v>65</v>
      </c>
      <c r="C126" s="97" t="s">
        <v>250</v>
      </c>
      <c r="D126" s="98" t="s">
        <v>219</v>
      </c>
    </row>
    <row r="127" spans="1:4" x14ac:dyDescent="0.2">
      <c r="A127" s="95">
        <v>106</v>
      </c>
      <c r="B127" s="96">
        <v>66</v>
      </c>
      <c r="C127" s="97" t="s">
        <v>250</v>
      </c>
      <c r="D127" s="98" t="s">
        <v>458</v>
      </c>
    </row>
    <row r="128" spans="1:4" x14ac:dyDescent="0.2">
      <c r="A128" s="95">
        <v>107</v>
      </c>
      <c r="B128" s="96">
        <v>67</v>
      </c>
      <c r="C128" s="97" t="s">
        <v>250</v>
      </c>
      <c r="D128" s="98" t="s">
        <v>458</v>
      </c>
    </row>
    <row r="129" spans="1:4" x14ac:dyDescent="0.2">
      <c r="A129" s="95">
        <v>108</v>
      </c>
      <c r="B129" s="96">
        <v>68</v>
      </c>
      <c r="C129" s="97" t="s">
        <v>250</v>
      </c>
      <c r="D129" s="98" t="s">
        <v>458</v>
      </c>
    </row>
    <row r="130" spans="1:4" x14ac:dyDescent="0.2">
      <c r="A130" s="95">
        <v>109</v>
      </c>
      <c r="B130" s="96">
        <v>69</v>
      </c>
      <c r="C130" s="97" t="s">
        <v>250</v>
      </c>
      <c r="D130" s="98" t="s">
        <v>219</v>
      </c>
    </row>
    <row r="131" spans="1:4" x14ac:dyDescent="0.2">
      <c r="A131" s="95">
        <v>110</v>
      </c>
      <c r="B131" s="96">
        <v>1348</v>
      </c>
      <c r="C131" s="97" t="s">
        <v>250</v>
      </c>
      <c r="D131" s="98" t="s">
        <v>219</v>
      </c>
    </row>
    <row r="132" spans="1:4" x14ac:dyDescent="0.2">
      <c r="A132" s="95">
        <v>111</v>
      </c>
      <c r="B132" s="96">
        <v>91</v>
      </c>
      <c r="C132" s="97" t="s">
        <v>251</v>
      </c>
      <c r="D132" s="98" t="s">
        <v>219</v>
      </c>
    </row>
    <row r="133" spans="1:4" x14ac:dyDescent="0.2">
      <c r="A133" s="95">
        <v>112</v>
      </c>
      <c r="B133" s="96">
        <v>22</v>
      </c>
      <c r="C133" s="97" t="s">
        <v>252</v>
      </c>
      <c r="D133" s="98" t="s">
        <v>457</v>
      </c>
    </row>
    <row r="134" spans="1:4" x14ac:dyDescent="0.2">
      <c r="A134" s="95">
        <v>113</v>
      </c>
      <c r="B134" s="96">
        <v>23</v>
      </c>
      <c r="C134" s="97" t="s">
        <v>252</v>
      </c>
      <c r="D134" s="98" t="s">
        <v>457</v>
      </c>
    </row>
    <row r="135" spans="1:4" x14ac:dyDescent="0.2">
      <c r="A135" s="95">
        <v>115</v>
      </c>
      <c r="B135" s="96">
        <v>25</v>
      </c>
      <c r="C135" s="97" t="s">
        <v>252</v>
      </c>
      <c r="D135" s="98" t="s">
        <v>219</v>
      </c>
    </row>
    <row r="136" spans="1:4" x14ac:dyDescent="0.2">
      <c r="A136" s="95">
        <v>116</v>
      </c>
      <c r="B136" s="96">
        <v>26</v>
      </c>
      <c r="C136" s="97" t="s">
        <v>252</v>
      </c>
      <c r="D136" s="98" t="s">
        <v>219</v>
      </c>
    </row>
    <row r="137" spans="1:4" x14ac:dyDescent="0.2">
      <c r="A137" s="95">
        <v>117</v>
      </c>
      <c r="B137" s="96">
        <v>1349</v>
      </c>
      <c r="C137" s="97" t="s">
        <v>252</v>
      </c>
      <c r="D137" s="98" t="s">
        <v>219</v>
      </c>
    </row>
    <row r="138" spans="1:4" x14ac:dyDescent="0.2">
      <c r="A138" s="95">
        <v>118</v>
      </c>
      <c r="B138" s="96">
        <v>6</v>
      </c>
      <c r="C138" s="97" t="s">
        <v>253</v>
      </c>
      <c r="D138" s="98" t="s">
        <v>219</v>
      </c>
    </row>
    <row r="139" spans="1:4" x14ac:dyDescent="0.2">
      <c r="A139" s="95">
        <v>119</v>
      </c>
      <c r="B139" s="96">
        <v>1350</v>
      </c>
      <c r="C139" s="97" t="s">
        <v>253</v>
      </c>
      <c r="D139" s="98" t="s">
        <v>219</v>
      </c>
    </row>
    <row r="140" spans="1:4" x14ac:dyDescent="0.2">
      <c r="A140" s="95">
        <v>120</v>
      </c>
      <c r="B140" s="96">
        <v>11</v>
      </c>
      <c r="C140" s="97" t="s">
        <v>226</v>
      </c>
      <c r="D140" s="98" t="s">
        <v>219</v>
      </c>
    </row>
    <row r="141" spans="1:4" x14ac:dyDescent="0.2">
      <c r="A141" s="95">
        <v>121</v>
      </c>
      <c r="B141" s="96">
        <v>26</v>
      </c>
      <c r="C141" s="97" t="s">
        <v>254</v>
      </c>
      <c r="D141" s="98">
        <v>2</v>
      </c>
    </row>
    <row r="142" spans="1:4" x14ac:dyDescent="0.2">
      <c r="A142" s="95">
        <v>121</v>
      </c>
      <c r="B142" s="96">
        <v>224</v>
      </c>
      <c r="C142" s="97" t="s">
        <v>254</v>
      </c>
      <c r="D142" s="98">
        <v>1</v>
      </c>
    </row>
    <row r="143" spans="1:4" x14ac:dyDescent="0.2">
      <c r="A143" s="95">
        <v>122</v>
      </c>
      <c r="B143" s="96">
        <v>201</v>
      </c>
      <c r="C143" s="97" t="s">
        <v>255</v>
      </c>
      <c r="D143" s="98">
        <v>1</v>
      </c>
    </row>
    <row r="144" spans="1:4" x14ac:dyDescent="0.2">
      <c r="A144" s="95">
        <v>122</v>
      </c>
      <c r="B144" s="96">
        <v>245</v>
      </c>
      <c r="C144" s="97" t="s">
        <v>255</v>
      </c>
      <c r="D144" s="98">
        <v>2</v>
      </c>
    </row>
    <row r="145" spans="1:4" x14ac:dyDescent="0.2">
      <c r="A145" s="95">
        <v>123</v>
      </c>
      <c r="B145" s="96">
        <v>1307</v>
      </c>
      <c r="C145" s="97" t="s">
        <v>256</v>
      </c>
      <c r="D145" s="98">
        <v>1</v>
      </c>
    </row>
    <row r="146" spans="1:4" x14ac:dyDescent="0.2">
      <c r="A146" s="95">
        <v>124</v>
      </c>
      <c r="B146" s="96">
        <v>1319</v>
      </c>
      <c r="C146" s="97" t="s">
        <v>256</v>
      </c>
      <c r="D146" s="98">
        <v>1</v>
      </c>
    </row>
    <row r="147" spans="1:4" x14ac:dyDescent="0.2">
      <c r="A147" s="95">
        <v>125</v>
      </c>
      <c r="B147" s="96">
        <v>1315</v>
      </c>
      <c r="C147" s="97" t="s">
        <v>256</v>
      </c>
      <c r="D147" s="98">
        <v>1</v>
      </c>
    </row>
    <row r="148" spans="1:4" x14ac:dyDescent="0.2">
      <c r="A148" s="95">
        <v>126</v>
      </c>
      <c r="B148" s="96">
        <v>1193</v>
      </c>
      <c r="C148" s="97" t="s">
        <v>257</v>
      </c>
      <c r="D148" s="98">
        <v>1</v>
      </c>
    </row>
    <row r="149" spans="1:4" x14ac:dyDescent="0.2">
      <c r="A149" s="95">
        <v>126</v>
      </c>
      <c r="B149" s="96">
        <v>1194</v>
      </c>
      <c r="C149" s="97" t="s">
        <v>257</v>
      </c>
      <c r="D149" s="98">
        <v>2</v>
      </c>
    </row>
    <row r="150" spans="1:4" x14ac:dyDescent="0.2">
      <c r="A150" s="95">
        <v>127</v>
      </c>
      <c r="B150" s="96">
        <v>80</v>
      </c>
      <c r="C150" s="97" t="s">
        <v>258</v>
      </c>
      <c r="D150" s="98" t="s">
        <v>458</v>
      </c>
    </row>
    <row r="151" spans="1:4" x14ac:dyDescent="0.2">
      <c r="A151" s="95">
        <v>127</v>
      </c>
      <c r="B151" s="96">
        <v>148</v>
      </c>
      <c r="C151" s="97" t="s">
        <v>258</v>
      </c>
      <c r="D151" s="98">
        <v>1</v>
      </c>
    </row>
    <row r="152" spans="1:4" x14ac:dyDescent="0.2">
      <c r="A152" s="95">
        <v>127</v>
      </c>
      <c r="B152" s="96">
        <v>221</v>
      </c>
      <c r="C152" s="97" t="s">
        <v>258</v>
      </c>
      <c r="D152" s="98" t="s">
        <v>460</v>
      </c>
    </row>
    <row r="153" spans="1:4" x14ac:dyDescent="0.2">
      <c r="A153" s="95">
        <v>128</v>
      </c>
      <c r="B153" s="96">
        <v>1120</v>
      </c>
      <c r="C153" s="97" t="s">
        <v>259</v>
      </c>
      <c r="D153" s="98">
        <v>1</v>
      </c>
    </row>
    <row r="154" spans="1:4" x14ac:dyDescent="0.2">
      <c r="A154" s="95">
        <v>128</v>
      </c>
      <c r="B154" s="96">
        <v>1121</v>
      </c>
      <c r="C154" s="97" t="s">
        <v>259</v>
      </c>
      <c r="D154" s="98">
        <v>1</v>
      </c>
    </row>
    <row r="155" spans="1:4" x14ac:dyDescent="0.2">
      <c r="A155" s="95">
        <v>128</v>
      </c>
      <c r="B155" s="96">
        <v>1122</v>
      </c>
      <c r="C155" s="97" t="s">
        <v>259</v>
      </c>
      <c r="D155" s="98">
        <v>2</v>
      </c>
    </row>
    <row r="156" spans="1:4" x14ac:dyDescent="0.2">
      <c r="A156" s="95">
        <v>129</v>
      </c>
      <c r="B156" s="96">
        <v>169</v>
      </c>
      <c r="C156" s="97" t="s">
        <v>258</v>
      </c>
      <c r="D156" s="98">
        <v>1</v>
      </c>
    </row>
    <row r="157" spans="1:4" x14ac:dyDescent="0.2">
      <c r="A157" s="95">
        <v>129</v>
      </c>
      <c r="B157" s="96">
        <v>202</v>
      </c>
      <c r="C157" s="97" t="s">
        <v>258</v>
      </c>
      <c r="D157" s="98">
        <v>1</v>
      </c>
    </row>
    <row r="158" spans="1:4" x14ac:dyDescent="0.2">
      <c r="A158" s="95">
        <v>129</v>
      </c>
      <c r="B158" s="96">
        <v>222</v>
      </c>
      <c r="C158" s="97" t="s">
        <v>258</v>
      </c>
      <c r="D158" s="98">
        <v>2</v>
      </c>
    </row>
    <row r="159" spans="1:4" x14ac:dyDescent="0.2">
      <c r="A159" s="95">
        <v>130</v>
      </c>
      <c r="B159" s="96">
        <v>1308</v>
      </c>
      <c r="C159" s="97" t="s">
        <v>260</v>
      </c>
      <c r="D159" s="98">
        <v>1</v>
      </c>
    </row>
    <row r="160" spans="1:4" x14ac:dyDescent="0.2">
      <c r="A160" s="95">
        <v>130</v>
      </c>
      <c r="B160" s="96">
        <v>1309</v>
      </c>
      <c r="C160" s="97" t="s">
        <v>260</v>
      </c>
      <c r="D160" s="98">
        <v>1</v>
      </c>
    </row>
    <row r="161" spans="1:4" x14ac:dyDescent="0.2">
      <c r="A161" s="95">
        <v>130</v>
      </c>
      <c r="B161" s="96">
        <v>1310</v>
      </c>
      <c r="C161" s="97" t="s">
        <v>260</v>
      </c>
      <c r="D161" s="98">
        <v>2</v>
      </c>
    </row>
    <row r="162" spans="1:4" x14ac:dyDescent="0.2">
      <c r="A162" s="95">
        <v>131</v>
      </c>
      <c r="B162" s="96">
        <v>1311</v>
      </c>
      <c r="C162" s="97" t="s">
        <v>260</v>
      </c>
      <c r="D162" s="98">
        <v>1</v>
      </c>
    </row>
    <row r="163" spans="1:4" x14ac:dyDescent="0.2">
      <c r="A163" s="95">
        <v>131</v>
      </c>
      <c r="B163" s="96">
        <v>1312</v>
      </c>
      <c r="C163" s="97" t="s">
        <v>260</v>
      </c>
      <c r="D163" s="98">
        <v>1</v>
      </c>
    </row>
    <row r="164" spans="1:4" x14ac:dyDescent="0.2">
      <c r="A164" s="95">
        <v>131</v>
      </c>
      <c r="B164" s="96">
        <v>1313</v>
      </c>
      <c r="C164" s="97" t="s">
        <v>260</v>
      </c>
      <c r="D164" s="98">
        <v>2</v>
      </c>
    </row>
    <row r="165" spans="1:4" x14ac:dyDescent="0.2">
      <c r="A165" s="95">
        <v>132</v>
      </c>
      <c r="B165" s="96">
        <v>92</v>
      </c>
      <c r="C165" s="97" t="s">
        <v>261</v>
      </c>
      <c r="D165" s="98" t="s">
        <v>457</v>
      </c>
    </row>
    <row r="166" spans="1:4" x14ac:dyDescent="0.2">
      <c r="A166" s="95">
        <v>132</v>
      </c>
      <c r="B166" s="96">
        <v>210</v>
      </c>
      <c r="C166" s="97" t="s">
        <v>261</v>
      </c>
      <c r="D166" s="98">
        <v>2</v>
      </c>
    </row>
    <row r="167" spans="1:4" x14ac:dyDescent="0.2">
      <c r="A167" s="95">
        <v>132</v>
      </c>
      <c r="B167" s="96">
        <v>234</v>
      </c>
      <c r="C167" s="97" t="s">
        <v>261</v>
      </c>
      <c r="D167" s="98" t="s">
        <v>457</v>
      </c>
    </row>
    <row r="168" spans="1:4" x14ac:dyDescent="0.2">
      <c r="A168" s="95">
        <v>132</v>
      </c>
      <c r="B168" s="96">
        <v>236</v>
      </c>
      <c r="C168" s="97" t="s">
        <v>261</v>
      </c>
      <c r="D168" s="98" t="s">
        <v>457</v>
      </c>
    </row>
    <row r="169" spans="1:4" x14ac:dyDescent="0.2">
      <c r="A169" s="95">
        <v>133</v>
      </c>
      <c r="B169" s="96">
        <v>92</v>
      </c>
      <c r="C169" s="97" t="s">
        <v>261</v>
      </c>
      <c r="D169" s="98">
        <v>1</v>
      </c>
    </row>
    <row r="170" spans="1:4" x14ac:dyDescent="0.2">
      <c r="A170" s="95">
        <v>133</v>
      </c>
      <c r="B170" s="96">
        <v>210</v>
      </c>
      <c r="C170" s="97" t="s">
        <v>261</v>
      </c>
      <c r="D170" s="98">
        <v>2</v>
      </c>
    </row>
    <row r="171" spans="1:4" x14ac:dyDescent="0.2">
      <c r="A171" s="95">
        <v>133</v>
      </c>
      <c r="B171" s="96">
        <v>233</v>
      </c>
      <c r="C171" s="97" t="s">
        <v>261</v>
      </c>
      <c r="D171" s="98">
        <v>1</v>
      </c>
    </row>
    <row r="172" spans="1:4" x14ac:dyDescent="0.2">
      <c r="A172" s="95">
        <v>133</v>
      </c>
      <c r="B172" s="96">
        <v>246</v>
      </c>
      <c r="C172" s="97" t="s">
        <v>261</v>
      </c>
      <c r="D172" s="98">
        <v>1</v>
      </c>
    </row>
    <row r="173" spans="1:4" x14ac:dyDescent="0.2">
      <c r="A173" s="95">
        <v>134</v>
      </c>
      <c r="B173" s="96">
        <v>101</v>
      </c>
      <c r="C173" s="97" t="s">
        <v>261</v>
      </c>
      <c r="D173" s="98">
        <v>1</v>
      </c>
    </row>
    <row r="174" spans="1:4" x14ac:dyDescent="0.2">
      <c r="A174" s="95">
        <v>134</v>
      </c>
      <c r="B174" s="96">
        <v>210</v>
      </c>
      <c r="C174" s="97" t="s">
        <v>261</v>
      </c>
      <c r="D174" s="98">
        <v>2</v>
      </c>
    </row>
    <row r="175" spans="1:4" x14ac:dyDescent="0.2">
      <c r="A175" s="95">
        <v>134</v>
      </c>
      <c r="B175" s="96">
        <v>232</v>
      </c>
      <c r="C175" s="97" t="s">
        <v>261</v>
      </c>
      <c r="D175" s="98">
        <v>1</v>
      </c>
    </row>
    <row r="176" spans="1:4" x14ac:dyDescent="0.2">
      <c r="A176" s="95">
        <v>134</v>
      </c>
      <c r="B176" s="96">
        <v>250</v>
      </c>
      <c r="C176" s="97" t="s">
        <v>261</v>
      </c>
      <c r="D176" s="98">
        <v>1</v>
      </c>
    </row>
    <row r="177" spans="1:4" x14ac:dyDescent="0.2">
      <c r="A177" s="95">
        <v>135</v>
      </c>
      <c r="B177" s="96">
        <v>38</v>
      </c>
      <c r="C177" s="97" t="s">
        <v>261</v>
      </c>
      <c r="D177" s="98">
        <v>1</v>
      </c>
    </row>
    <row r="178" spans="1:4" x14ac:dyDescent="0.2">
      <c r="A178" s="95">
        <v>135</v>
      </c>
      <c r="B178" s="96">
        <v>80</v>
      </c>
      <c r="C178" s="97" t="s">
        <v>261</v>
      </c>
      <c r="D178" s="98">
        <v>1</v>
      </c>
    </row>
    <row r="179" spans="1:4" x14ac:dyDescent="0.2">
      <c r="A179" s="95">
        <v>135</v>
      </c>
      <c r="B179" s="96">
        <v>221</v>
      </c>
      <c r="C179" s="97" t="s">
        <v>261</v>
      </c>
      <c r="D179" s="98" t="s">
        <v>460</v>
      </c>
    </row>
    <row r="180" spans="1:4" x14ac:dyDescent="0.2">
      <c r="A180" s="95">
        <v>135</v>
      </c>
      <c r="B180" s="96">
        <v>247</v>
      </c>
      <c r="C180" s="97" t="s">
        <v>261</v>
      </c>
      <c r="D180" s="98">
        <v>1</v>
      </c>
    </row>
    <row r="181" spans="1:4" x14ac:dyDescent="0.2">
      <c r="A181" s="95">
        <v>136</v>
      </c>
      <c r="B181" s="96">
        <v>124</v>
      </c>
      <c r="C181" s="97" t="s">
        <v>261</v>
      </c>
      <c r="D181" s="98">
        <v>1</v>
      </c>
    </row>
    <row r="182" spans="1:4" x14ac:dyDescent="0.2">
      <c r="A182" s="95">
        <v>136</v>
      </c>
      <c r="B182" s="96">
        <v>202</v>
      </c>
      <c r="C182" s="97" t="s">
        <v>261</v>
      </c>
      <c r="D182" s="98">
        <v>1</v>
      </c>
    </row>
    <row r="183" spans="1:4" x14ac:dyDescent="0.2">
      <c r="A183" s="95">
        <v>136</v>
      </c>
      <c r="B183" s="96">
        <v>222</v>
      </c>
      <c r="C183" s="97" t="s">
        <v>261</v>
      </c>
      <c r="D183" s="98">
        <v>2</v>
      </c>
    </row>
    <row r="184" spans="1:4" x14ac:dyDescent="0.2">
      <c r="A184" s="95">
        <v>136</v>
      </c>
      <c r="B184" s="96">
        <v>246</v>
      </c>
      <c r="C184" s="97" t="s">
        <v>261</v>
      </c>
      <c r="D184" s="98">
        <v>1</v>
      </c>
    </row>
    <row r="185" spans="1:4" x14ac:dyDescent="0.2">
      <c r="A185" s="95">
        <v>137</v>
      </c>
      <c r="B185" s="96">
        <v>203</v>
      </c>
      <c r="C185" s="97" t="s">
        <v>261</v>
      </c>
      <c r="D185" s="98" t="s">
        <v>262</v>
      </c>
    </row>
    <row r="186" spans="1:4" x14ac:dyDescent="0.2">
      <c r="A186" s="95">
        <v>137</v>
      </c>
      <c r="B186" s="96">
        <v>222</v>
      </c>
      <c r="C186" s="97" t="s">
        <v>261</v>
      </c>
      <c r="D186" s="98" t="s">
        <v>262</v>
      </c>
    </row>
    <row r="187" spans="1:4" x14ac:dyDescent="0.2">
      <c r="A187" s="95">
        <v>137</v>
      </c>
      <c r="B187" s="96">
        <v>223</v>
      </c>
      <c r="C187" s="97" t="s">
        <v>261</v>
      </c>
      <c r="D187" s="98" t="s">
        <v>262</v>
      </c>
    </row>
    <row r="188" spans="1:4" x14ac:dyDescent="0.2">
      <c r="A188" s="95">
        <v>137</v>
      </c>
      <c r="B188" s="96">
        <v>229</v>
      </c>
      <c r="C188" s="97" t="s">
        <v>261</v>
      </c>
      <c r="D188" s="98" t="s">
        <v>262</v>
      </c>
    </row>
    <row r="189" spans="1:4" x14ac:dyDescent="0.2">
      <c r="A189" s="95">
        <v>138</v>
      </c>
      <c r="B189" s="96">
        <v>5</v>
      </c>
      <c r="C189" s="97" t="s">
        <v>261</v>
      </c>
      <c r="D189" s="98" t="s">
        <v>457</v>
      </c>
    </row>
    <row r="190" spans="1:4" x14ac:dyDescent="0.2">
      <c r="A190" s="95">
        <v>138</v>
      </c>
      <c r="B190" s="96">
        <v>88</v>
      </c>
      <c r="C190" s="97" t="s">
        <v>261</v>
      </c>
      <c r="D190" s="98" t="s">
        <v>457</v>
      </c>
    </row>
    <row r="191" spans="1:4" x14ac:dyDescent="0.2">
      <c r="A191" s="95">
        <v>138</v>
      </c>
      <c r="B191" s="96">
        <v>208</v>
      </c>
      <c r="C191" s="97" t="s">
        <v>261</v>
      </c>
      <c r="D191" s="98">
        <v>2</v>
      </c>
    </row>
    <row r="192" spans="1:4" x14ac:dyDescent="0.2">
      <c r="A192" s="95">
        <v>138</v>
      </c>
      <c r="B192" s="96">
        <v>235</v>
      </c>
      <c r="C192" s="97" t="s">
        <v>261</v>
      </c>
      <c r="D192" s="98" t="s">
        <v>457</v>
      </c>
    </row>
    <row r="193" spans="1:4" x14ac:dyDescent="0.2">
      <c r="A193" s="95">
        <v>140</v>
      </c>
      <c r="B193" s="96">
        <v>1395</v>
      </c>
      <c r="C193" s="97" t="s">
        <v>245</v>
      </c>
      <c r="D193" s="98">
        <v>2</v>
      </c>
    </row>
    <row r="194" spans="1:4" x14ac:dyDescent="0.2">
      <c r="A194" s="95">
        <v>140</v>
      </c>
      <c r="B194" s="96">
        <v>1396</v>
      </c>
      <c r="C194" s="97" t="s">
        <v>245</v>
      </c>
      <c r="D194" s="98">
        <v>1</v>
      </c>
    </row>
    <row r="195" spans="1:4" x14ac:dyDescent="0.2">
      <c r="A195" s="95">
        <v>141</v>
      </c>
      <c r="B195" s="96">
        <v>189</v>
      </c>
      <c r="C195" s="97" t="s">
        <v>263</v>
      </c>
      <c r="D195" s="98">
        <v>1</v>
      </c>
    </row>
    <row r="196" spans="1:4" x14ac:dyDescent="0.2">
      <c r="A196" s="95">
        <v>141</v>
      </c>
      <c r="B196" s="96">
        <v>210</v>
      </c>
      <c r="C196" s="97" t="s">
        <v>263</v>
      </c>
      <c r="D196" s="98">
        <v>2</v>
      </c>
    </row>
    <row r="197" spans="1:4" x14ac:dyDescent="0.2">
      <c r="A197" s="95">
        <v>141</v>
      </c>
      <c r="B197" s="96">
        <v>233</v>
      </c>
      <c r="C197" s="97" t="s">
        <v>263</v>
      </c>
      <c r="D197" s="98">
        <v>1</v>
      </c>
    </row>
    <row r="198" spans="1:4" x14ac:dyDescent="0.2">
      <c r="A198" s="95">
        <v>141</v>
      </c>
      <c r="B198" s="96">
        <v>249</v>
      </c>
      <c r="C198" s="97" t="s">
        <v>263</v>
      </c>
      <c r="D198" s="98">
        <v>1</v>
      </c>
    </row>
    <row r="199" spans="1:4" x14ac:dyDescent="0.2">
      <c r="A199" s="95">
        <v>141</v>
      </c>
      <c r="B199" s="96">
        <v>252</v>
      </c>
      <c r="C199" s="97" t="s">
        <v>263</v>
      </c>
      <c r="D199" s="98">
        <v>1</v>
      </c>
    </row>
    <row r="200" spans="1:4" x14ac:dyDescent="0.2">
      <c r="A200" s="95">
        <v>142</v>
      </c>
      <c r="B200" s="96">
        <v>132</v>
      </c>
      <c r="C200" s="97" t="s">
        <v>263</v>
      </c>
      <c r="D200" s="98">
        <v>1</v>
      </c>
    </row>
    <row r="201" spans="1:4" x14ac:dyDescent="0.2">
      <c r="A201" s="95">
        <v>142</v>
      </c>
      <c r="B201" s="96">
        <v>206</v>
      </c>
      <c r="C201" s="97" t="s">
        <v>263</v>
      </c>
      <c r="D201" s="98">
        <v>2</v>
      </c>
    </row>
    <row r="202" spans="1:4" x14ac:dyDescent="0.2">
      <c r="A202" s="95">
        <v>142</v>
      </c>
      <c r="B202" s="96">
        <v>230</v>
      </c>
      <c r="C202" s="97" t="s">
        <v>263</v>
      </c>
      <c r="D202" s="98">
        <v>1</v>
      </c>
    </row>
    <row r="203" spans="1:4" x14ac:dyDescent="0.2">
      <c r="A203" s="95">
        <v>142</v>
      </c>
      <c r="B203" s="96">
        <v>249</v>
      </c>
      <c r="C203" s="97" t="s">
        <v>263</v>
      </c>
      <c r="D203" s="98">
        <v>1</v>
      </c>
    </row>
    <row r="204" spans="1:4" x14ac:dyDescent="0.2">
      <c r="A204" s="95">
        <v>142</v>
      </c>
      <c r="B204" s="96">
        <v>252</v>
      </c>
      <c r="C204" s="97" t="s">
        <v>263</v>
      </c>
      <c r="D204" s="98">
        <v>1</v>
      </c>
    </row>
    <row r="205" spans="1:4" x14ac:dyDescent="0.2">
      <c r="A205" s="95">
        <v>143</v>
      </c>
      <c r="B205" s="96">
        <v>47</v>
      </c>
      <c r="C205" s="97" t="s">
        <v>248</v>
      </c>
      <c r="D205" s="98" t="s">
        <v>219</v>
      </c>
    </row>
    <row r="206" spans="1:4" x14ac:dyDescent="0.2">
      <c r="A206" s="95">
        <v>144</v>
      </c>
      <c r="B206" s="96">
        <v>93</v>
      </c>
      <c r="C206" s="97" t="s">
        <v>264</v>
      </c>
      <c r="D206" s="98">
        <v>1</v>
      </c>
    </row>
    <row r="207" spans="1:4" x14ac:dyDescent="0.2">
      <c r="A207" s="95">
        <v>144</v>
      </c>
      <c r="B207" s="96">
        <v>208</v>
      </c>
      <c r="C207" s="97" t="s">
        <v>264</v>
      </c>
      <c r="D207" s="98">
        <v>2</v>
      </c>
    </row>
    <row r="208" spans="1:4" x14ac:dyDescent="0.2">
      <c r="A208" s="95">
        <v>144</v>
      </c>
      <c r="B208" s="96">
        <v>239</v>
      </c>
      <c r="C208" s="97" t="s">
        <v>264</v>
      </c>
      <c r="D208" s="98">
        <v>1</v>
      </c>
    </row>
    <row r="209" spans="1:4" x14ac:dyDescent="0.2">
      <c r="A209" s="95">
        <v>144</v>
      </c>
      <c r="B209" s="96">
        <v>243</v>
      </c>
      <c r="C209" s="97" t="s">
        <v>264</v>
      </c>
      <c r="D209" s="98">
        <v>1</v>
      </c>
    </row>
    <row r="210" spans="1:4" x14ac:dyDescent="0.2">
      <c r="A210" s="95">
        <v>144</v>
      </c>
      <c r="B210" s="96">
        <v>248</v>
      </c>
      <c r="C210" s="97" t="s">
        <v>264</v>
      </c>
      <c r="D210" s="98">
        <v>1</v>
      </c>
    </row>
    <row r="211" spans="1:4" x14ac:dyDescent="0.2">
      <c r="A211" s="95">
        <v>144</v>
      </c>
      <c r="B211" s="96">
        <v>251</v>
      </c>
      <c r="C211" s="97" t="s">
        <v>264</v>
      </c>
      <c r="D211" s="98">
        <v>1</v>
      </c>
    </row>
    <row r="212" spans="1:4" x14ac:dyDescent="0.2">
      <c r="A212" s="95">
        <v>145</v>
      </c>
      <c r="B212" s="96">
        <v>210</v>
      </c>
      <c r="C212" s="97" t="s">
        <v>264</v>
      </c>
      <c r="D212" s="98">
        <v>2</v>
      </c>
    </row>
    <row r="213" spans="1:4" x14ac:dyDescent="0.2">
      <c r="A213" s="95">
        <v>145</v>
      </c>
      <c r="B213" s="96">
        <v>249</v>
      </c>
      <c r="C213" s="97" t="s">
        <v>264</v>
      </c>
      <c r="D213" s="98">
        <v>1</v>
      </c>
    </row>
    <row r="214" spans="1:4" x14ac:dyDescent="0.2">
      <c r="A214" s="95">
        <v>145</v>
      </c>
      <c r="B214" s="96">
        <v>92</v>
      </c>
      <c r="C214" s="97" t="s">
        <v>264</v>
      </c>
      <c r="D214" s="98" t="s">
        <v>457</v>
      </c>
    </row>
    <row r="215" spans="1:4" x14ac:dyDescent="0.2">
      <c r="A215" s="95">
        <v>145</v>
      </c>
      <c r="B215" s="96">
        <v>240</v>
      </c>
      <c r="C215" s="97" t="s">
        <v>264</v>
      </c>
      <c r="D215" s="98" t="s">
        <v>457</v>
      </c>
    </row>
    <row r="216" spans="1:4" x14ac:dyDescent="0.2">
      <c r="A216" s="95">
        <v>145</v>
      </c>
      <c r="B216" s="96">
        <v>244</v>
      </c>
      <c r="C216" s="97" t="s">
        <v>264</v>
      </c>
      <c r="D216" s="98" t="s">
        <v>457</v>
      </c>
    </row>
    <row r="217" spans="1:4" x14ac:dyDescent="0.2">
      <c r="A217" s="95">
        <v>145</v>
      </c>
      <c r="B217" s="96">
        <v>252</v>
      </c>
      <c r="C217" s="97" t="s">
        <v>264</v>
      </c>
      <c r="D217" s="98">
        <v>1</v>
      </c>
    </row>
    <row r="218" spans="1:4" x14ac:dyDescent="0.2">
      <c r="A218" s="95">
        <v>146</v>
      </c>
      <c r="B218" s="96">
        <v>73</v>
      </c>
      <c r="C218" s="97" t="s">
        <v>264</v>
      </c>
      <c r="D218" s="98">
        <v>1</v>
      </c>
    </row>
    <row r="219" spans="1:4" x14ac:dyDescent="0.2">
      <c r="A219" s="95">
        <v>146</v>
      </c>
      <c r="B219" s="96">
        <v>93</v>
      </c>
      <c r="C219" s="97" t="s">
        <v>264</v>
      </c>
      <c r="D219" s="98">
        <v>1</v>
      </c>
    </row>
    <row r="220" spans="1:4" x14ac:dyDescent="0.2">
      <c r="A220" s="95">
        <v>146</v>
      </c>
      <c r="B220" s="96">
        <v>208</v>
      </c>
      <c r="C220" s="97" t="s">
        <v>264</v>
      </c>
      <c r="D220" s="98">
        <v>2</v>
      </c>
    </row>
    <row r="221" spans="1:4" x14ac:dyDescent="0.2">
      <c r="A221" s="95">
        <v>146</v>
      </c>
      <c r="B221" s="96">
        <v>239</v>
      </c>
      <c r="C221" s="97" t="s">
        <v>264</v>
      </c>
      <c r="D221" s="98">
        <v>1</v>
      </c>
    </row>
    <row r="222" spans="1:4" x14ac:dyDescent="0.2">
      <c r="A222" s="95">
        <v>146</v>
      </c>
      <c r="B222" s="96">
        <v>248</v>
      </c>
      <c r="C222" s="97" t="s">
        <v>264</v>
      </c>
      <c r="D222" s="98">
        <v>1</v>
      </c>
    </row>
    <row r="223" spans="1:4" x14ac:dyDescent="0.2">
      <c r="A223" s="95">
        <v>146</v>
      </c>
      <c r="B223" s="96">
        <v>251</v>
      </c>
      <c r="C223" s="97" t="s">
        <v>264</v>
      </c>
      <c r="D223" s="98">
        <v>1</v>
      </c>
    </row>
    <row r="224" spans="1:4" x14ac:dyDescent="0.2">
      <c r="A224" s="95">
        <v>147</v>
      </c>
      <c r="B224" s="96">
        <v>99</v>
      </c>
      <c r="C224" s="97" t="s">
        <v>264</v>
      </c>
      <c r="D224" s="98">
        <v>1</v>
      </c>
    </row>
    <row r="225" spans="1:4" x14ac:dyDescent="0.2">
      <c r="A225" s="95">
        <v>147</v>
      </c>
      <c r="B225" s="96">
        <v>206</v>
      </c>
      <c r="C225" s="97" t="s">
        <v>264</v>
      </c>
      <c r="D225" s="98">
        <v>2</v>
      </c>
    </row>
    <row r="226" spans="1:4" x14ac:dyDescent="0.2">
      <c r="A226" s="95">
        <v>147</v>
      </c>
      <c r="B226" s="96">
        <v>238</v>
      </c>
      <c r="C226" s="97" t="s">
        <v>264</v>
      </c>
      <c r="D226" s="98">
        <v>1</v>
      </c>
    </row>
    <row r="227" spans="1:4" x14ac:dyDescent="0.2">
      <c r="A227" s="95">
        <v>147</v>
      </c>
      <c r="B227" s="96">
        <v>242</v>
      </c>
      <c r="C227" s="97" t="s">
        <v>264</v>
      </c>
      <c r="D227" s="98">
        <v>1</v>
      </c>
    </row>
    <row r="228" spans="1:4" x14ac:dyDescent="0.2">
      <c r="A228" s="95">
        <v>147</v>
      </c>
      <c r="B228" s="96">
        <v>249</v>
      </c>
      <c r="C228" s="97" t="s">
        <v>264</v>
      </c>
      <c r="D228" s="98">
        <v>1</v>
      </c>
    </row>
    <row r="229" spans="1:4" x14ac:dyDescent="0.2">
      <c r="A229" s="95">
        <v>147</v>
      </c>
      <c r="B229" s="96">
        <v>252</v>
      </c>
      <c r="C229" s="97" t="s">
        <v>264</v>
      </c>
      <c r="D229" s="98">
        <v>1</v>
      </c>
    </row>
    <row r="230" spans="1:4" x14ac:dyDescent="0.2">
      <c r="A230" s="95">
        <v>148</v>
      </c>
      <c r="B230" s="96">
        <v>1152</v>
      </c>
      <c r="C230" s="97" t="s">
        <v>265</v>
      </c>
      <c r="D230" s="98" t="s">
        <v>460</v>
      </c>
    </row>
    <row r="231" spans="1:4" x14ac:dyDescent="0.2">
      <c r="A231" s="95">
        <v>149</v>
      </c>
      <c r="B231" s="96">
        <v>1394</v>
      </c>
      <c r="C231" s="97" t="s">
        <v>266</v>
      </c>
      <c r="D231" s="98">
        <v>2</v>
      </c>
    </row>
    <row r="232" spans="1:4" x14ac:dyDescent="0.2">
      <c r="A232" s="95">
        <v>150</v>
      </c>
      <c r="B232" s="96">
        <v>42</v>
      </c>
      <c r="C232" s="97" t="s">
        <v>257</v>
      </c>
      <c r="D232" s="98">
        <v>1</v>
      </c>
    </row>
    <row r="233" spans="1:4" x14ac:dyDescent="0.2">
      <c r="A233" s="95">
        <v>150</v>
      </c>
      <c r="B233" s="96">
        <v>207</v>
      </c>
      <c r="C233" s="97" t="s">
        <v>257</v>
      </c>
      <c r="D233" s="98">
        <v>2</v>
      </c>
    </row>
    <row r="234" spans="1:4" x14ac:dyDescent="0.2">
      <c r="A234" s="95">
        <v>151</v>
      </c>
      <c r="B234" s="96">
        <v>43</v>
      </c>
      <c r="C234" s="97" t="s">
        <v>257</v>
      </c>
      <c r="D234" s="98">
        <v>1</v>
      </c>
    </row>
    <row r="235" spans="1:4" x14ac:dyDescent="0.2">
      <c r="A235" s="95">
        <v>151</v>
      </c>
      <c r="B235" s="96">
        <v>210</v>
      </c>
      <c r="C235" s="97" t="s">
        <v>257</v>
      </c>
      <c r="D235" s="98" t="s">
        <v>460</v>
      </c>
    </row>
    <row r="236" spans="1:4" x14ac:dyDescent="0.2">
      <c r="A236" s="95">
        <v>152</v>
      </c>
      <c r="B236" s="96">
        <v>45</v>
      </c>
      <c r="C236" s="97" t="s">
        <v>257</v>
      </c>
      <c r="D236" s="98">
        <v>1</v>
      </c>
    </row>
    <row r="237" spans="1:4" x14ac:dyDescent="0.2">
      <c r="A237" s="95">
        <v>152</v>
      </c>
      <c r="B237" s="96">
        <v>211</v>
      </c>
      <c r="C237" s="97" t="s">
        <v>257</v>
      </c>
      <c r="D237" s="98">
        <v>2</v>
      </c>
    </row>
    <row r="238" spans="1:4" x14ac:dyDescent="0.2">
      <c r="A238" s="95">
        <v>153</v>
      </c>
      <c r="B238" s="96">
        <v>46</v>
      </c>
      <c r="C238" s="97" t="s">
        <v>257</v>
      </c>
      <c r="D238" s="98">
        <v>1</v>
      </c>
    </row>
    <row r="239" spans="1:4" x14ac:dyDescent="0.2">
      <c r="A239" s="95">
        <v>153</v>
      </c>
      <c r="B239" s="96">
        <v>212</v>
      </c>
      <c r="C239" s="97" t="s">
        <v>257</v>
      </c>
      <c r="D239" s="98">
        <v>2</v>
      </c>
    </row>
    <row r="240" spans="1:4" x14ac:dyDescent="0.2">
      <c r="A240" s="95">
        <v>154</v>
      </c>
      <c r="B240" s="96">
        <v>39</v>
      </c>
      <c r="C240" s="97" t="s">
        <v>257</v>
      </c>
      <c r="D240" s="98">
        <v>1</v>
      </c>
    </row>
    <row r="241" spans="1:4" x14ac:dyDescent="0.2">
      <c r="A241" s="95">
        <v>154</v>
      </c>
      <c r="B241" s="96">
        <v>221</v>
      </c>
      <c r="C241" s="97" t="s">
        <v>257</v>
      </c>
      <c r="D241" s="98">
        <v>2</v>
      </c>
    </row>
    <row r="242" spans="1:4" x14ac:dyDescent="0.2">
      <c r="A242" s="95">
        <v>155</v>
      </c>
      <c r="B242" s="96">
        <v>51</v>
      </c>
      <c r="C242" s="97" t="s">
        <v>245</v>
      </c>
      <c r="D242" s="98" t="s">
        <v>457</v>
      </c>
    </row>
    <row r="243" spans="1:4" x14ac:dyDescent="0.2">
      <c r="A243" s="95">
        <v>155</v>
      </c>
      <c r="B243" s="96">
        <v>200</v>
      </c>
      <c r="C243" s="97" t="s">
        <v>245</v>
      </c>
      <c r="D243" s="98" t="s">
        <v>457</v>
      </c>
    </row>
    <row r="244" spans="1:4" x14ac:dyDescent="0.2">
      <c r="A244" s="95">
        <v>156</v>
      </c>
      <c r="B244" s="96">
        <v>1000</v>
      </c>
      <c r="C244" s="97" t="s">
        <v>257</v>
      </c>
      <c r="D244" s="98">
        <v>2</v>
      </c>
    </row>
    <row r="245" spans="1:4" x14ac:dyDescent="0.2">
      <c r="A245" s="95">
        <v>156</v>
      </c>
      <c r="B245" s="96">
        <v>1001</v>
      </c>
      <c r="C245" s="97" t="s">
        <v>257</v>
      </c>
      <c r="D245" s="98">
        <v>1</v>
      </c>
    </row>
    <row r="246" spans="1:4" x14ac:dyDescent="0.2">
      <c r="A246" s="95">
        <v>157</v>
      </c>
      <c r="B246" s="96">
        <v>1002</v>
      </c>
      <c r="C246" s="97" t="s">
        <v>257</v>
      </c>
      <c r="D246" s="98">
        <v>2</v>
      </c>
    </row>
    <row r="247" spans="1:4" x14ac:dyDescent="0.2">
      <c r="A247" s="95">
        <v>157</v>
      </c>
      <c r="B247" s="96">
        <v>1003</v>
      </c>
      <c r="C247" s="97" t="s">
        <v>257</v>
      </c>
      <c r="D247" s="98">
        <v>1</v>
      </c>
    </row>
    <row r="248" spans="1:4" x14ac:dyDescent="0.2">
      <c r="A248" s="95">
        <v>158</v>
      </c>
      <c r="B248" s="96">
        <v>1008</v>
      </c>
      <c r="C248" s="97" t="s">
        <v>257</v>
      </c>
      <c r="D248" s="98">
        <v>2</v>
      </c>
    </row>
    <row r="249" spans="1:4" x14ac:dyDescent="0.2">
      <c r="A249" s="95">
        <v>158</v>
      </c>
      <c r="B249" s="96">
        <v>1009</v>
      </c>
      <c r="C249" s="97" t="s">
        <v>257</v>
      </c>
      <c r="D249" s="98">
        <v>1</v>
      </c>
    </row>
    <row r="250" spans="1:4" x14ac:dyDescent="0.2">
      <c r="A250" s="95">
        <v>159</v>
      </c>
      <c r="B250" s="96">
        <v>28</v>
      </c>
      <c r="C250" s="97" t="s">
        <v>233</v>
      </c>
      <c r="D250" s="98" t="s">
        <v>459</v>
      </c>
    </row>
    <row r="251" spans="1:4" x14ac:dyDescent="0.2">
      <c r="A251" s="95">
        <v>160</v>
      </c>
      <c r="B251" s="96">
        <v>1014</v>
      </c>
      <c r="C251" s="97" t="s">
        <v>257</v>
      </c>
      <c r="D251" s="98">
        <v>2</v>
      </c>
    </row>
    <row r="252" spans="1:4" x14ac:dyDescent="0.2">
      <c r="A252" s="95">
        <v>160</v>
      </c>
      <c r="B252" s="96">
        <v>1015</v>
      </c>
      <c r="C252" s="97" t="s">
        <v>257</v>
      </c>
      <c r="D252" s="98">
        <v>1</v>
      </c>
    </row>
    <row r="253" spans="1:4" x14ac:dyDescent="0.2">
      <c r="A253" s="95">
        <v>161</v>
      </c>
      <c r="B253" s="96">
        <v>1018</v>
      </c>
      <c r="C253" s="97" t="s">
        <v>257</v>
      </c>
      <c r="D253" s="98">
        <v>2</v>
      </c>
    </row>
    <row r="254" spans="1:4" x14ac:dyDescent="0.2">
      <c r="A254" s="95">
        <v>161</v>
      </c>
      <c r="B254" s="96">
        <v>1019</v>
      </c>
      <c r="C254" s="97" t="s">
        <v>257</v>
      </c>
      <c r="D254" s="98">
        <v>1</v>
      </c>
    </row>
    <row r="255" spans="1:4" x14ac:dyDescent="0.2">
      <c r="A255" s="95">
        <v>162</v>
      </c>
      <c r="B255" s="96">
        <v>1020</v>
      </c>
      <c r="C255" s="97" t="s">
        <v>257</v>
      </c>
      <c r="D255" s="98">
        <v>2</v>
      </c>
    </row>
    <row r="256" spans="1:4" x14ac:dyDescent="0.2">
      <c r="A256" s="95">
        <v>162</v>
      </c>
      <c r="B256" s="96">
        <v>1021</v>
      </c>
      <c r="C256" s="97" t="s">
        <v>257</v>
      </c>
      <c r="D256" s="98">
        <v>1</v>
      </c>
    </row>
    <row r="257" spans="1:4" x14ac:dyDescent="0.2">
      <c r="A257" s="95">
        <v>163</v>
      </c>
      <c r="B257" s="96">
        <v>1034</v>
      </c>
      <c r="C257" s="97" t="s">
        <v>257</v>
      </c>
      <c r="D257" s="98">
        <v>2</v>
      </c>
    </row>
    <row r="258" spans="1:4" x14ac:dyDescent="0.2">
      <c r="A258" s="95">
        <v>163</v>
      </c>
      <c r="B258" s="96">
        <v>1035</v>
      </c>
      <c r="C258" s="97" t="s">
        <v>257</v>
      </c>
      <c r="D258" s="98">
        <v>1</v>
      </c>
    </row>
    <row r="259" spans="1:4" x14ac:dyDescent="0.2">
      <c r="A259" s="95">
        <v>164</v>
      </c>
      <c r="B259" s="96">
        <v>1037</v>
      </c>
      <c r="C259" s="97" t="s">
        <v>257</v>
      </c>
      <c r="D259" s="98">
        <v>2</v>
      </c>
    </row>
    <row r="260" spans="1:4" x14ac:dyDescent="0.2">
      <c r="A260" s="95">
        <v>164</v>
      </c>
      <c r="B260" s="96">
        <v>1038</v>
      </c>
      <c r="C260" s="97" t="s">
        <v>257</v>
      </c>
      <c r="D260" s="98">
        <v>1</v>
      </c>
    </row>
    <row r="261" spans="1:4" x14ac:dyDescent="0.2">
      <c r="A261" s="95">
        <v>165</v>
      </c>
      <c r="B261" s="96">
        <v>1039</v>
      </c>
      <c r="C261" s="97" t="s">
        <v>257</v>
      </c>
      <c r="D261" s="98">
        <v>2</v>
      </c>
    </row>
    <row r="262" spans="1:4" x14ac:dyDescent="0.2">
      <c r="A262" s="95">
        <v>165</v>
      </c>
      <c r="B262" s="96">
        <v>1040</v>
      </c>
      <c r="C262" s="97" t="s">
        <v>257</v>
      </c>
      <c r="D262" s="98">
        <v>1</v>
      </c>
    </row>
    <row r="263" spans="1:4" x14ac:dyDescent="0.2">
      <c r="A263" s="95">
        <v>166</v>
      </c>
      <c r="B263" s="96">
        <v>1048</v>
      </c>
      <c r="C263" s="97" t="s">
        <v>257</v>
      </c>
      <c r="D263" s="98">
        <v>2</v>
      </c>
    </row>
    <row r="264" spans="1:4" x14ac:dyDescent="0.2">
      <c r="A264" s="95">
        <v>166</v>
      </c>
      <c r="B264" s="96">
        <v>1049</v>
      </c>
      <c r="C264" s="97" t="s">
        <v>257</v>
      </c>
      <c r="D264" s="98">
        <v>1</v>
      </c>
    </row>
    <row r="265" spans="1:4" x14ac:dyDescent="0.2">
      <c r="A265" s="95">
        <v>167</v>
      </c>
      <c r="B265" s="96">
        <v>1055</v>
      </c>
      <c r="C265" s="97" t="s">
        <v>257</v>
      </c>
      <c r="D265" s="98">
        <v>1</v>
      </c>
    </row>
    <row r="266" spans="1:4" x14ac:dyDescent="0.2">
      <c r="A266" s="95">
        <v>167</v>
      </c>
      <c r="B266" s="96">
        <v>1056</v>
      </c>
      <c r="C266" s="97" t="s">
        <v>257</v>
      </c>
      <c r="D266" s="98">
        <v>2</v>
      </c>
    </row>
    <row r="267" spans="1:4" x14ac:dyDescent="0.2">
      <c r="A267" s="95">
        <v>168</v>
      </c>
      <c r="B267" s="96">
        <v>1057</v>
      </c>
      <c r="C267" s="97" t="s">
        <v>257</v>
      </c>
      <c r="D267" s="98">
        <v>1</v>
      </c>
    </row>
    <row r="268" spans="1:4" x14ac:dyDescent="0.2">
      <c r="A268" s="95">
        <v>168</v>
      </c>
      <c r="B268" s="96">
        <v>1058</v>
      </c>
      <c r="C268" s="97" t="s">
        <v>257</v>
      </c>
      <c r="D268" s="98">
        <v>2</v>
      </c>
    </row>
    <row r="269" spans="1:4" x14ac:dyDescent="0.2">
      <c r="A269" s="95">
        <v>169</v>
      </c>
      <c r="B269" s="96">
        <v>1059</v>
      </c>
      <c r="C269" s="97" t="s">
        <v>257</v>
      </c>
      <c r="D269" s="98">
        <v>1</v>
      </c>
    </row>
    <row r="270" spans="1:4" x14ac:dyDescent="0.2">
      <c r="A270" s="95">
        <v>169</v>
      </c>
      <c r="B270" s="96">
        <v>1060</v>
      </c>
      <c r="C270" s="97" t="s">
        <v>257</v>
      </c>
      <c r="D270" s="98">
        <v>2</v>
      </c>
    </row>
    <row r="271" spans="1:4" x14ac:dyDescent="0.2">
      <c r="A271" s="95">
        <v>170</v>
      </c>
      <c r="B271" s="96">
        <v>1061</v>
      </c>
      <c r="C271" s="97" t="s">
        <v>257</v>
      </c>
      <c r="D271" s="98">
        <v>1</v>
      </c>
    </row>
    <row r="272" spans="1:4" x14ac:dyDescent="0.2">
      <c r="A272" s="95">
        <v>170</v>
      </c>
      <c r="B272" s="96">
        <v>1062</v>
      </c>
      <c r="C272" s="97" t="s">
        <v>257</v>
      </c>
      <c r="D272" s="98">
        <v>2</v>
      </c>
    </row>
    <row r="273" spans="1:4" x14ac:dyDescent="0.2">
      <c r="A273" s="95">
        <v>171</v>
      </c>
      <c r="B273" s="96">
        <v>1063</v>
      </c>
      <c r="C273" s="97" t="s">
        <v>257</v>
      </c>
      <c r="D273" s="98">
        <v>1</v>
      </c>
    </row>
    <row r="274" spans="1:4" x14ac:dyDescent="0.2">
      <c r="A274" s="95">
        <v>171</v>
      </c>
      <c r="B274" s="96">
        <v>1064</v>
      </c>
      <c r="C274" s="97" t="s">
        <v>257</v>
      </c>
      <c r="D274" s="98">
        <v>2</v>
      </c>
    </row>
    <row r="275" spans="1:4" x14ac:dyDescent="0.2">
      <c r="A275" s="95">
        <v>172</v>
      </c>
      <c r="B275" s="96">
        <v>1065</v>
      </c>
      <c r="C275" s="97" t="s">
        <v>257</v>
      </c>
      <c r="D275" s="98">
        <v>1</v>
      </c>
    </row>
    <row r="276" spans="1:4" x14ac:dyDescent="0.2">
      <c r="A276" s="95">
        <v>172</v>
      </c>
      <c r="B276" s="96">
        <v>1066</v>
      </c>
      <c r="C276" s="97" t="s">
        <v>257</v>
      </c>
      <c r="D276" s="98">
        <v>2</v>
      </c>
    </row>
    <row r="277" spans="1:4" x14ac:dyDescent="0.2">
      <c r="A277" s="95">
        <v>173</v>
      </c>
      <c r="B277" s="96">
        <v>1067</v>
      </c>
      <c r="C277" s="97" t="s">
        <v>257</v>
      </c>
      <c r="D277" s="98">
        <v>1</v>
      </c>
    </row>
    <row r="278" spans="1:4" x14ac:dyDescent="0.2">
      <c r="A278" s="95">
        <v>173</v>
      </c>
      <c r="B278" s="96">
        <v>1068</v>
      </c>
      <c r="C278" s="97" t="s">
        <v>257</v>
      </c>
      <c r="D278" s="98">
        <v>2</v>
      </c>
    </row>
    <row r="279" spans="1:4" x14ac:dyDescent="0.2">
      <c r="A279" s="95">
        <v>174</v>
      </c>
      <c r="B279" s="96">
        <v>1071</v>
      </c>
      <c r="C279" s="97" t="s">
        <v>257</v>
      </c>
      <c r="D279" s="98">
        <v>1</v>
      </c>
    </row>
    <row r="280" spans="1:4" x14ac:dyDescent="0.2">
      <c r="A280" s="95">
        <v>174</v>
      </c>
      <c r="B280" s="96">
        <v>1072</v>
      </c>
      <c r="C280" s="97" t="s">
        <v>257</v>
      </c>
      <c r="D280" s="98">
        <v>2</v>
      </c>
    </row>
    <row r="281" spans="1:4" x14ac:dyDescent="0.2">
      <c r="A281" s="95">
        <v>175</v>
      </c>
      <c r="B281" s="96">
        <v>1078</v>
      </c>
      <c r="C281" s="97" t="s">
        <v>257</v>
      </c>
      <c r="D281" s="98">
        <v>1</v>
      </c>
    </row>
    <row r="282" spans="1:4" x14ac:dyDescent="0.2">
      <c r="A282" s="95">
        <v>175</v>
      </c>
      <c r="B282" s="96">
        <v>1079</v>
      </c>
      <c r="C282" s="97" t="s">
        <v>257</v>
      </c>
      <c r="D282" s="98">
        <v>2</v>
      </c>
    </row>
    <row r="283" spans="1:4" x14ac:dyDescent="0.2">
      <c r="A283" s="95">
        <v>176</v>
      </c>
      <c r="B283" s="96">
        <v>1124</v>
      </c>
      <c r="C283" s="97" t="s">
        <v>257</v>
      </c>
      <c r="D283" s="98">
        <v>1</v>
      </c>
    </row>
    <row r="284" spans="1:4" x14ac:dyDescent="0.2">
      <c r="A284" s="95">
        <v>176</v>
      </c>
      <c r="B284" s="96">
        <v>1125</v>
      </c>
      <c r="C284" s="97" t="s">
        <v>257</v>
      </c>
      <c r="D284" s="98">
        <v>2</v>
      </c>
    </row>
    <row r="285" spans="1:4" x14ac:dyDescent="0.2">
      <c r="A285" s="95">
        <v>177</v>
      </c>
      <c r="B285" s="96">
        <v>1126</v>
      </c>
      <c r="C285" s="97" t="s">
        <v>257</v>
      </c>
      <c r="D285" s="98">
        <v>1</v>
      </c>
    </row>
    <row r="286" spans="1:4" x14ac:dyDescent="0.2">
      <c r="A286" s="95">
        <v>177</v>
      </c>
      <c r="B286" s="96">
        <v>1127</v>
      </c>
      <c r="C286" s="97" t="s">
        <v>257</v>
      </c>
      <c r="D286" s="98">
        <v>2</v>
      </c>
    </row>
    <row r="287" spans="1:4" x14ac:dyDescent="0.2">
      <c r="A287" s="95">
        <v>178</v>
      </c>
      <c r="B287" s="96">
        <v>1128</v>
      </c>
      <c r="C287" s="97" t="s">
        <v>267</v>
      </c>
      <c r="D287" s="98">
        <v>1</v>
      </c>
    </row>
    <row r="288" spans="1:4" x14ac:dyDescent="0.2">
      <c r="A288" s="95">
        <v>178</v>
      </c>
      <c r="B288" s="96">
        <v>1129</v>
      </c>
      <c r="C288" s="97" t="s">
        <v>267</v>
      </c>
      <c r="D288" s="98">
        <v>2</v>
      </c>
    </row>
    <row r="289" spans="1:4" x14ac:dyDescent="0.2">
      <c r="A289" s="95">
        <v>179</v>
      </c>
      <c r="B289" s="96">
        <v>1139</v>
      </c>
      <c r="C289" s="97" t="s">
        <v>257</v>
      </c>
      <c r="D289" s="98">
        <v>1</v>
      </c>
    </row>
    <row r="290" spans="1:4" x14ac:dyDescent="0.2">
      <c r="A290" s="95">
        <v>179</v>
      </c>
      <c r="B290" s="96">
        <v>1140</v>
      </c>
      <c r="C290" s="97" t="s">
        <v>257</v>
      </c>
      <c r="D290" s="98">
        <v>2</v>
      </c>
    </row>
    <row r="291" spans="1:4" x14ac:dyDescent="0.2">
      <c r="A291" s="95">
        <v>180</v>
      </c>
      <c r="B291" s="96">
        <v>1141</v>
      </c>
      <c r="C291" s="97" t="s">
        <v>257</v>
      </c>
      <c r="D291" s="98">
        <v>1</v>
      </c>
    </row>
    <row r="292" spans="1:4" x14ac:dyDescent="0.2">
      <c r="A292" s="95">
        <v>180</v>
      </c>
      <c r="B292" s="96">
        <v>1142</v>
      </c>
      <c r="C292" s="97" t="s">
        <v>257</v>
      </c>
      <c r="D292" s="98">
        <v>2</v>
      </c>
    </row>
    <row r="293" spans="1:4" x14ac:dyDescent="0.2">
      <c r="A293" s="95">
        <v>181</v>
      </c>
      <c r="B293" s="96">
        <v>1143</v>
      </c>
      <c r="C293" s="97" t="s">
        <v>257</v>
      </c>
      <c r="D293" s="98">
        <v>1</v>
      </c>
    </row>
    <row r="294" spans="1:4" x14ac:dyDescent="0.2">
      <c r="A294" s="95">
        <v>181</v>
      </c>
      <c r="B294" s="96">
        <v>1144</v>
      </c>
      <c r="C294" s="97" t="s">
        <v>257</v>
      </c>
      <c r="D294" s="98">
        <v>2</v>
      </c>
    </row>
    <row r="295" spans="1:4" x14ac:dyDescent="0.2">
      <c r="A295" s="95">
        <v>182</v>
      </c>
      <c r="B295" s="96">
        <v>1145</v>
      </c>
      <c r="C295" s="97" t="s">
        <v>257</v>
      </c>
      <c r="D295" s="98">
        <v>1</v>
      </c>
    </row>
    <row r="296" spans="1:4" x14ac:dyDescent="0.2">
      <c r="A296" s="95">
        <v>182</v>
      </c>
      <c r="B296" s="96">
        <v>1146</v>
      </c>
      <c r="C296" s="97" t="s">
        <v>257</v>
      </c>
      <c r="D296" s="98">
        <v>2</v>
      </c>
    </row>
    <row r="297" spans="1:4" x14ac:dyDescent="0.2">
      <c r="A297" s="95">
        <v>183</v>
      </c>
      <c r="B297" s="96">
        <v>1147</v>
      </c>
      <c r="C297" s="97" t="s">
        <v>257</v>
      </c>
      <c r="D297" s="98">
        <v>1</v>
      </c>
    </row>
    <row r="298" spans="1:4" x14ac:dyDescent="0.2">
      <c r="A298" s="95">
        <v>183</v>
      </c>
      <c r="B298" s="96">
        <v>1148</v>
      </c>
      <c r="C298" s="97" t="s">
        <v>257</v>
      </c>
      <c r="D298" s="98">
        <v>2</v>
      </c>
    </row>
    <row r="299" spans="1:4" x14ac:dyDescent="0.2">
      <c r="A299" s="95">
        <v>184</v>
      </c>
      <c r="B299" s="96">
        <v>1149</v>
      </c>
      <c r="C299" s="97" t="s">
        <v>257</v>
      </c>
      <c r="D299" s="98">
        <v>1</v>
      </c>
    </row>
    <row r="300" spans="1:4" x14ac:dyDescent="0.2">
      <c r="A300" s="95">
        <v>184</v>
      </c>
      <c r="B300" s="96">
        <v>1150</v>
      </c>
      <c r="C300" s="97" t="s">
        <v>257</v>
      </c>
      <c r="D300" s="98">
        <v>2</v>
      </c>
    </row>
    <row r="301" spans="1:4" x14ac:dyDescent="0.2">
      <c r="A301" s="95">
        <v>185</v>
      </c>
      <c r="B301" s="96">
        <v>1151</v>
      </c>
      <c r="C301" s="97" t="s">
        <v>257</v>
      </c>
      <c r="D301" s="98">
        <v>1</v>
      </c>
    </row>
    <row r="302" spans="1:4" x14ac:dyDescent="0.2">
      <c r="A302" s="95">
        <v>185</v>
      </c>
      <c r="B302" s="96">
        <v>1152</v>
      </c>
      <c r="C302" s="97" t="s">
        <v>257</v>
      </c>
      <c r="D302" s="98">
        <v>2</v>
      </c>
    </row>
    <row r="303" spans="1:4" x14ac:dyDescent="0.2">
      <c r="A303" s="95">
        <v>186</v>
      </c>
      <c r="B303" s="96">
        <v>1153</v>
      </c>
      <c r="C303" s="97" t="s">
        <v>257</v>
      </c>
      <c r="D303" s="98">
        <v>1</v>
      </c>
    </row>
    <row r="304" spans="1:4" x14ac:dyDescent="0.2">
      <c r="A304" s="95">
        <v>186</v>
      </c>
      <c r="B304" s="96">
        <v>1154</v>
      </c>
      <c r="C304" s="97" t="s">
        <v>257</v>
      </c>
      <c r="D304" s="98">
        <v>2</v>
      </c>
    </row>
    <row r="305" spans="1:4" x14ac:dyDescent="0.2">
      <c r="A305" s="95">
        <v>187</v>
      </c>
      <c r="B305" s="96">
        <v>1324</v>
      </c>
      <c r="C305" s="97" t="s">
        <v>257</v>
      </c>
      <c r="D305" s="98">
        <v>2</v>
      </c>
    </row>
    <row r="306" spans="1:4" x14ac:dyDescent="0.2">
      <c r="A306" s="95">
        <v>187</v>
      </c>
      <c r="B306" s="96">
        <v>1325</v>
      </c>
      <c r="C306" s="97" t="s">
        <v>257</v>
      </c>
      <c r="D306" s="98">
        <v>1</v>
      </c>
    </row>
    <row r="307" spans="1:4" x14ac:dyDescent="0.2">
      <c r="A307" s="95">
        <v>188</v>
      </c>
      <c r="B307" s="96">
        <v>1191</v>
      </c>
      <c r="C307" s="97" t="s">
        <v>257</v>
      </c>
      <c r="D307" s="98">
        <v>2</v>
      </c>
    </row>
    <row r="308" spans="1:4" x14ac:dyDescent="0.2">
      <c r="A308" s="95">
        <v>188</v>
      </c>
      <c r="B308" s="96">
        <v>1192</v>
      </c>
      <c r="C308" s="97" t="s">
        <v>257</v>
      </c>
      <c r="D308" s="98">
        <v>1</v>
      </c>
    </row>
    <row r="309" spans="1:4" x14ac:dyDescent="0.2">
      <c r="A309" s="95">
        <v>189</v>
      </c>
      <c r="B309" s="96">
        <v>1233</v>
      </c>
      <c r="C309" s="97" t="s">
        <v>257</v>
      </c>
      <c r="D309" s="98" t="s">
        <v>457</v>
      </c>
    </row>
    <row r="310" spans="1:4" x14ac:dyDescent="0.2">
      <c r="A310" s="95">
        <v>189</v>
      </c>
      <c r="B310" s="96">
        <v>1234</v>
      </c>
      <c r="C310" s="97" t="s">
        <v>257</v>
      </c>
      <c r="D310" s="98" t="s">
        <v>457</v>
      </c>
    </row>
    <row r="311" spans="1:4" x14ac:dyDescent="0.2">
      <c r="A311" s="95">
        <v>190</v>
      </c>
      <c r="B311" s="96">
        <v>1238</v>
      </c>
      <c r="C311" s="97" t="s">
        <v>257</v>
      </c>
      <c r="D311" s="98" t="s">
        <v>457</v>
      </c>
    </row>
    <row r="312" spans="1:4" x14ac:dyDescent="0.2">
      <c r="A312" s="95">
        <v>190</v>
      </c>
      <c r="B312" s="96">
        <v>1239</v>
      </c>
      <c r="C312" s="97" t="s">
        <v>257</v>
      </c>
      <c r="D312" s="98" t="s">
        <v>457</v>
      </c>
    </row>
    <row r="313" spans="1:4" x14ac:dyDescent="0.2">
      <c r="A313" s="95">
        <v>191</v>
      </c>
      <c r="B313" s="96">
        <v>1240</v>
      </c>
      <c r="C313" s="97" t="s">
        <v>257</v>
      </c>
      <c r="D313" s="98" t="s">
        <v>457</v>
      </c>
    </row>
    <row r="314" spans="1:4" x14ac:dyDescent="0.2">
      <c r="A314" s="95">
        <v>191</v>
      </c>
      <c r="B314" s="96">
        <v>1241</v>
      </c>
      <c r="C314" s="97" t="s">
        <v>257</v>
      </c>
      <c r="D314" s="98" t="s">
        <v>457</v>
      </c>
    </row>
    <row r="315" spans="1:4" x14ac:dyDescent="0.2">
      <c r="A315" s="95">
        <v>192</v>
      </c>
      <c r="B315" s="96">
        <v>1242</v>
      </c>
      <c r="C315" s="97" t="s">
        <v>257</v>
      </c>
      <c r="D315" s="98" t="s">
        <v>457</v>
      </c>
    </row>
    <row r="316" spans="1:4" x14ac:dyDescent="0.2">
      <c r="A316" s="95">
        <v>192</v>
      </c>
      <c r="B316" s="96">
        <v>1243</v>
      </c>
      <c r="C316" s="97" t="s">
        <v>257</v>
      </c>
      <c r="D316" s="98" t="s">
        <v>457</v>
      </c>
    </row>
    <row r="317" spans="1:4" x14ac:dyDescent="0.2">
      <c r="A317" s="95">
        <v>193</v>
      </c>
      <c r="B317" s="96">
        <v>1244</v>
      </c>
      <c r="C317" s="97" t="s">
        <v>257</v>
      </c>
      <c r="D317" s="98" t="s">
        <v>457</v>
      </c>
    </row>
    <row r="318" spans="1:4" x14ac:dyDescent="0.2">
      <c r="A318" s="95">
        <v>193</v>
      </c>
      <c r="B318" s="96">
        <v>1245</v>
      </c>
      <c r="C318" s="97" t="s">
        <v>257</v>
      </c>
      <c r="D318" s="98" t="s">
        <v>457</v>
      </c>
    </row>
    <row r="319" spans="1:4" x14ac:dyDescent="0.2">
      <c r="A319" s="95">
        <v>194</v>
      </c>
      <c r="B319" s="96">
        <v>1246</v>
      </c>
      <c r="C319" s="97" t="s">
        <v>257</v>
      </c>
      <c r="D319" s="98" t="s">
        <v>457</v>
      </c>
    </row>
    <row r="320" spans="1:4" x14ac:dyDescent="0.2">
      <c r="A320" s="95">
        <v>194</v>
      </c>
      <c r="B320" s="96">
        <v>1247</v>
      </c>
      <c r="C320" s="97" t="s">
        <v>257</v>
      </c>
      <c r="D320" s="98" t="s">
        <v>457</v>
      </c>
    </row>
    <row r="321" spans="1:4" x14ac:dyDescent="0.2">
      <c r="A321" s="95">
        <v>195</v>
      </c>
      <c r="B321" s="96">
        <v>1248</v>
      </c>
      <c r="C321" s="97" t="s">
        <v>257</v>
      </c>
      <c r="D321" s="98" t="s">
        <v>457</v>
      </c>
    </row>
    <row r="322" spans="1:4" x14ac:dyDescent="0.2">
      <c r="A322" s="95">
        <v>195</v>
      </c>
      <c r="B322" s="96">
        <v>1249</v>
      </c>
      <c r="C322" s="97" t="s">
        <v>257</v>
      </c>
      <c r="D322" s="98" t="s">
        <v>457</v>
      </c>
    </row>
    <row r="323" spans="1:4" x14ac:dyDescent="0.2">
      <c r="A323" s="95">
        <v>196</v>
      </c>
      <c r="B323" s="96">
        <v>1250</v>
      </c>
      <c r="C323" s="97" t="s">
        <v>257</v>
      </c>
      <c r="D323" s="98" t="s">
        <v>457</v>
      </c>
    </row>
    <row r="324" spans="1:4" x14ac:dyDescent="0.2">
      <c r="A324" s="95">
        <v>196</v>
      </c>
      <c r="B324" s="96">
        <v>1251</v>
      </c>
      <c r="C324" s="97" t="s">
        <v>257</v>
      </c>
      <c r="D324" s="98" t="s">
        <v>457</v>
      </c>
    </row>
    <row r="325" spans="1:4" x14ac:dyDescent="0.2">
      <c r="A325" s="95">
        <v>197</v>
      </c>
      <c r="B325" s="96">
        <v>1252</v>
      </c>
      <c r="C325" s="97" t="s">
        <v>257</v>
      </c>
      <c r="D325" s="98" t="s">
        <v>457</v>
      </c>
    </row>
    <row r="326" spans="1:4" x14ac:dyDescent="0.2">
      <c r="A326" s="95">
        <v>197</v>
      </c>
      <c r="B326" s="96">
        <v>1253</v>
      </c>
      <c r="C326" s="97" t="s">
        <v>257</v>
      </c>
      <c r="D326" s="98" t="s">
        <v>457</v>
      </c>
    </row>
    <row r="327" spans="1:4" x14ac:dyDescent="0.2">
      <c r="A327" s="95">
        <v>198</v>
      </c>
      <c r="B327" s="96">
        <v>1254</v>
      </c>
      <c r="C327" s="97" t="s">
        <v>257</v>
      </c>
      <c r="D327" s="98" t="s">
        <v>457</v>
      </c>
    </row>
    <row r="328" spans="1:4" x14ac:dyDescent="0.2">
      <c r="A328" s="95">
        <v>198</v>
      </c>
      <c r="B328" s="96">
        <v>1255</v>
      </c>
      <c r="C328" s="97" t="s">
        <v>257</v>
      </c>
      <c r="D328" s="98" t="s">
        <v>457</v>
      </c>
    </row>
    <row r="329" spans="1:4" x14ac:dyDescent="0.2">
      <c r="A329" s="95">
        <v>199</v>
      </c>
      <c r="B329" s="96">
        <v>1256</v>
      </c>
      <c r="C329" s="97" t="s">
        <v>257</v>
      </c>
      <c r="D329" s="98" t="s">
        <v>457</v>
      </c>
    </row>
    <row r="330" spans="1:4" x14ac:dyDescent="0.2">
      <c r="A330" s="95">
        <v>199</v>
      </c>
      <c r="B330" s="96">
        <v>1257</v>
      </c>
      <c r="C330" s="97" t="s">
        <v>257</v>
      </c>
      <c r="D330" s="98" t="s">
        <v>457</v>
      </c>
    </row>
    <row r="331" spans="1:4" x14ac:dyDescent="0.2">
      <c r="A331" s="95">
        <v>201</v>
      </c>
      <c r="B331" s="96">
        <v>1265</v>
      </c>
      <c r="C331" s="97" t="s">
        <v>257</v>
      </c>
      <c r="D331" s="98" t="s">
        <v>457</v>
      </c>
    </row>
    <row r="332" spans="1:4" x14ac:dyDescent="0.2">
      <c r="A332" s="95">
        <v>201</v>
      </c>
      <c r="B332" s="96">
        <v>1266</v>
      </c>
      <c r="C332" s="97" t="s">
        <v>257</v>
      </c>
      <c r="D332" s="98" t="s">
        <v>457</v>
      </c>
    </row>
    <row r="333" spans="1:4" x14ac:dyDescent="0.2">
      <c r="A333" s="95">
        <v>202</v>
      </c>
      <c r="B333" s="96">
        <v>1267</v>
      </c>
      <c r="C333" s="97" t="s">
        <v>257</v>
      </c>
      <c r="D333" s="98" t="s">
        <v>457</v>
      </c>
    </row>
    <row r="334" spans="1:4" x14ac:dyDescent="0.2">
      <c r="A334" s="95">
        <v>202</v>
      </c>
      <c r="B334" s="96">
        <v>1268</v>
      </c>
      <c r="C334" s="97" t="s">
        <v>257</v>
      </c>
      <c r="D334" s="98" t="s">
        <v>457</v>
      </c>
    </row>
    <row r="335" spans="1:4" x14ac:dyDescent="0.2">
      <c r="A335" s="95">
        <v>203</v>
      </c>
      <c r="B335" s="96">
        <v>1269</v>
      </c>
      <c r="C335" s="97" t="s">
        <v>257</v>
      </c>
      <c r="D335" s="98" t="s">
        <v>457</v>
      </c>
    </row>
    <row r="336" spans="1:4" x14ac:dyDescent="0.2">
      <c r="A336" s="95">
        <v>203</v>
      </c>
      <c r="B336" s="96">
        <v>1270</v>
      </c>
      <c r="C336" s="97" t="s">
        <v>257</v>
      </c>
      <c r="D336" s="98" t="s">
        <v>457</v>
      </c>
    </row>
    <row r="337" spans="1:4" x14ac:dyDescent="0.2">
      <c r="A337" s="95">
        <v>204</v>
      </c>
      <c r="B337" s="96">
        <v>1271</v>
      </c>
      <c r="C337" s="97" t="s">
        <v>257</v>
      </c>
      <c r="D337" s="98" t="s">
        <v>457</v>
      </c>
    </row>
    <row r="338" spans="1:4" x14ac:dyDescent="0.2">
      <c r="A338" s="95">
        <v>204</v>
      </c>
      <c r="B338" s="96">
        <v>1272</v>
      </c>
      <c r="C338" s="97" t="s">
        <v>257</v>
      </c>
      <c r="D338" s="98" t="s">
        <v>457</v>
      </c>
    </row>
    <row r="339" spans="1:4" x14ac:dyDescent="0.2">
      <c r="A339" s="95">
        <v>205</v>
      </c>
      <c r="B339" s="96">
        <v>1273</v>
      </c>
      <c r="C339" s="97" t="s">
        <v>257</v>
      </c>
      <c r="D339" s="98" t="s">
        <v>457</v>
      </c>
    </row>
    <row r="340" spans="1:4" x14ac:dyDescent="0.2">
      <c r="A340" s="95">
        <v>205</v>
      </c>
      <c r="B340" s="96">
        <v>1274</v>
      </c>
      <c r="C340" s="97" t="s">
        <v>257</v>
      </c>
      <c r="D340" s="98" t="s">
        <v>457</v>
      </c>
    </row>
    <row r="341" spans="1:4" x14ac:dyDescent="0.2">
      <c r="A341" s="95">
        <v>206</v>
      </c>
      <c r="B341" s="96">
        <v>1275</v>
      </c>
      <c r="C341" s="97" t="s">
        <v>257</v>
      </c>
      <c r="D341" s="98" t="s">
        <v>457</v>
      </c>
    </row>
    <row r="342" spans="1:4" x14ac:dyDescent="0.2">
      <c r="A342" s="95">
        <v>206</v>
      </c>
      <c r="B342" s="96">
        <v>1276</v>
      </c>
      <c r="C342" s="97" t="s">
        <v>257</v>
      </c>
      <c r="D342" s="98" t="s">
        <v>457</v>
      </c>
    </row>
    <row r="343" spans="1:4" x14ac:dyDescent="0.2">
      <c r="A343" s="95">
        <v>207</v>
      </c>
      <c r="B343" s="96">
        <v>1277</v>
      </c>
      <c r="C343" s="97" t="s">
        <v>257</v>
      </c>
      <c r="D343" s="98" t="s">
        <v>457</v>
      </c>
    </row>
    <row r="344" spans="1:4" x14ac:dyDescent="0.2">
      <c r="A344" s="95">
        <v>207</v>
      </c>
      <c r="B344" s="96">
        <v>1278</v>
      </c>
      <c r="C344" s="97" t="s">
        <v>257</v>
      </c>
      <c r="D344" s="98" t="s">
        <v>457</v>
      </c>
    </row>
    <row r="345" spans="1:4" x14ac:dyDescent="0.2">
      <c r="A345" s="95">
        <v>208</v>
      </c>
      <c r="B345" s="96">
        <v>1279</v>
      </c>
      <c r="C345" s="97" t="s">
        <v>257</v>
      </c>
      <c r="D345" s="98" t="s">
        <v>457</v>
      </c>
    </row>
    <row r="346" spans="1:4" x14ac:dyDescent="0.2">
      <c r="A346" s="95">
        <v>208</v>
      </c>
      <c r="B346" s="96">
        <v>1280</v>
      </c>
      <c r="C346" s="97" t="s">
        <v>257</v>
      </c>
      <c r="D346" s="98" t="s">
        <v>457</v>
      </c>
    </row>
    <row r="347" spans="1:4" x14ac:dyDescent="0.2">
      <c r="A347" s="95">
        <v>209</v>
      </c>
      <c r="B347" s="96">
        <v>1286</v>
      </c>
      <c r="C347" s="97" t="s">
        <v>257</v>
      </c>
      <c r="D347" s="98">
        <v>2</v>
      </c>
    </row>
    <row r="348" spans="1:4" x14ac:dyDescent="0.2">
      <c r="A348" s="95">
        <v>209</v>
      </c>
      <c r="B348" s="96">
        <v>1287</v>
      </c>
      <c r="C348" s="97" t="s">
        <v>257</v>
      </c>
      <c r="D348" s="98">
        <v>1</v>
      </c>
    </row>
    <row r="349" spans="1:4" x14ac:dyDescent="0.2">
      <c r="A349" s="95">
        <v>210</v>
      </c>
      <c r="B349" s="96">
        <v>1293</v>
      </c>
      <c r="C349" s="97" t="s">
        <v>257</v>
      </c>
      <c r="D349" s="98">
        <v>2</v>
      </c>
    </row>
    <row r="350" spans="1:4" x14ac:dyDescent="0.2">
      <c r="A350" s="95">
        <v>210</v>
      </c>
      <c r="B350" s="96">
        <v>1294</v>
      </c>
      <c r="C350" s="97" t="s">
        <v>257</v>
      </c>
      <c r="D350" s="98">
        <v>1</v>
      </c>
    </row>
    <row r="351" spans="1:4" x14ac:dyDescent="0.2">
      <c r="A351" s="95">
        <v>211</v>
      </c>
      <c r="B351" s="96">
        <v>1295</v>
      </c>
      <c r="C351" s="97" t="s">
        <v>257</v>
      </c>
      <c r="D351" s="98">
        <v>2</v>
      </c>
    </row>
    <row r="352" spans="1:4" x14ac:dyDescent="0.2">
      <c r="A352" s="95">
        <v>211</v>
      </c>
      <c r="B352" s="96">
        <v>1296</v>
      </c>
      <c r="C352" s="97" t="s">
        <v>257</v>
      </c>
      <c r="D352" s="98">
        <v>1</v>
      </c>
    </row>
    <row r="353" spans="1:4" x14ac:dyDescent="0.2">
      <c r="A353" s="95">
        <v>212</v>
      </c>
      <c r="B353" s="96">
        <v>1297</v>
      </c>
      <c r="C353" s="97" t="s">
        <v>257</v>
      </c>
      <c r="D353" s="98">
        <v>2</v>
      </c>
    </row>
    <row r="354" spans="1:4" x14ac:dyDescent="0.2">
      <c r="A354" s="95">
        <v>212</v>
      </c>
      <c r="B354" s="96">
        <v>1298</v>
      </c>
      <c r="C354" s="97" t="s">
        <v>257</v>
      </c>
      <c r="D354" s="98">
        <v>1</v>
      </c>
    </row>
    <row r="355" spans="1:4" x14ac:dyDescent="0.2">
      <c r="A355" s="95">
        <v>213</v>
      </c>
      <c r="B355" s="96">
        <v>1299</v>
      </c>
      <c r="C355" s="97" t="s">
        <v>257</v>
      </c>
      <c r="D355" s="98">
        <v>2</v>
      </c>
    </row>
    <row r="356" spans="1:4" x14ac:dyDescent="0.2">
      <c r="A356" s="95">
        <v>213</v>
      </c>
      <c r="B356" s="96">
        <v>1300</v>
      </c>
      <c r="C356" s="97" t="s">
        <v>257</v>
      </c>
      <c r="D356" s="98">
        <v>1</v>
      </c>
    </row>
    <row r="357" spans="1:4" x14ac:dyDescent="0.2">
      <c r="A357" s="95">
        <v>214</v>
      </c>
      <c r="B357" s="96">
        <v>1326</v>
      </c>
      <c r="C357" s="97" t="s">
        <v>257</v>
      </c>
      <c r="D357" s="98">
        <v>2</v>
      </c>
    </row>
    <row r="358" spans="1:4" x14ac:dyDescent="0.2">
      <c r="A358" s="95">
        <v>214</v>
      </c>
      <c r="B358" s="96">
        <v>1327</v>
      </c>
      <c r="C358" s="97" t="s">
        <v>257</v>
      </c>
      <c r="D358" s="98">
        <v>1</v>
      </c>
    </row>
    <row r="359" spans="1:4" x14ac:dyDescent="0.2">
      <c r="A359" s="95">
        <v>215</v>
      </c>
      <c r="B359" s="96">
        <v>1328</v>
      </c>
      <c r="C359" s="97" t="s">
        <v>257</v>
      </c>
      <c r="D359" s="98">
        <v>2</v>
      </c>
    </row>
    <row r="360" spans="1:4" x14ac:dyDescent="0.2">
      <c r="A360" s="95">
        <v>215</v>
      </c>
      <c r="B360" s="96">
        <v>1329</v>
      </c>
      <c r="C360" s="97" t="s">
        <v>257</v>
      </c>
      <c r="D360" s="98">
        <v>1</v>
      </c>
    </row>
    <row r="361" spans="1:4" x14ac:dyDescent="0.2">
      <c r="A361" s="95">
        <v>216</v>
      </c>
      <c r="B361" s="96">
        <v>1330</v>
      </c>
      <c r="C361" s="97" t="s">
        <v>257</v>
      </c>
      <c r="D361" s="98">
        <v>2</v>
      </c>
    </row>
    <row r="362" spans="1:4" x14ac:dyDescent="0.2">
      <c r="A362" s="95">
        <v>216</v>
      </c>
      <c r="B362" s="96">
        <v>1331</v>
      </c>
      <c r="C362" s="97" t="s">
        <v>257</v>
      </c>
      <c r="D362" s="98">
        <v>1</v>
      </c>
    </row>
    <row r="363" spans="1:4" x14ac:dyDescent="0.2">
      <c r="A363" s="95">
        <v>217</v>
      </c>
      <c r="B363" s="96">
        <v>1332</v>
      </c>
      <c r="C363" s="97" t="s">
        <v>257</v>
      </c>
      <c r="D363" s="98">
        <v>2</v>
      </c>
    </row>
    <row r="364" spans="1:4" x14ac:dyDescent="0.2">
      <c r="A364" s="95">
        <v>217</v>
      </c>
      <c r="B364" s="96">
        <v>1333</v>
      </c>
      <c r="C364" s="97" t="s">
        <v>257</v>
      </c>
      <c r="D364" s="98">
        <v>1</v>
      </c>
    </row>
    <row r="365" spans="1:4" x14ac:dyDescent="0.2">
      <c r="A365" s="95">
        <v>218</v>
      </c>
      <c r="B365" s="96">
        <v>1334</v>
      </c>
      <c r="C365" s="97" t="s">
        <v>257</v>
      </c>
      <c r="D365" s="98">
        <v>2</v>
      </c>
    </row>
    <row r="366" spans="1:4" x14ac:dyDescent="0.2">
      <c r="A366" s="95">
        <v>218</v>
      </c>
      <c r="B366" s="96">
        <v>1335</v>
      </c>
      <c r="C366" s="97" t="s">
        <v>257</v>
      </c>
      <c r="D366" s="98">
        <v>1</v>
      </c>
    </row>
    <row r="367" spans="1:4" x14ac:dyDescent="0.2">
      <c r="A367" s="95">
        <v>219</v>
      </c>
      <c r="B367" s="96">
        <v>1336</v>
      </c>
      <c r="C367" s="97" t="s">
        <v>257</v>
      </c>
      <c r="D367" s="98">
        <v>2</v>
      </c>
    </row>
    <row r="368" spans="1:4" x14ac:dyDescent="0.2">
      <c r="A368" s="95">
        <v>219</v>
      </c>
      <c r="B368" s="96">
        <v>1337</v>
      </c>
      <c r="C368" s="97" t="s">
        <v>257</v>
      </c>
      <c r="D368" s="98">
        <v>1</v>
      </c>
    </row>
    <row r="369" spans="1:4" x14ac:dyDescent="0.2">
      <c r="A369" s="95">
        <v>220</v>
      </c>
      <c r="B369" s="96">
        <v>1338</v>
      </c>
      <c r="C369" s="97" t="s">
        <v>257</v>
      </c>
      <c r="D369" s="98">
        <v>2</v>
      </c>
    </row>
    <row r="370" spans="1:4" x14ac:dyDescent="0.2">
      <c r="A370" s="95">
        <v>220</v>
      </c>
      <c r="B370" s="96">
        <v>1339</v>
      </c>
      <c r="C370" s="97" t="s">
        <v>257</v>
      </c>
      <c r="D370" s="98">
        <v>1</v>
      </c>
    </row>
    <row r="371" spans="1:4" x14ac:dyDescent="0.2">
      <c r="A371" s="95">
        <v>221</v>
      </c>
      <c r="B371" s="96">
        <v>1340</v>
      </c>
      <c r="C371" s="97" t="s">
        <v>257</v>
      </c>
      <c r="D371" s="98">
        <v>2</v>
      </c>
    </row>
    <row r="372" spans="1:4" x14ac:dyDescent="0.2">
      <c r="A372" s="95">
        <v>221</v>
      </c>
      <c r="B372" s="96">
        <v>1341</v>
      </c>
      <c r="C372" s="97" t="s">
        <v>257</v>
      </c>
      <c r="D372" s="98">
        <v>1</v>
      </c>
    </row>
    <row r="373" spans="1:4" x14ac:dyDescent="0.2">
      <c r="A373" s="95">
        <v>222</v>
      </c>
      <c r="B373" s="96">
        <v>1342</v>
      </c>
      <c r="C373" s="97" t="s">
        <v>257</v>
      </c>
      <c r="D373" s="98">
        <v>2</v>
      </c>
    </row>
    <row r="374" spans="1:4" x14ac:dyDescent="0.2">
      <c r="A374" s="95">
        <v>222</v>
      </c>
      <c r="B374" s="96">
        <v>1343</v>
      </c>
      <c r="C374" s="97" t="s">
        <v>257</v>
      </c>
      <c r="D374" s="98">
        <v>1</v>
      </c>
    </row>
    <row r="375" spans="1:4" x14ac:dyDescent="0.2">
      <c r="A375" s="95">
        <v>223</v>
      </c>
      <c r="B375" s="96">
        <v>1344</v>
      </c>
      <c r="C375" s="97" t="s">
        <v>257</v>
      </c>
      <c r="D375" s="98">
        <v>2</v>
      </c>
    </row>
    <row r="376" spans="1:4" x14ac:dyDescent="0.2">
      <c r="A376" s="95">
        <v>223</v>
      </c>
      <c r="B376" s="96">
        <v>1345</v>
      </c>
      <c r="C376" s="97" t="s">
        <v>257</v>
      </c>
      <c r="D376" s="98">
        <v>1</v>
      </c>
    </row>
    <row r="377" spans="1:4" x14ac:dyDescent="0.2">
      <c r="A377" s="95">
        <v>224</v>
      </c>
      <c r="B377" s="96">
        <v>1353</v>
      </c>
      <c r="C377" s="97" t="s">
        <v>257</v>
      </c>
      <c r="D377" s="98">
        <v>2</v>
      </c>
    </row>
    <row r="378" spans="1:4" x14ac:dyDescent="0.2">
      <c r="A378" s="95">
        <v>224</v>
      </c>
      <c r="B378" s="96">
        <v>1354</v>
      </c>
      <c r="C378" s="97" t="s">
        <v>257</v>
      </c>
      <c r="D378" s="98">
        <v>1</v>
      </c>
    </row>
    <row r="379" spans="1:4" x14ac:dyDescent="0.2">
      <c r="A379" s="95">
        <v>225</v>
      </c>
      <c r="B379" s="96">
        <v>1355</v>
      </c>
      <c r="C379" s="97" t="s">
        <v>257</v>
      </c>
      <c r="D379" s="98">
        <v>2</v>
      </c>
    </row>
    <row r="380" spans="1:4" x14ac:dyDescent="0.2">
      <c r="A380" s="95">
        <v>225</v>
      </c>
      <c r="B380" s="96">
        <v>1356</v>
      </c>
      <c r="C380" s="97" t="s">
        <v>257</v>
      </c>
      <c r="D380" s="98">
        <v>1</v>
      </c>
    </row>
    <row r="381" spans="1:4" x14ac:dyDescent="0.2">
      <c r="A381" s="95">
        <v>226</v>
      </c>
      <c r="B381" s="96">
        <v>1357</v>
      </c>
      <c r="C381" s="97" t="s">
        <v>257</v>
      </c>
      <c r="D381" s="98">
        <v>2</v>
      </c>
    </row>
    <row r="382" spans="1:4" x14ac:dyDescent="0.2">
      <c r="A382" s="95">
        <v>226</v>
      </c>
      <c r="B382" s="96">
        <v>1358</v>
      </c>
      <c r="C382" s="97" t="s">
        <v>257</v>
      </c>
      <c r="D382" s="98">
        <v>1</v>
      </c>
    </row>
    <row r="383" spans="1:4" x14ac:dyDescent="0.2">
      <c r="A383" s="95">
        <v>227</v>
      </c>
      <c r="B383" s="96">
        <v>1359</v>
      </c>
      <c r="C383" s="97" t="s">
        <v>257</v>
      </c>
      <c r="D383" s="98">
        <v>2</v>
      </c>
    </row>
    <row r="384" spans="1:4" x14ac:dyDescent="0.2">
      <c r="A384" s="95">
        <v>227</v>
      </c>
      <c r="B384" s="96">
        <v>1360</v>
      </c>
      <c r="C384" s="97" t="s">
        <v>257</v>
      </c>
      <c r="D384" s="98">
        <v>1</v>
      </c>
    </row>
    <row r="385" spans="1:4" x14ac:dyDescent="0.2">
      <c r="A385" s="95">
        <v>228</v>
      </c>
      <c r="B385" s="96">
        <v>1361</v>
      </c>
      <c r="C385" s="97" t="s">
        <v>268</v>
      </c>
      <c r="D385" s="98" t="s">
        <v>219</v>
      </c>
    </row>
    <row r="386" spans="1:4" x14ac:dyDescent="0.2">
      <c r="A386" s="95">
        <v>228</v>
      </c>
      <c r="B386" s="96">
        <v>1399</v>
      </c>
      <c r="C386" s="97" t="s">
        <v>268</v>
      </c>
      <c r="D386" s="98" t="s">
        <v>219</v>
      </c>
    </row>
    <row r="387" spans="1:4" x14ac:dyDescent="0.2">
      <c r="A387" s="95">
        <v>229</v>
      </c>
      <c r="B387" s="96">
        <v>1362</v>
      </c>
      <c r="C387" s="97" t="s">
        <v>268</v>
      </c>
      <c r="D387" s="98" t="s">
        <v>219</v>
      </c>
    </row>
    <row r="388" spans="1:4" x14ac:dyDescent="0.2">
      <c r="A388" s="95">
        <v>229</v>
      </c>
      <c r="B388" s="96">
        <v>1400</v>
      </c>
      <c r="C388" s="97" t="s">
        <v>268</v>
      </c>
      <c r="D388" s="98" t="s">
        <v>219</v>
      </c>
    </row>
    <row r="389" spans="1:4" x14ac:dyDescent="0.2">
      <c r="A389" s="95">
        <v>230</v>
      </c>
      <c r="B389" s="96">
        <v>1363</v>
      </c>
      <c r="C389" s="97" t="s">
        <v>257</v>
      </c>
      <c r="D389" s="98" t="s">
        <v>219</v>
      </c>
    </row>
    <row r="390" spans="1:4" x14ac:dyDescent="0.2">
      <c r="A390" s="95">
        <v>230</v>
      </c>
      <c r="B390" s="96">
        <v>1401</v>
      </c>
      <c r="C390" s="97" t="s">
        <v>257</v>
      </c>
      <c r="D390" s="98" t="s">
        <v>219</v>
      </c>
    </row>
    <row r="391" spans="1:4" x14ac:dyDescent="0.2">
      <c r="A391" s="95">
        <v>231</v>
      </c>
      <c r="B391" s="96">
        <v>1371</v>
      </c>
      <c r="C391" s="97" t="s">
        <v>245</v>
      </c>
      <c r="D391" s="98">
        <v>2</v>
      </c>
    </row>
    <row r="392" spans="1:4" x14ac:dyDescent="0.2">
      <c r="A392" s="95">
        <v>231</v>
      </c>
      <c r="B392" s="96">
        <v>1372</v>
      </c>
      <c r="C392" s="97" t="s">
        <v>245</v>
      </c>
      <c r="D392" s="98">
        <v>1</v>
      </c>
    </row>
    <row r="393" spans="1:4" x14ac:dyDescent="0.2">
      <c r="A393" s="95">
        <v>233</v>
      </c>
      <c r="B393" s="96">
        <v>1375</v>
      </c>
      <c r="C393" s="97" t="s">
        <v>245</v>
      </c>
      <c r="D393" s="98">
        <v>2</v>
      </c>
    </row>
    <row r="394" spans="1:4" x14ac:dyDescent="0.2">
      <c r="A394" s="95">
        <v>233</v>
      </c>
      <c r="B394" s="96">
        <v>1376</v>
      </c>
      <c r="C394" s="97" t="s">
        <v>245</v>
      </c>
      <c r="D394" s="98">
        <v>1</v>
      </c>
    </row>
    <row r="395" spans="1:4" x14ac:dyDescent="0.2">
      <c r="A395" s="95">
        <v>234</v>
      </c>
      <c r="B395" s="96">
        <v>1377</v>
      </c>
      <c r="C395" s="97" t="s">
        <v>245</v>
      </c>
      <c r="D395" s="98">
        <v>2</v>
      </c>
    </row>
    <row r="396" spans="1:4" x14ac:dyDescent="0.2">
      <c r="A396" s="95">
        <v>234</v>
      </c>
      <c r="B396" s="96">
        <v>1378</v>
      </c>
      <c r="C396" s="97" t="s">
        <v>245</v>
      </c>
      <c r="D396" s="98">
        <v>1</v>
      </c>
    </row>
    <row r="397" spans="1:4" x14ac:dyDescent="0.2">
      <c r="A397" s="95">
        <v>235</v>
      </c>
      <c r="B397" s="96">
        <v>1379</v>
      </c>
      <c r="C397" s="97" t="s">
        <v>245</v>
      </c>
      <c r="D397" s="98">
        <v>2</v>
      </c>
    </row>
    <row r="398" spans="1:4" x14ac:dyDescent="0.2">
      <c r="A398" s="95">
        <v>235</v>
      </c>
      <c r="B398" s="96">
        <v>1380</v>
      </c>
      <c r="C398" s="97" t="s">
        <v>245</v>
      </c>
      <c r="D398" s="98">
        <v>1</v>
      </c>
    </row>
    <row r="399" spans="1:4" x14ac:dyDescent="0.2">
      <c r="A399" s="95">
        <v>236</v>
      </c>
      <c r="B399" s="96">
        <v>1381</v>
      </c>
      <c r="C399" s="97" t="s">
        <v>245</v>
      </c>
      <c r="D399" s="98">
        <v>2</v>
      </c>
    </row>
    <row r="400" spans="1:4" x14ac:dyDescent="0.2">
      <c r="A400" s="95">
        <v>236</v>
      </c>
      <c r="B400" s="96">
        <v>1382</v>
      </c>
      <c r="C400" s="97" t="s">
        <v>245</v>
      </c>
      <c r="D400" s="98">
        <v>1</v>
      </c>
    </row>
    <row r="401" spans="1:4" x14ac:dyDescent="0.2">
      <c r="A401" s="95">
        <v>237</v>
      </c>
      <c r="B401" s="96">
        <v>1383</v>
      </c>
      <c r="C401" s="97" t="s">
        <v>245</v>
      </c>
      <c r="D401" s="98">
        <v>2</v>
      </c>
    </row>
    <row r="402" spans="1:4" x14ac:dyDescent="0.2">
      <c r="A402" s="95">
        <v>237</v>
      </c>
      <c r="B402" s="96">
        <v>1384</v>
      </c>
      <c r="C402" s="97" t="s">
        <v>245</v>
      </c>
      <c r="D402" s="98">
        <v>1</v>
      </c>
    </row>
    <row r="403" spans="1:4" x14ac:dyDescent="0.2">
      <c r="A403" s="95">
        <v>238</v>
      </c>
      <c r="B403" s="96">
        <v>1385</v>
      </c>
      <c r="C403" s="97" t="s">
        <v>257</v>
      </c>
      <c r="D403" s="98">
        <v>2</v>
      </c>
    </row>
    <row r="404" spans="1:4" x14ac:dyDescent="0.2">
      <c r="A404" s="95">
        <v>238</v>
      </c>
      <c r="B404" s="96">
        <v>1386</v>
      </c>
      <c r="C404" s="97" t="s">
        <v>257</v>
      </c>
      <c r="D404" s="98">
        <v>1</v>
      </c>
    </row>
    <row r="405" spans="1:4" x14ac:dyDescent="0.2">
      <c r="A405" s="95">
        <v>241</v>
      </c>
      <c r="B405" s="96">
        <v>1042</v>
      </c>
      <c r="C405" s="97" t="s">
        <v>269</v>
      </c>
      <c r="D405" s="98">
        <v>2</v>
      </c>
    </row>
    <row r="406" spans="1:4" x14ac:dyDescent="0.2">
      <c r="A406" s="95">
        <v>241</v>
      </c>
      <c r="B406" s="96">
        <v>1043</v>
      </c>
      <c r="C406" s="97" t="s">
        <v>269</v>
      </c>
      <c r="D406" s="98">
        <v>1</v>
      </c>
    </row>
    <row r="407" spans="1:4" x14ac:dyDescent="0.2">
      <c r="A407" s="95">
        <v>242</v>
      </c>
      <c r="B407" s="96">
        <v>44</v>
      </c>
      <c r="C407" s="97" t="s">
        <v>270</v>
      </c>
      <c r="D407" s="98">
        <v>1</v>
      </c>
    </row>
    <row r="408" spans="1:4" x14ac:dyDescent="0.2">
      <c r="A408" s="95">
        <v>242</v>
      </c>
      <c r="B408" s="96">
        <v>208</v>
      </c>
      <c r="C408" s="97" t="s">
        <v>270</v>
      </c>
      <c r="D408" s="98">
        <v>2</v>
      </c>
    </row>
    <row r="409" spans="1:4" x14ac:dyDescent="0.2">
      <c r="A409" s="95">
        <v>243</v>
      </c>
      <c r="B409" s="96">
        <v>21</v>
      </c>
      <c r="C409" s="97" t="s">
        <v>271</v>
      </c>
      <c r="D409" s="98">
        <v>1</v>
      </c>
    </row>
    <row r="410" spans="1:4" x14ac:dyDescent="0.2">
      <c r="A410" s="95">
        <v>243</v>
      </c>
      <c r="B410" s="96">
        <v>231</v>
      </c>
      <c r="C410" s="97" t="s">
        <v>271</v>
      </c>
      <c r="D410" s="98" t="s">
        <v>461</v>
      </c>
    </row>
    <row r="411" spans="1:4" x14ac:dyDescent="0.2">
      <c r="A411" s="95">
        <v>244</v>
      </c>
      <c r="B411" s="96">
        <v>40</v>
      </c>
      <c r="C411" s="97" t="s">
        <v>257</v>
      </c>
      <c r="D411" s="98">
        <v>1</v>
      </c>
    </row>
    <row r="412" spans="1:4" x14ac:dyDescent="0.2">
      <c r="A412" s="95">
        <v>244</v>
      </c>
      <c r="B412" s="96">
        <v>206</v>
      </c>
      <c r="C412" s="97" t="s">
        <v>257</v>
      </c>
      <c r="D412" s="98">
        <v>2</v>
      </c>
    </row>
    <row r="413" spans="1:4" x14ac:dyDescent="0.2">
      <c r="A413" s="95">
        <v>245</v>
      </c>
      <c r="B413" s="96">
        <v>1012</v>
      </c>
      <c r="C413" s="97" t="s">
        <v>270</v>
      </c>
      <c r="D413" s="98">
        <v>2</v>
      </c>
    </row>
    <row r="414" spans="1:4" x14ac:dyDescent="0.2">
      <c r="A414" s="95">
        <v>245</v>
      </c>
      <c r="B414" s="96">
        <v>1013</v>
      </c>
      <c r="C414" s="97" t="s">
        <v>270</v>
      </c>
      <c r="D414" s="98">
        <v>1</v>
      </c>
    </row>
    <row r="415" spans="1:4" x14ac:dyDescent="0.2">
      <c r="A415" s="95">
        <v>246</v>
      </c>
      <c r="B415" s="96">
        <v>160</v>
      </c>
      <c r="C415" s="97" t="s">
        <v>272</v>
      </c>
      <c r="D415" s="98">
        <v>2</v>
      </c>
    </row>
    <row r="416" spans="1:4" x14ac:dyDescent="0.2">
      <c r="A416" s="95">
        <v>246</v>
      </c>
      <c r="B416" s="96">
        <v>276</v>
      </c>
      <c r="C416" s="97" t="s">
        <v>272</v>
      </c>
      <c r="D416" s="98">
        <v>1</v>
      </c>
    </row>
    <row r="417" spans="1:4" x14ac:dyDescent="0.2">
      <c r="A417" s="95">
        <v>246</v>
      </c>
      <c r="B417" s="96">
        <v>277</v>
      </c>
      <c r="C417" s="97" t="s">
        <v>272</v>
      </c>
      <c r="D417" s="98">
        <v>1</v>
      </c>
    </row>
    <row r="418" spans="1:4" x14ac:dyDescent="0.2">
      <c r="A418" s="95">
        <v>247</v>
      </c>
      <c r="B418" s="96">
        <v>1288</v>
      </c>
      <c r="C418" s="97" t="s">
        <v>270</v>
      </c>
      <c r="D418" s="98">
        <v>1</v>
      </c>
    </row>
    <row r="419" spans="1:4" x14ac:dyDescent="0.2">
      <c r="A419" s="95">
        <v>247</v>
      </c>
      <c r="B419" s="96">
        <v>1289</v>
      </c>
      <c r="C419" s="97" t="s">
        <v>270</v>
      </c>
      <c r="D419" s="98">
        <v>2</v>
      </c>
    </row>
    <row r="420" spans="1:4" x14ac:dyDescent="0.2">
      <c r="A420" s="95">
        <v>248</v>
      </c>
      <c r="B420" s="96">
        <v>1174</v>
      </c>
      <c r="C420" s="97" t="s">
        <v>257</v>
      </c>
      <c r="D420" s="98">
        <v>1</v>
      </c>
    </row>
    <row r="421" spans="1:4" x14ac:dyDescent="0.2">
      <c r="A421" s="95">
        <v>248</v>
      </c>
      <c r="B421" s="96">
        <v>1175</v>
      </c>
      <c r="C421" s="97" t="s">
        <v>257</v>
      </c>
      <c r="D421" s="98">
        <v>2</v>
      </c>
    </row>
    <row r="422" spans="1:4" x14ac:dyDescent="0.2">
      <c r="A422" s="95">
        <v>249</v>
      </c>
      <c r="B422" s="96">
        <v>1351</v>
      </c>
      <c r="C422" s="97" t="s">
        <v>270</v>
      </c>
      <c r="D422" s="98">
        <v>2</v>
      </c>
    </row>
    <row r="423" spans="1:4" x14ac:dyDescent="0.2">
      <c r="A423" s="95">
        <v>249</v>
      </c>
      <c r="B423" s="96">
        <v>1352</v>
      </c>
      <c r="C423" s="97" t="s">
        <v>270</v>
      </c>
      <c r="D423" s="98">
        <v>1</v>
      </c>
    </row>
    <row r="424" spans="1:4" x14ac:dyDescent="0.2">
      <c r="A424" s="95">
        <v>250</v>
      </c>
      <c r="B424" s="96">
        <v>206</v>
      </c>
      <c r="C424" s="97" t="s">
        <v>273</v>
      </c>
      <c r="D424" s="98" t="s">
        <v>219</v>
      </c>
    </row>
    <row r="425" spans="1:4" x14ac:dyDescent="0.2">
      <c r="A425" s="95">
        <v>251</v>
      </c>
      <c r="B425" s="96">
        <v>210</v>
      </c>
      <c r="C425" s="97" t="s">
        <v>273</v>
      </c>
      <c r="D425" s="98" t="s">
        <v>219</v>
      </c>
    </row>
    <row r="426" spans="1:4" x14ac:dyDescent="0.2">
      <c r="A426" s="95">
        <v>252</v>
      </c>
      <c r="B426" s="96">
        <v>212</v>
      </c>
      <c r="C426" s="97" t="s">
        <v>273</v>
      </c>
      <c r="D426" s="98" t="s">
        <v>219</v>
      </c>
    </row>
    <row r="427" spans="1:4" x14ac:dyDescent="0.2">
      <c r="A427" s="95">
        <v>253</v>
      </c>
      <c r="B427" s="96">
        <v>1290</v>
      </c>
      <c r="C427" s="97" t="s">
        <v>273</v>
      </c>
      <c r="D427" s="98" t="s">
        <v>219</v>
      </c>
    </row>
    <row r="428" spans="1:4" x14ac:dyDescent="0.2">
      <c r="A428" s="95">
        <v>254</v>
      </c>
      <c r="B428" s="96">
        <v>1316</v>
      </c>
      <c r="C428" s="97" t="s">
        <v>274</v>
      </c>
      <c r="D428" s="98">
        <v>2</v>
      </c>
    </row>
    <row r="429" spans="1:4" x14ac:dyDescent="0.2">
      <c r="A429" s="95">
        <v>254</v>
      </c>
      <c r="B429" s="96">
        <v>1317</v>
      </c>
      <c r="C429" s="97" t="s">
        <v>274</v>
      </c>
      <c r="D429" s="98">
        <v>1</v>
      </c>
    </row>
    <row r="430" spans="1:4" x14ac:dyDescent="0.2">
      <c r="A430" s="95">
        <v>255</v>
      </c>
      <c r="B430" s="96">
        <v>1320</v>
      </c>
      <c r="C430" s="97" t="s">
        <v>275</v>
      </c>
      <c r="D430" s="98">
        <v>2</v>
      </c>
    </row>
    <row r="431" spans="1:4" x14ac:dyDescent="0.2">
      <c r="A431" s="95">
        <v>255</v>
      </c>
      <c r="B431" s="96">
        <v>1321</v>
      </c>
      <c r="C431" s="97" t="s">
        <v>275</v>
      </c>
      <c r="D431" s="98">
        <v>1</v>
      </c>
    </row>
    <row r="432" spans="1:4" x14ac:dyDescent="0.2">
      <c r="A432" s="95">
        <v>257</v>
      </c>
      <c r="B432" s="96">
        <v>57</v>
      </c>
      <c r="C432" s="97" t="s">
        <v>276</v>
      </c>
      <c r="D432" s="98">
        <v>1</v>
      </c>
    </row>
    <row r="433" spans="1:4" x14ac:dyDescent="0.2">
      <c r="A433" s="95">
        <v>257</v>
      </c>
      <c r="B433" s="96">
        <v>196</v>
      </c>
      <c r="C433" s="97" t="s">
        <v>276</v>
      </c>
      <c r="D433" s="98">
        <v>2</v>
      </c>
    </row>
    <row r="434" spans="1:4" x14ac:dyDescent="0.2">
      <c r="A434" s="95">
        <v>258</v>
      </c>
      <c r="B434" s="96">
        <v>56</v>
      </c>
      <c r="C434" s="97" t="s">
        <v>277</v>
      </c>
      <c r="D434" s="98">
        <v>1</v>
      </c>
    </row>
    <row r="435" spans="1:4" x14ac:dyDescent="0.2">
      <c r="A435" s="95">
        <v>258</v>
      </c>
      <c r="B435" s="96">
        <v>195</v>
      </c>
      <c r="C435" s="97" t="s">
        <v>277</v>
      </c>
      <c r="D435" s="98">
        <v>2</v>
      </c>
    </row>
    <row r="436" spans="1:4" x14ac:dyDescent="0.2">
      <c r="A436" s="95">
        <v>259</v>
      </c>
      <c r="B436" s="96">
        <v>94</v>
      </c>
      <c r="C436" s="97" t="s">
        <v>278</v>
      </c>
      <c r="D436" s="98">
        <v>1</v>
      </c>
    </row>
    <row r="437" spans="1:4" x14ac:dyDescent="0.2">
      <c r="A437" s="95">
        <v>259</v>
      </c>
      <c r="B437" s="96">
        <v>167</v>
      </c>
      <c r="C437" s="97" t="s">
        <v>278</v>
      </c>
      <c r="D437" s="98">
        <v>2</v>
      </c>
    </row>
    <row r="438" spans="1:4" x14ac:dyDescent="0.2">
      <c r="A438" s="95">
        <v>260</v>
      </c>
      <c r="B438" s="96">
        <v>59</v>
      </c>
      <c r="C438" s="97" t="s">
        <v>277</v>
      </c>
      <c r="D438" s="98" t="s">
        <v>457</v>
      </c>
    </row>
    <row r="439" spans="1:4" x14ac:dyDescent="0.2">
      <c r="A439" s="95">
        <v>260</v>
      </c>
      <c r="B439" s="96">
        <v>191</v>
      </c>
      <c r="C439" s="97" t="s">
        <v>277</v>
      </c>
      <c r="D439" s="98" t="s">
        <v>457</v>
      </c>
    </row>
    <row r="440" spans="1:4" x14ac:dyDescent="0.2">
      <c r="A440" s="95">
        <v>261</v>
      </c>
      <c r="B440" s="96">
        <v>55</v>
      </c>
      <c r="C440" s="97" t="s">
        <v>277</v>
      </c>
      <c r="D440" s="98">
        <v>1</v>
      </c>
    </row>
    <row r="441" spans="1:4" x14ac:dyDescent="0.2">
      <c r="A441" s="95">
        <v>261</v>
      </c>
      <c r="B441" s="96">
        <v>194</v>
      </c>
      <c r="C441" s="97" t="s">
        <v>277</v>
      </c>
      <c r="D441" s="98" t="s">
        <v>460</v>
      </c>
    </row>
    <row r="442" spans="1:4" x14ac:dyDescent="0.2">
      <c r="A442" s="95">
        <v>262</v>
      </c>
      <c r="B442" s="96">
        <v>57</v>
      </c>
      <c r="C442" s="97" t="s">
        <v>277</v>
      </c>
      <c r="D442" s="98">
        <v>1</v>
      </c>
    </row>
    <row r="443" spans="1:4" x14ac:dyDescent="0.2">
      <c r="A443" s="95">
        <v>262</v>
      </c>
      <c r="B443" s="96">
        <v>196</v>
      </c>
      <c r="C443" s="97" t="s">
        <v>277</v>
      </c>
      <c r="D443" s="98" t="s">
        <v>462</v>
      </c>
    </row>
    <row r="444" spans="1:4" x14ac:dyDescent="0.2">
      <c r="A444" s="95">
        <v>263</v>
      </c>
      <c r="B444" s="96">
        <v>1010</v>
      </c>
      <c r="C444" s="97" t="s">
        <v>277</v>
      </c>
      <c r="D444" s="98">
        <v>2</v>
      </c>
    </row>
    <row r="445" spans="1:4" x14ac:dyDescent="0.2">
      <c r="A445" s="95">
        <v>263</v>
      </c>
      <c r="B445" s="96">
        <v>1011</v>
      </c>
      <c r="C445" s="97" t="s">
        <v>277</v>
      </c>
      <c r="D445" s="98">
        <v>1</v>
      </c>
    </row>
    <row r="446" spans="1:4" x14ac:dyDescent="0.2">
      <c r="A446" s="95">
        <v>264</v>
      </c>
      <c r="B446" s="96">
        <v>1069</v>
      </c>
      <c r="C446" s="97" t="s">
        <v>277</v>
      </c>
      <c r="D446" s="98">
        <v>1</v>
      </c>
    </row>
    <row r="447" spans="1:4" x14ac:dyDescent="0.2">
      <c r="A447" s="95">
        <v>264</v>
      </c>
      <c r="B447" s="96">
        <v>1070</v>
      </c>
      <c r="C447" s="97" t="s">
        <v>277</v>
      </c>
      <c r="D447" s="98">
        <v>2</v>
      </c>
    </row>
    <row r="448" spans="1:4" x14ac:dyDescent="0.2">
      <c r="A448" s="95">
        <v>265</v>
      </c>
      <c r="B448" s="96">
        <v>190</v>
      </c>
      <c r="C448" s="97" t="s">
        <v>279</v>
      </c>
      <c r="D448" s="98" t="s">
        <v>459</v>
      </c>
    </row>
    <row r="449" spans="1:4" x14ac:dyDescent="0.2">
      <c r="A449" s="95">
        <v>266</v>
      </c>
      <c r="B449" s="96">
        <v>191</v>
      </c>
      <c r="C449" s="97" t="s">
        <v>279</v>
      </c>
      <c r="D449" s="98" t="s">
        <v>219</v>
      </c>
    </row>
    <row r="450" spans="1:4" x14ac:dyDescent="0.2">
      <c r="A450" s="95">
        <v>267</v>
      </c>
      <c r="B450" s="96">
        <v>192</v>
      </c>
      <c r="C450" s="97" t="s">
        <v>279</v>
      </c>
      <c r="D450" s="98" t="s">
        <v>219</v>
      </c>
    </row>
    <row r="451" spans="1:4" x14ac:dyDescent="0.2">
      <c r="A451" s="95">
        <v>268</v>
      </c>
      <c r="B451" s="96">
        <v>193</v>
      </c>
      <c r="C451" s="97" t="s">
        <v>279</v>
      </c>
      <c r="D451" s="98" t="s">
        <v>459</v>
      </c>
    </row>
    <row r="452" spans="1:4" x14ac:dyDescent="0.2">
      <c r="A452" s="95">
        <v>269</v>
      </c>
      <c r="B452" s="96">
        <v>194</v>
      </c>
      <c r="C452" s="97" t="s">
        <v>279</v>
      </c>
      <c r="D452" s="98" t="s">
        <v>219</v>
      </c>
    </row>
    <row r="453" spans="1:4" x14ac:dyDescent="0.2">
      <c r="A453" s="95">
        <v>270</v>
      </c>
      <c r="B453" s="96">
        <v>196</v>
      </c>
      <c r="C453" s="97" t="s">
        <v>279</v>
      </c>
      <c r="D453" s="98" t="s">
        <v>459</v>
      </c>
    </row>
    <row r="454" spans="1:4" x14ac:dyDescent="0.2">
      <c r="A454" s="95">
        <v>271</v>
      </c>
      <c r="B454" s="96">
        <v>1088</v>
      </c>
      <c r="C454" s="97" t="s">
        <v>279</v>
      </c>
      <c r="D454" s="98" t="s">
        <v>219</v>
      </c>
    </row>
    <row r="455" spans="1:4" x14ac:dyDescent="0.2">
      <c r="A455" s="95">
        <v>272</v>
      </c>
      <c r="B455" s="96">
        <v>1089</v>
      </c>
      <c r="C455" s="97" t="s">
        <v>279</v>
      </c>
      <c r="D455" s="98" t="s">
        <v>219</v>
      </c>
    </row>
    <row r="456" spans="1:4" x14ac:dyDescent="0.2">
      <c r="A456" s="95">
        <v>273</v>
      </c>
      <c r="B456" s="96">
        <v>1090</v>
      </c>
      <c r="C456" s="97" t="s">
        <v>279</v>
      </c>
      <c r="D456" s="98" t="s">
        <v>219</v>
      </c>
    </row>
    <row r="457" spans="1:4" x14ac:dyDescent="0.2">
      <c r="A457" s="95">
        <v>274</v>
      </c>
      <c r="B457" s="96">
        <v>1115</v>
      </c>
      <c r="C457" s="97" t="s">
        <v>279</v>
      </c>
      <c r="D457" s="98" t="s">
        <v>219</v>
      </c>
    </row>
    <row r="458" spans="1:4" x14ac:dyDescent="0.2">
      <c r="A458" s="95">
        <v>276</v>
      </c>
      <c r="B458" s="96">
        <v>1347</v>
      </c>
      <c r="C458" s="97" t="s">
        <v>279</v>
      </c>
      <c r="D458" s="98" t="s">
        <v>219</v>
      </c>
    </row>
    <row r="459" spans="1:4" x14ac:dyDescent="0.2">
      <c r="A459" s="95">
        <v>277</v>
      </c>
      <c r="B459" s="96">
        <v>52</v>
      </c>
      <c r="C459" s="97" t="s">
        <v>280</v>
      </c>
      <c r="D459" s="98" t="s">
        <v>219</v>
      </c>
    </row>
    <row r="460" spans="1:4" x14ac:dyDescent="0.2">
      <c r="A460" s="95">
        <v>278</v>
      </c>
      <c r="B460" s="96">
        <v>105</v>
      </c>
      <c r="C460" s="97" t="s">
        <v>281</v>
      </c>
      <c r="D460" s="98" t="s">
        <v>219</v>
      </c>
    </row>
    <row r="461" spans="1:4" x14ac:dyDescent="0.2">
      <c r="A461" s="95">
        <v>279</v>
      </c>
      <c r="B461" s="96">
        <v>16</v>
      </c>
      <c r="C461" s="97" t="s">
        <v>282</v>
      </c>
      <c r="D461" s="98" t="s">
        <v>219</v>
      </c>
    </row>
    <row r="462" spans="1:4" x14ac:dyDescent="0.2">
      <c r="A462" s="95">
        <v>280</v>
      </c>
      <c r="B462" s="96">
        <v>170</v>
      </c>
      <c r="C462" s="97" t="s">
        <v>283</v>
      </c>
      <c r="D462" s="98" t="s">
        <v>457</v>
      </c>
    </row>
    <row r="463" spans="1:4" x14ac:dyDescent="0.2">
      <c r="A463" s="95">
        <v>281</v>
      </c>
      <c r="B463" s="96">
        <v>11</v>
      </c>
      <c r="C463" s="97" t="s">
        <v>284</v>
      </c>
      <c r="D463" s="98">
        <v>2</v>
      </c>
    </row>
    <row r="464" spans="1:4" x14ac:dyDescent="0.2">
      <c r="A464" s="95">
        <v>281</v>
      </c>
      <c r="B464" s="96">
        <v>95</v>
      </c>
      <c r="C464" s="97" t="s">
        <v>284</v>
      </c>
      <c r="D464" s="98">
        <v>1</v>
      </c>
    </row>
    <row r="465" spans="1:4" x14ac:dyDescent="0.2">
      <c r="A465" s="95">
        <v>283</v>
      </c>
      <c r="B465" s="96">
        <v>1016</v>
      </c>
      <c r="C465" s="97" t="s">
        <v>285</v>
      </c>
      <c r="D465" s="98">
        <v>1</v>
      </c>
    </row>
    <row r="466" spans="1:4" x14ac:dyDescent="0.2">
      <c r="A466" s="95">
        <v>283</v>
      </c>
      <c r="B466" s="96">
        <v>1017</v>
      </c>
      <c r="C466" s="97" t="s">
        <v>285</v>
      </c>
      <c r="D466" s="98">
        <v>2</v>
      </c>
    </row>
    <row r="467" spans="1:4" x14ac:dyDescent="0.2">
      <c r="A467" s="95">
        <v>284</v>
      </c>
      <c r="B467" s="96">
        <v>177</v>
      </c>
      <c r="C467" s="97" t="s">
        <v>226</v>
      </c>
      <c r="D467" s="98" t="s">
        <v>219</v>
      </c>
    </row>
    <row r="468" spans="1:4" x14ac:dyDescent="0.2">
      <c r="A468" s="95">
        <v>285</v>
      </c>
      <c r="B468" s="96">
        <v>178</v>
      </c>
      <c r="C468" s="97" t="s">
        <v>226</v>
      </c>
      <c r="D468" s="98" t="s">
        <v>457</v>
      </c>
    </row>
    <row r="469" spans="1:4" x14ac:dyDescent="0.2">
      <c r="A469" s="95">
        <v>286</v>
      </c>
      <c r="B469" s="96">
        <v>103</v>
      </c>
      <c r="C469" s="97" t="s">
        <v>286</v>
      </c>
      <c r="D469" s="98" t="s">
        <v>219</v>
      </c>
    </row>
    <row r="470" spans="1:4" x14ac:dyDescent="0.2">
      <c r="A470" s="95">
        <v>287</v>
      </c>
      <c r="B470" s="96">
        <v>1364</v>
      </c>
      <c r="C470" s="97" t="s">
        <v>287</v>
      </c>
      <c r="D470" s="98" t="s">
        <v>219</v>
      </c>
    </row>
    <row r="471" spans="1:4" x14ac:dyDescent="0.2">
      <c r="A471" s="95">
        <v>287</v>
      </c>
      <c r="B471" s="96">
        <v>1402</v>
      </c>
      <c r="C471" s="97" t="s">
        <v>287</v>
      </c>
      <c r="D471" s="98" t="s">
        <v>219</v>
      </c>
    </row>
    <row r="472" spans="1:4" x14ac:dyDescent="0.2">
      <c r="A472" s="95">
        <v>288</v>
      </c>
      <c r="B472" s="96">
        <v>1036</v>
      </c>
      <c r="C472" s="97" t="s">
        <v>288</v>
      </c>
      <c r="D472" s="98" t="s">
        <v>219</v>
      </c>
    </row>
    <row r="473" spans="1:4" x14ac:dyDescent="0.2">
      <c r="A473" s="95">
        <v>289</v>
      </c>
      <c r="B473" s="96">
        <v>1041</v>
      </c>
      <c r="C473" s="97" t="s">
        <v>288</v>
      </c>
      <c r="D473" s="98" t="s">
        <v>219</v>
      </c>
    </row>
    <row r="474" spans="1:4" x14ac:dyDescent="0.2">
      <c r="A474" s="95">
        <v>290</v>
      </c>
      <c r="B474" s="96">
        <v>1050</v>
      </c>
      <c r="C474" s="97" t="s">
        <v>288</v>
      </c>
      <c r="D474" s="98" t="s">
        <v>219</v>
      </c>
    </row>
    <row r="475" spans="1:4" x14ac:dyDescent="0.2">
      <c r="A475" s="95">
        <v>291</v>
      </c>
      <c r="B475" s="96">
        <v>1051</v>
      </c>
      <c r="C475" s="97" t="s">
        <v>288</v>
      </c>
      <c r="D475" s="98" t="s">
        <v>219</v>
      </c>
    </row>
    <row r="476" spans="1:4" x14ac:dyDescent="0.2">
      <c r="A476" s="95">
        <v>292</v>
      </c>
      <c r="B476" s="96">
        <v>1052</v>
      </c>
      <c r="C476" s="97" t="s">
        <v>288</v>
      </c>
      <c r="D476" s="98" t="s">
        <v>219</v>
      </c>
    </row>
    <row r="477" spans="1:4" x14ac:dyDescent="0.2">
      <c r="A477" s="95">
        <v>297</v>
      </c>
      <c r="B477" s="96">
        <v>1367</v>
      </c>
      <c r="C477" s="97" t="s">
        <v>288</v>
      </c>
      <c r="D477" s="98" t="s">
        <v>219</v>
      </c>
    </row>
    <row r="478" spans="1:4" x14ac:dyDescent="0.2">
      <c r="A478" s="95">
        <v>298</v>
      </c>
      <c r="B478" s="96">
        <v>1368</v>
      </c>
      <c r="C478" s="97" t="s">
        <v>288</v>
      </c>
      <c r="D478" s="98" t="s">
        <v>219</v>
      </c>
    </row>
    <row r="479" spans="1:4" x14ac:dyDescent="0.2">
      <c r="A479" s="95">
        <v>299</v>
      </c>
      <c r="B479" s="96">
        <v>1053</v>
      </c>
      <c r="C479" s="97" t="s">
        <v>288</v>
      </c>
      <c r="D479" s="98" t="s">
        <v>219</v>
      </c>
    </row>
    <row r="480" spans="1:4" x14ac:dyDescent="0.2">
      <c r="A480" s="95">
        <v>300</v>
      </c>
      <c r="B480" s="96">
        <v>1080</v>
      </c>
      <c r="C480" s="97" t="s">
        <v>289</v>
      </c>
      <c r="D480" s="98">
        <v>1</v>
      </c>
    </row>
    <row r="481" spans="1:4" x14ac:dyDescent="0.2">
      <c r="A481" s="95">
        <v>300</v>
      </c>
      <c r="B481" s="96">
        <v>1081</v>
      </c>
      <c r="C481" s="97" t="s">
        <v>289</v>
      </c>
      <c r="D481" s="98">
        <v>1</v>
      </c>
    </row>
    <row r="482" spans="1:4" x14ac:dyDescent="0.2">
      <c r="A482" s="95">
        <v>301</v>
      </c>
      <c r="B482" s="96">
        <v>1095</v>
      </c>
      <c r="C482" s="97" t="s">
        <v>290</v>
      </c>
      <c r="D482" s="98">
        <v>1</v>
      </c>
    </row>
    <row r="483" spans="1:4" x14ac:dyDescent="0.2">
      <c r="A483" s="95">
        <v>301</v>
      </c>
      <c r="B483" s="96">
        <v>1096</v>
      </c>
      <c r="C483" s="97" t="s">
        <v>290</v>
      </c>
      <c r="D483" s="98">
        <v>1</v>
      </c>
    </row>
    <row r="484" spans="1:4" x14ac:dyDescent="0.2">
      <c r="A484" s="95">
        <v>302</v>
      </c>
      <c r="B484" s="96">
        <v>1101</v>
      </c>
      <c r="C484" s="97" t="s">
        <v>291</v>
      </c>
      <c r="D484" s="98">
        <v>1</v>
      </c>
    </row>
    <row r="485" spans="1:4" x14ac:dyDescent="0.2">
      <c r="A485" s="95">
        <v>302</v>
      </c>
      <c r="B485" s="96">
        <v>1102</v>
      </c>
      <c r="C485" s="97" t="s">
        <v>291</v>
      </c>
      <c r="D485" s="98">
        <v>1</v>
      </c>
    </row>
    <row r="486" spans="1:4" x14ac:dyDescent="0.2">
      <c r="A486" s="95">
        <v>303</v>
      </c>
      <c r="B486" s="96">
        <v>1054</v>
      </c>
      <c r="C486" s="97" t="s">
        <v>288</v>
      </c>
      <c r="D486" s="98" t="s">
        <v>219</v>
      </c>
    </row>
    <row r="487" spans="1:4" x14ac:dyDescent="0.2">
      <c r="A487" s="95">
        <v>304</v>
      </c>
      <c r="B487" s="96">
        <v>1083</v>
      </c>
      <c r="C487" s="97" t="s">
        <v>288</v>
      </c>
      <c r="D487" s="98" t="s">
        <v>219</v>
      </c>
    </row>
    <row r="488" spans="1:4" x14ac:dyDescent="0.2">
      <c r="A488" s="95">
        <v>305</v>
      </c>
      <c r="B488" s="96">
        <v>1084</v>
      </c>
      <c r="C488" s="97" t="s">
        <v>292</v>
      </c>
      <c r="D488" s="98">
        <v>1</v>
      </c>
    </row>
    <row r="489" spans="1:4" x14ac:dyDescent="0.2">
      <c r="A489" s="95">
        <v>305</v>
      </c>
      <c r="B489" s="96">
        <v>1085</v>
      </c>
      <c r="C489" s="97" t="s">
        <v>292</v>
      </c>
      <c r="D489" s="98">
        <v>2</v>
      </c>
    </row>
    <row r="490" spans="1:4" x14ac:dyDescent="0.2">
      <c r="A490" s="95">
        <v>306</v>
      </c>
      <c r="B490" s="96">
        <v>1086</v>
      </c>
      <c r="C490" s="97" t="s">
        <v>292</v>
      </c>
      <c r="D490" s="98">
        <v>1</v>
      </c>
    </row>
    <row r="491" spans="1:4" x14ac:dyDescent="0.2">
      <c r="A491" s="95">
        <v>306</v>
      </c>
      <c r="B491" s="96">
        <v>1087</v>
      </c>
      <c r="C491" s="97" t="s">
        <v>292</v>
      </c>
      <c r="D491" s="98">
        <v>2</v>
      </c>
    </row>
    <row r="492" spans="1:4" x14ac:dyDescent="0.2">
      <c r="A492" s="95">
        <v>307</v>
      </c>
      <c r="B492" s="96">
        <v>1091</v>
      </c>
      <c r="C492" s="97" t="s">
        <v>292</v>
      </c>
      <c r="D492" s="98">
        <v>1</v>
      </c>
    </row>
    <row r="493" spans="1:4" x14ac:dyDescent="0.2">
      <c r="A493" s="95">
        <v>307</v>
      </c>
      <c r="B493" s="96">
        <v>1092</v>
      </c>
      <c r="C493" s="97" t="s">
        <v>292</v>
      </c>
      <c r="D493" s="98">
        <v>2</v>
      </c>
    </row>
    <row r="494" spans="1:4" x14ac:dyDescent="0.2">
      <c r="A494" s="95">
        <v>308</v>
      </c>
      <c r="B494" s="96">
        <v>1093</v>
      </c>
      <c r="C494" s="97" t="s">
        <v>292</v>
      </c>
      <c r="D494" s="98">
        <v>1</v>
      </c>
    </row>
    <row r="495" spans="1:4" x14ac:dyDescent="0.2">
      <c r="A495" s="95">
        <v>308</v>
      </c>
      <c r="B495" s="96">
        <v>1094</v>
      </c>
      <c r="C495" s="97" t="s">
        <v>292</v>
      </c>
      <c r="D495" s="98">
        <v>2</v>
      </c>
    </row>
    <row r="496" spans="1:4" x14ac:dyDescent="0.2">
      <c r="A496" s="95">
        <v>309</v>
      </c>
      <c r="B496" s="96">
        <v>1098</v>
      </c>
      <c r="C496" s="97" t="s">
        <v>293</v>
      </c>
      <c r="D496" s="98">
        <v>1</v>
      </c>
    </row>
    <row r="497" spans="1:4" x14ac:dyDescent="0.2">
      <c r="A497" s="95">
        <v>309</v>
      </c>
      <c r="B497" s="96">
        <v>1099</v>
      </c>
      <c r="C497" s="97" t="s">
        <v>293</v>
      </c>
      <c r="D497" s="98">
        <v>1</v>
      </c>
    </row>
    <row r="498" spans="1:4" x14ac:dyDescent="0.2">
      <c r="A498" s="95">
        <v>310</v>
      </c>
      <c r="B498" s="96">
        <v>1155</v>
      </c>
      <c r="C498" s="97" t="s">
        <v>294</v>
      </c>
      <c r="D498" s="98">
        <v>2</v>
      </c>
    </row>
    <row r="499" spans="1:4" x14ac:dyDescent="0.2">
      <c r="A499" s="95">
        <v>310</v>
      </c>
      <c r="B499" s="96">
        <v>1156</v>
      </c>
      <c r="C499" s="97" t="s">
        <v>294</v>
      </c>
      <c r="D499" s="98">
        <v>1</v>
      </c>
    </row>
    <row r="500" spans="1:4" x14ac:dyDescent="0.2">
      <c r="A500" s="95">
        <v>312</v>
      </c>
      <c r="B500" s="96">
        <v>1154</v>
      </c>
      <c r="C500" s="97" t="s">
        <v>295</v>
      </c>
      <c r="D500" s="98">
        <v>2</v>
      </c>
    </row>
    <row r="501" spans="1:4" x14ac:dyDescent="0.2">
      <c r="A501" s="95">
        <v>313</v>
      </c>
      <c r="B501" s="96">
        <v>1006</v>
      </c>
      <c r="C501" s="97" t="s">
        <v>296</v>
      </c>
      <c r="D501" s="98" t="s">
        <v>219</v>
      </c>
    </row>
    <row r="502" spans="1:4" x14ac:dyDescent="0.2">
      <c r="A502" s="95">
        <v>314</v>
      </c>
      <c r="B502" s="96">
        <v>104</v>
      </c>
      <c r="C502" s="97" t="s">
        <v>297</v>
      </c>
      <c r="D502" s="98" t="s">
        <v>457</v>
      </c>
    </row>
    <row r="503" spans="1:4" x14ac:dyDescent="0.2">
      <c r="A503" s="95">
        <v>315</v>
      </c>
      <c r="B503" s="96">
        <v>178</v>
      </c>
      <c r="C503" s="97" t="s">
        <v>298</v>
      </c>
      <c r="D503" s="98" t="s">
        <v>457</v>
      </c>
    </row>
    <row r="504" spans="1:4" x14ac:dyDescent="0.2">
      <c r="A504" s="95">
        <v>315</v>
      </c>
      <c r="B504" s="96">
        <v>227</v>
      </c>
      <c r="C504" s="97" t="s">
        <v>298</v>
      </c>
      <c r="D504" s="98" t="s">
        <v>457</v>
      </c>
    </row>
    <row r="505" spans="1:4" x14ac:dyDescent="0.2">
      <c r="A505" s="95">
        <v>316</v>
      </c>
      <c r="B505" s="96">
        <v>53</v>
      </c>
      <c r="C505" s="97" t="s">
        <v>299</v>
      </c>
      <c r="D505" s="98">
        <v>2</v>
      </c>
    </row>
    <row r="506" spans="1:4" x14ac:dyDescent="0.2">
      <c r="A506" s="95">
        <v>316</v>
      </c>
      <c r="B506" s="96">
        <v>198</v>
      </c>
      <c r="C506" s="97" t="s">
        <v>299</v>
      </c>
      <c r="D506" s="98">
        <v>1</v>
      </c>
    </row>
    <row r="507" spans="1:4" x14ac:dyDescent="0.2">
      <c r="A507" s="95">
        <v>317</v>
      </c>
      <c r="B507" s="96">
        <v>70</v>
      </c>
      <c r="C507" s="97" t="s">
        <v>299</v>
      </c>
      <c r="D507" s="98" t="s">
        <v>462</v>
      </c>
    </row>
    <row r="508" spans="1:4" x14ac:dyDescent="0.2">
      <c r="A508" s="95">
        <v>317</v>
      </c>
      <c r="B508" s="96">
        <v>183</v>
      </c>
      <c r="C508" s="97" t="s">
        <v>299</v>
      </c>
      <c r="D508" s="98" t="s">
        <v>463</v>
      </c>
    </row>
    <row r="509" spans="1:4" x14ac:dyDescent="0.2">
      <c r="A509" s="95">
        <v>318</v>
      </c>
      <c r="B509" s="96">
        <v>74</v>
      </c>
      <c r="C509" s="97" t="s">
        <v>299</v>
      </c>
      <c r="D509" s="98">
        <v>1</v>
      </c>
    </row>
    <row r="510" spans="1:4" x14ac:dyDescent="0.2">
      <c r="A510" s="95">
        <v>318</v>
      </c>
      <c r="B510" s="96">
        <v>180</v>
      </c>
      <c r="C510" s="97" t="s">
        <v>299</v>
      </c>
      <c r="D510" s="98">
        <v>1</v>
      </c>
    </row>
    <row r="511" spans="1:4" x14ac:dyDescent="0.2">
      <c r="A511" s="95">
        <v>319</v>
      </c>
      <c r="B511" s="96">
        <v>71</v>
      </c>
      <c r="C511" s="97" t="s">
        <v>300</v>
      </c>
      <c r="D511" s="98" t="s">
        <v>466</v>
      </c>
    </row>
    <row r="512" spans="1:4" x14ac:dyDescent="0.2">
      <c r="A512" s="95">
        <v>319</v>
      </c>
      <c r="B512" s="96">
        <v>183</v>
      </c>
      <c r="C512" s="97" t="s">
        <v>300</v>
      </c>
      <c r="D512" s="98" t="s">
        <v>464</v>
      </c>
    </row>
    <row r="513" spans="1:4" x14ac:dyDescent="0.2">
      <c r="A513" s="95">
        <v>320</v>
      </c>
      <c r="B513" s="96">
        <v>72</v>
      </c>
      <c r="C513" s="97" t="s">
        <v>299</v>
      </c>
      <c r="D513" s="98">
        <v>2</v>
      </c>
    </row>
    <row r="514" spans="1:4" x14ac:dyDescent="0.2">
      <c r="A514" s="95">
        <v>320</v>
      </c>
      <c r="B514" s="96">
        <v>184</v>
      </c>
      <c r="C514" s="97" t="s">
        <v>299</v>
      </c>
      <c r="D514" s="98">
        <v>1</v>
      </c>
    </row>
    <row r="515" spans="1:4" x14ac:dyDescent="0.2">
      <c r="A515" s="95">
        <v>321</v>
      </c>
      <c r="B515" s="96">
        <v>1004</v>
      </c>
      <c r="C515" s="97" t="s">
        <v>299</v>
      </c>
      <c r="D515" s="98">
        <v>1</v>
      </c>
    </row>
    <row r="516" spans="1:4" x14ac:dyDescent="0.2">
      <c r="A516" s="95">
        <v>321</v>
      </c>
      <c r="B516" s="96">
        <v>1005</v>
      </c>
      <c r="C516" s="97" t="s">
        <v>299</v>
      </c>
      <c r="D516" s="98">
        <v>1</v>
      </c>
    </row>
    <row r="517" spans="1:4" x14ac:dyDescent="0.2">
      <c r="A517" s="95">
        <v>322</v>
      </c>
      <c r="B517" s="96">
        <v>1073</v>
      </c>
      <c r="C517" s="97" t="s">
        <v>299</v>
      </c>
      <c r="D517" s="98">
        <v>1</v>
      </c>
    </row>
    <row r="518" spans="1:4" x14ac:dyDescent="0.2">
      <c r="A518" s="95">
        <v>322</v>
      </c>
      <c r="B518" s="96">
        <v>1074</v>
      </c>
      <c r="C518" s="97" t="s">
        <v>299</v>
      </c>
      <c r="D518" s="98">
        <v>1</v>
      </c>
    </row>
    <row r="519" spans="1:4" x14ac:dyDescent="0.2">
      <c r="A519" s="95">
        <v>323</v>
      </c>
      <c r="B519" s="96">
        <v>1284</v>
      </c>
      <c r="C519" s="97" t="s">
        <v>299</v>
      </c>
      <c r="D519" s="98">
        <v>1</v>
      </c>
    </row>
    <row r="520" spans="1:4" x14ac:dyDescent="0.2">
      <c r="A520" s="95">
        <v>323</v>
      </c>
      <c r="B520" s="96">
        <v>1285</v>
      </c>
      <c r="C520" s="97" t="s">
        <v>299</v>
      </c>
      <c r="D520" s="98" t="s">
        <v>465</v>
      </c>
    </row>
    <row r="521" spans="1:4" x14ac:dyDescent="0.2">
      <c r="A521" s="95">
        <v>324</v>
      </c>
      <c r="B521" s="96">
        <v>1007</v>
      </c>
      <c r="C521" s="97" t="s">
        <v>301</v>
      </c>
      <c r="D521" s="98">
        <v>1</v>
      </c>
    </row>
    <row r="522" spans="1:4" x14ac:dyDescent="0.2">
      <c r="A522" s="95">
        <v>325</v>
      </c>
      <c r="B522" s="96">
        <v>183</v>
      </c>
      <c r="C522" s="97" t="s">
        <v>302</v>
      </c>
      <c r="D522" s="98">
        <v>1</v>
      </c>
    </row>
    <row r="523" spans="1:4" x14ac:dyDescent="0.2">
      <c r="A523" s="95">
        <v>325</v>
      </c>
      <c r="B523" s="96">
        <v>186</v>
      </c>
      <c r="C523" s="97" t="s">
        <v>302</v>
      </c>
      <c r="D523" s="98">
        <v>1</v>
      </c>
    </row>
    <row r="524" spans="1:4" x14ac:dyDescent="0.2">
      <c r="A524" s="95">
        <v>325</v>
      </c>
      <c r="B524" s="96">
        <v>206</v>
      </c>
      <c r="C524" s="97" t="s">
        <v>302</v>
      </c>
      <c r="D524" s="98">
        <v>2</v>
      </c>
    </row>
    <row r="525" spans="1:4" x14ac:dyDescent="0.2">
      <c r="A525" s="95">
        <v>326</v>
      </c>
      <c r="B525" s="96">
        <v>184</v>
      </c>
      <c r="C525" s="97" t="s">
        <v>302</v>
      </c>
      <c r="D525" s="98">
        <v>1</v>
      </c>
    </row>
    <row r="526" spans="1:4" x14ac:dyDescent="0.2">
      <c r="A526" s="95">
        <v>326</v>
      </c>
      <c r="B526" s="96">
        <v>187</v>
      </c>
      <c r="C526" s="97" t="s">
        <v>302</v>
      </c>
      <c r="D526" s="98" t="s">
        <v>462</v>
      </c>
    </row>
    <row r="527" spans="1:4" x14ac:dyDescent="0.2">
      <c r="A527" s="95">
        <v>326</v>
      </c>
      <c r="B527" s="96">
        <v>210</v>
      </c>
      <c r="C527" s="97" t="s">
        <v>302</v>
      </c>
      <c r="D527" s="98" t="s">
        <v>462</v>
      </c>
    </row>
    <row r="528" spans="1:4" x14ac:dyDescent="0.2">
      <c r="A528" s="95">
        <v>327</v>
      </c>
      <c r="B528" s="96">
        <v>135</v>
      </c>
      <c r="C528" s="97" t="s">
        <v>302</v>
      </c>
      <c r="D528" s="98">
        <v>1</v>
      </c>
    </row>
    <row r="529" spans="1:4" x14ac:dyDescent="0.2">
      <c r="A529" s="95">
        <v>327</v>
      </c>
      <c r="B529" s="96">
        <v>198</v>
      </c>
      <c r="C529" s="97" t="s">
        <v>302</v>
      </c>
      <c r="D529" s="98">
        <v>1</v>
      </c>
    </row>
    <row r="530" spans="1:4" x14ac:dyDescent="0.2">
      <c r="A530" s="95">
        <v>327</v>
      </c>
      <c r="B530" s="96">
        <v>222</v>
      </c>
      <c r="C530" s="97" t="s">
        <v>302</v>
      </c>
      <c r="D530" s="98">
        <v>2</v>
      </c>
    </row>
    <row r="531" spans="1:4" x14ac:dyDescent="0.2">
      <c r="A531" s="95">
        <v>328</v>
      </c>
      <c r="B531" s="96">
        <v>1022</v>
      </c>
      <c r="C531" s="97" t="s">
        <v>302</v>
      </c>
      <c r="D531" s="98">
        <v>1</v>
      </c>
    </row>
    <row r="532" spans="1:4" x14ac:dyDescent="0.2">
      <c r="A532" s="95">
        <v>328</v>
      </c>
      <c r="B532" s="96">
        <v>1023</v>
      </c>
      <c r="C532" s="97" t="s">
        <v>302</v>
      </c>
      <c r="D532" s="98">
        <v>2</v>
      </c>
    </row>
    <row r="533" spans="1:4" x14ac:dyDescent="0.2">
      <c r="A533" s="95">
        <v>328</v>
      </c>
      <c r="B533" s="96">
        <v>1024</v>
      </c>
      <c r="C533" s="97" t="s">
        <v>302</v>
      </c>
      <c r="D533" s="98">
        <v>1</v>
      </c>
    </row>
    <row r="534" spans="1:4" x14ac:dyDescent="0.2">
      <c r="A534" s="95">
        <v>329</v>
      </c>
      <c r="B534" s="96">
        <v>1027</v>
      </c>
      <c r="C534" s="97" t="s">
        <v>302</v>
      </c>
      <c r="D534" s="98">
        <v>1</v>
      </c>
    </row>
    <row r="535" spans="1:4" x14ac:dyDescent="0.2">
      <c r="A535" s="95">
        <v>329</v>
      </c>
      <c r="B535" s="96">
        <v>1028</v>
      </c>
      <c r="C535" s="97" t="s">
        <v>302</v>
      </c>
      <c r="D535" s="98">
        <v>2</v>
      </c>
    </row>
    <row r="536" spans="1:4" x14ac:dyDescent="0.2">
      <c r="A536" s="95">
        <v>329</v>
      </c>
      <c r="B536" s="96">
        <v>1029</v>
      </c>
      <c r="C536" s="97" t="s">
        <v>302</v>
      </c>
      <c r="D536" s="98">
        <v>1</v>
      </c>
    </row>
    <row r="537" spans="1:4" x14ac:dyDescent="0.2">
      <c r="A537" s="95">
        <v>330</v>
      </c>
      <c r="B537" s="96">
        <v>1075</v>
      </c>
      <c r="C537" s="97" t="s">
        <v>302</v>
      </c>
      <c r="D537" s="98">
        <v>2</v>
      </c>
    </row>
    <row r="538" spans="1:4" x14ac:dyDescent="0.2">
      <c r="A538" s="95">
        <v>330</v>
      </c>
      <c r="B538" s="96">
        <v>1076</v>
      </c>
      <c r="C538" s="97" t="s">
        <v>302</v>
      </c>
      <c r="D538" s="98">
        <v>1</v>
      </c>
    </row>
    <row r="539" spans="1:4" x14ac:dyDescent="0.2">
      <c r="A539" s="95">
        <v>330</v>
      </c>
      <c r="B539" s="96">
        <v>1077</v>
      </c>
      <c r="C539" s="97" t="s">
        <v>302</v>
      </c>
      <c r="D539" s="98">
        <v>2</v>
      </c>
    </row>
    <row r="540" spans="1:4" x14ac:dyDescent="0.2">
      <c r="A540" s="95">
        <v>331</v>
      </c>
      <c r="B540" s="96">
        <v>1167</v>
      </c>
      <c r="C540" s="97" t="s">
        <v>302</v>
      </c>
      <c r="D540" s="98">
        <v>1</v>
      </c>
    </row>
    <row r="541" spans="1:4" x14ac:dyDescent="0.2">
      <c r="A541" s="95">
        <v>331</v>
      </c>
      <c r="B541" s="96">
        <v>1168</v>
      </c>
      <c r="C541" s="97" t="s">
        <v>302</v>
      </c>
      <c r="D541" s="98">
        <v>1</v>
      </c>
    </row>
    <row r="542" spans="1:4" x14ac:dyDescent="0.2">
      <c r="A542" s="95">
        <v>331</v>
      </c>
      <c r="B542" s="96">
        <v>1169</v>
      </c>
      <c r="C542" s="97" t="s">
        <v>302</v>
      </c>
      <c r="D542" s="98">
        <v>2</v>
      </c>
    </row>
    <row r="543" spans="1:4" x14ac:dyDescent="0.2">
      <c r="A543" s="95">
        <v>332</v>
      </c>
      <c r="B543" s="96">
        <v>1235</v>
      </c>
      <c r="C543" s="97" t="s">
        <v>302</v>
      </c>
      <c r="D543" s="98" t="s">
        <v>457</v>
      </c>
    </row>
    <row r="544" spans="1:4" x14ac:dyDescent="0.2">
      <c r="A544" s="95">
        <v>332</v>
      </c>
      <c r="B544" s="96">
        <v>1236</v>
      </c>
      <c r="C544" s="97" t="s">
        <v>302</v>
      </c>
      <c r="D544" s="98" t="s">
        <v>457</v>
      </c>
    </row>
    <row r="545" spans="1:4" x14ac:dyDescent="0.2">
      <c r="A545" s="95">
        <v>332</v>
      </c>
      <c r="B545" s="96">
        <v>1237</v>
      </c>
      <c r="C545" s="97" t="s">
        <v>302</v>
      </c>
      <c r="D545" s="98" t="s">
        <v>457</v>
      </c>
    </row>
    <row r="546" spans="1:4" x14ac:dyDescent="0.2">
      <c r="A546" s="95">
        <v>334</v>
      </c>
      <c r="B546" s="96">
        <v>1131</v>
      </c>
      <c r="C546" s="97" t="s">
        <v>303</v>
      </c>
      <c r="D546" s="98">
        <v>1</v>
      </c>
    </row>
    <row r="547" spans="1:4" x14ac:dyDescent="0.2">
      <c r="A547" s="95">
        <v>334</v>
      </c>
      <c r="B547" s="96">
        <v>1132</v>
      </c>
      <c r="C547" s="97" t="s">
        <v>303</v>
      </c>
      <c r="D547" s="98">
        <v>1</v>
      </c>
    </row>
    <row r="548" spans="1:4" x14ac:dyDescent="0.2">
      <c r="A548" s="95">
        <v>334</v>
      </c>
      <c r="B548" s="96">
        <v>1133</v>
      </c>
      <c r="C548" s="97" t="s">
        <v>303</v>
      </c>
      <c r="D548" s="98">
        <v>2</v>
      </c>
    </row>
    <row r="549" spans="1:4" x14ac:dyDescent="0.2">
      <c r="A549" s="95">
        <v>335</v>
      </c>
      <c r="B549" s="96">
        <v>18</v>
      </c>
      <c r="C549" s="97" t="s">
        <v>304</v>
      </c>
      <c r="D549" s="98">
        <v>1</v>
      </c>
    </row>
    <row r="550" spans="1:4" x14ac:dyDescent="0.2">
      <c r="A550" s="95">
        <v>336</v>
      </c>
      <c r="B550" s="96">
        <v>20</v>
      </c>
      <c r="C550" s="97" t="s">
        <v>305</v>
      </c>
      <c r="D550" s="98" t="s">
        <v>219</v>
      </c>
    </row>
    <row r="551" spans="1:4" x14ac:dyDescent="0.2">
      <c r="A551" s="95">
        <v>337</v>
      </c>
      <c r="B551" s="96">
        <v>82</v>
      </c>
      <c r="C551" s="97" t="s">
        <v>305</v>
      </c>
      <c r="D551" s="98" t="s">
        <v>219</v>
      </c>
    </row>
    <row r="552" spans="1:4" x14ac:dyDescent="0.2">
      <c r="A552" s="95">
        <v>338</v>
      </c>
      <c r="B552" s="96">
        <v>1365</v>
      </c>
      <c r="C552" s="97" t="s">
        <v>306</v>
      </c>
      <c r="D552" s="98">
        <v>2</v>
      </c>
    </row>
    <row r="553" spans="1:4" x14ac:dyDescent="0.2">
      <c r="A553" s="95">
        <v>338</v>
      </c>
      <c r="B553" s="96">
        <v>1366</v>
      </c>
      <c r="C553" s="97" t="s">
        <v>306</v>
      </c>
      <c r="D553" s="98">
        <v>1</v>
      </c>
    </row>
    <row r="554" spans="1:4" x14ac:dyDescent="0.2">
      <c r="A554" s="95">
        <v>339</v>
      </c>
      <c r="B554" s="96">
        <v>1025</v>
      </c>
      <c r="C554" s="97" t="s">
        <v>307</v>
      </c>
      <c r="D554" s="98" t="s">
        <v>219</v>
      </c>
    </row>
    <row r="555" spans="1:4" x14ac:dyDescent="0.2">
      <c r="A555" s="95">
        <v>340</v>
      </c>
      <c r="B555" s="96">
        <v>1030</v>
      </c>
      <c r="C555" s="97" t="s">
        <v>307</v>
      </c>
      <c r="D555" s="98" t="s">
        <v>219</v>
      </c>
    </row>
    <row r="556" spans="1:4" x14ac:dyDescent="0.2">
      <c r="A556" s="95">
        <v>341</v>
      </c>
      <c r="B556" s="96">
        <v>1032</v>
      </c>
      <c r="C556" s="97" t="s">
        <v>307</v>
      </c>
      <c r="D556" s="98" t="s">
        <v>219</v>
      </c>
    </row>
    <row r="557" spans="1:4" x14ac:dyDescent="0.2">
      <c r="A557" s="95">
        <v>342</v>
      </c>
      <c r="B557" s="96">
        <v>1123</v>
      </c>
      <c r="C557" s="97" t="s">
        <v>308</v>
      </c>
      <c r="D557" s="98">
        <v>2</v>
      </c>
    </row>
    <row r="558" spans="1:4" x14ac:dyDescent="0.2">
      <c r="A558" s="95">
        <v>343</v>
      </c>
      <c r="B558" s="96">
        <v>1134</v>
      </c>
      <c r="C558" s="97" t="s">
        <v>309</v>
      </c>
      <c r="D558" s="98">
        <v>2</v>
      </c>
    </row>
    <row r="559" spans="1:4" x14ac:dyDescent="0.2">
      <c r="A559" s="95">
        <v>344</v>
      </c>
      <c r="B559" s="96">
        <v>1135</v>
      </c>
      <c r="C559" s="97" t="s">
        <v>310</v>
      </c>
      <c r="D559" s="98">
        <v>1</v>
      </c>
    </row>
    <row r="560" spans="1:4" x14ac:dyDescent="0.2">
      <c r="A560" s="95">
        <v>344</v>
      </c>
      <c r="B560" s="96">
        <v>1136</v>
      </c>
      <c r="C560" s="97" t="s">
        <v>310</v>
      </c>
      <c r="D560" s="98" t="s">
        <v>219</v>
      </c>
    </row>
    <row r="561" spans="1:4" x14ac:dyDescent="0.2">
      <c r="A561" s="95">
        <v>344</v>
      </c>
      <c r="B561" s="96">
        <v>1137</v>
      </c>
      <c r="C561" s="97" t="s">
        <v>310</v>
      </c>
      <c r="D561" s="98">
        <v>2</v>
      </c>
    </row>
    <row r="562" spans="1:4" x14ac:dyDescent="0.2">
      <c r="A562" s="95">
        <v>345</v>
      </c>
      <c r="B562" s="96">
        <v>1138</v>
      </c>
      <c r="C562" s="97" t="s">
        <v>311</v>
      </c>
      <c r="D562" s="98">
        <v>2</v>
      </c>
    </row>
    <row r="563" spans="1:4" x14ac:dyDescent="0.2">
      <c r="A563" s="95">
        <v>346</v>
      </c>
      <c r="B563" s="96">
        <v>1130</v>
      </c>
      <c r="C563" s="97" t="s">
        <v>312</v>
      </c>
      <c r="D563" s="98" t="s">
        <v>459</v>
      </c>
    </row>
    <row r="564" spans="1:4" x14ac:dyDescent="0.2">
      <c r="A564" s="95">
        <v>347</v>
      </c>
      <c r="B564" s="96">
        <v>48</v>
      </c>
      <c r="C564" s="97" t="s">
        <v>313</v>
      </c>
      <c r="D564" s="98" t="s">
        <v>219</v>
      </c>
    </row>
    <row r="565" spans="1:4" x14ac:dyDescent="0.2">
      <c r="A565" s="95">
        <v>348</v>
      </c>
      <c r="B565" s="96">
        <v>49</v>
      </c>
      <c r="C565" s="97" t="s">
        <v>313</v>
      </c>
      <c r="D565" s="98" t="s">
        <v>219</v>
      </c>
    </row>
    <row r="566" spans="1:4" x14ac:dyDescent="0.2">
      <c r="A566" s="95">
        <v>349</v>
      </c>
      <c r="B566" s="96">
        <v>50</v>
      </c>
      <c r="C566" s="97" t="s">
        <v>257</v>
      </c>
      <c r="D566" s="98">
        <v>1</v>
      </c>
    </row>
    <row r="567" spans="1:4" x14ac:dyDescent="0.2">
      <c r="A567" s="95">
        <v>349</v>
      </c>
      <c r="B567" s="96">
        <v>222</v>
      </c>
      <c r="C567" s="97" t="s">
        <v>257</v>
      </c>
      <c r="D567" s="98">
        <v>2</v>
      </c>
    </row>
    <row r="568" spans="1:4" x14ac:dyDescent="0.2">
      <c r="A568" s="95">
        <v>350</v>
      </c>
      <c r="B568" s="96">
        <v>1047</v>
      </c>
      <c r="C568" s="97" t="s">
        <v>314</v>
      </c>
      <c r="D568" s="98" t="s">
        <v>219</v>
      </c>
    </row>
    <row r="569" spans="1:4" x14ac:dyDescent="0.2">
      <c r="A569" s="95">
        <v>351</v>
      </c>
      <c r="B569" s="96">
        <v>1082</v>
      </c>
      <c r="C569" s="97" t="s">
        <v>315</v>
      </c>
      <c r="D569" s="98">
        <v>1</v>
      </c>
    </row>
    <row r="570" spans="1:4" x14ac:dyDescent="0.2">
      <c r="A570" s="95">
        <v>352</v>
      </c>
      <c r="B570" s="96">
        <v>1097</v>
      </c>
      <c r="C570" s="97" t="s">
        <v>316</v>
      </c>
      <c r="D570" s="98">
        <v>1</v>
      </c>
    </row>
    <row r="571" spans="1:4" x14ac:dyDescent="0.2">
      <c r="A571" s="95">
        <v>353</v>
      </c>
      <c r="B571" s="96">
        <v>1103</v>
      </c>
      <c r="C571" s="97" t="s">
        <v>317</v>
      </c>
      <c r="D571" s="98">
        <v>1</v>
      </c>
    </row>
    <row r="572" spans="1:4" x14ac:dyDescent="0.2">
      <c r="A572" s="95">
        <v>354</v>
      </c>
      <c r="B572" s="96">
        <v>64</v>
      </c>
      <c r="C572" s="97" t="s">
        <v>233</v>
      </c>
      <c r="D572" s="98" t="s">
        <v>457</v>
      </c>
    </row>
    <row r="573" spans="1:4" x14ac:dyDescent="0.2">
      <c r="A573" s="95">
        <v>355</v>
      </c>
      <c r="B573" s="96">
        <v>1392</v>
      </c>
      <c r="C573" s="97" t="s">
        <v>318</v>
      </c>
      <c r="D573" s="98">
        <v>1</v>
      </c>
    </row>
    <row r="574" spans="1:4" x14ac:dyDescent="0.2">
      <c r="A574" s="95">
        <v>355</v>
      </c>
      <c r="B574" s="96">
        <v>1393</v>
      </c>
      <c r="C574" s="97" t="s">
        <v>318</v>
      </c>
      <c r="D574" s="98">
        <v>1</v>
      </c>
    </row>
    <row r="575" spans="1:4" x14ac:dyDescent="0.2">
      <c r="A575" s="95">
        <v>357</v>
      </c>
      <c r="B575" s="96">
        <v>1200</v>
      </c>
      <c r="C575" s="97" t="s">
        <v>319</v>
      </c>
      <c r="D575" s="98" t="s">
        <v>457</v>
      </c>
    </row>
    <row r="576" spans="1:4" x14ac:dyDescent="0.2">
      <c r="A576" s="95">
        <v>357</v>
      </c>
      <c r="B576" s="96">
        <v>1201</v>
      </c>
      <c r="C576" s="97" t="s">
        <v>319</v>
      </c>
      <c r="D576" s="98" t="s">
        <v>457</v>
      </c>
    </row>
    <row r="577" spans="1:4" x14ac:dyDescent="0.2">
      <c r="A577" s="95">
        <v>358</v>
      </c>
      <c r="B577" s="96">
        <v>1202</v>
      </c>
      <c r="C577" s="97" t="s">
        <v>319</v>
      </c>
      <c r="D577" s="98" t="s">
        <v>457</v>
      </c>
    </row>
    <row r="578" spans="1:4" x14ac:dyDescent="0.2">
      <c r="A578" s="95">
        <v>358</v>
      </c>
      <c r="B578" s="96">
        <v>1203</v>
      </c>
      <c r="C578" s="97" t="s">
        <v>319</v>
      </c>
      <c r="D578" s="98" t="s">
        <v>457</v>
      </c>
    </row>
    <row r="579" spans="1:4" x14ac:dyDescent="0.2">
      <c r="A579" s="95">
        <v>359</v>
      </c>
      <c r="B579" s="96">
        <v>1204</v>
      </c>
      <c r="C579" s="97" t="s">
        <v>319</v>
      </c>
      <c r="D579" s="98" t="s">
        <v>457</v>
      </c>
    </row>
    <row r="580" spans="1:4" x14ac:dyDescent="0.2">
      <c r="A580" s="95">
        <v>359</v>
      </c>
      <c r="B580" s="96">
        <v>1205</v>
      </c>
      <c r="C580" s="97" t="s">
        <v>319</v>
      </c>
      <c r="D580" s="98" t="s">
        <v>457</v>
      </c>
    </row>
    <row r="581" spans="1:4" x14ac:dyDescent="0.2">
      <c r="A581" s="95">
        <v>360</v>
      </c>
      <c r="B581" s="96">
        <v>1206</v>
      </c>
      <c r="C581" s="97" t="s">
        <v>319</v>
      </c>
      <c r="D581" s="98" t="s">
        <v>457</v>
      </c>
    </row>
    <row r="582" spans="1:4" x14ac:dyDescent="0.2">
      <c r="A582" s="95">
        <v>360</v>
      </c>
      <c r="B582" s="96">
        <v>1207</v>
      </c>
      <c r="C582" s="97" t="s">
        <v>319</v>
      </c>
      <c r="D582" s="98" t="s">
        <v>457</v>
      </c>
    </row>
    <row r="583" spans="1:4" x14ac:dyDescent="0.2">
      <c r="A583" s="95">
        <v>361</v>
      </c>
      <c r="B583" s="96">
        <v>1208</v>
      </c>
      <c r="C583" s="97" t="s">
        <v>319</v>
      </c>
      <c r="D583" s="98" t="s">
        <v>457</v>
      </c>
    </row>
    <row r="584" spans="1:4" x14ac:dyDescent="0.2">
      <c r="A584" s="95">
        <v>361</v>
      </c>
      <c r="B584" s="96">
        <v>1209</v>
      </c>
      <c r="C584" s="97" t="s">
        <v>319</v>
      </c>
      <c r="D584" s="98" t="s">
        <v>457</v>
      </c>
    </row>
    <row r="585" spans="1:4" x14ac:dyDescent="0.2">
      <c r="A585" s="95">
        <v>362</v>
      </c>
      <c r="B585" s="96">
        <v>1210</v>
      </c>
      <c r="C585" s="97" t="s">
        <v>319</v>
      </c>
      <c r="D585" s="98" t="s">
        <v>457</v>
      </c>
    </row>
    <row r="586" spans="1:4" x14ac:dyDescent="0.2">
      <c r="A586" s="95">
        <v>362</v>
      </c>
      <c r="B586" s="96">
        <v>1211</v>
      </c>
      <c r="C586" s="97" t="s">
        <v>319</v>
      </c>
      <c r="D586" s="98" t="s">
        <v>457</v>
      </c>
    </row>
    <row r="587" spans="1:4" x14ac:dyDescent="0.2">
      <c r="A587" s="95">
        <v>363</v>
      </c>
      <c r="B587" s="96">
        <v>1212</v>
      </c>
      <c r="C587" s="97" t="s">
        <v>319</v>
      </c>
      <c r="D587" s="98" t="s">
        <v>457</v>
      </c>
    </row>
    <row r="588" spans="1:4" x14ac:dyDescent="0.2">
      <c r="A588" s="95">
        <v>363</v>
      </c>
      <c r="B588" s="96">
        <v>1213</v>
      </c>
      <c r="C588" s="97" t="s">
        <v>319</v>
      </c>
      <c r="D588" s="98" t="s">
        <v>457</v>
      </c>
    </row>
    <row r="589" spans="1:4" x14ac:dyDescent="0.2">
      <c r="A589" s="95">
        <v>364</v>
      </c>
      <c r="B589" s="96">
        <v>1214</v>
      </c>
      <c r="C589" s="97" t="s">
        <v>319</v>
      </c>
      <c r="D589" s="98" t="s">
        <v>457</v>
      </c>
    </row>
    <row r="590" spans="1:4" x14ac:dyDescent="0.2">
      <c r="A590" s="95">
        <v>364</v>
      </c>
      <c r="B590" s="96">
        <v>1215</v>
      </c>
      <c r="C590" s="97" t="s">
        <v>319</v>
      </c>
      <c r="D590" s="98" t="s">
        <v>457</v>
      </c>
    </row>
    <row r="591" spans="1:4" x14ac:dyDescent="0.2">
      <c r="A591" s="95">
        <v>365</v>
      </c>
      <c r="B591" s="96">
        <v>1216</v>
      </c>
      <c r="C591" s="97" t="s">
        <v>319</v>
      </c>
      <c r="D591" s="98" t="s">
        <v>457</v>
      </c>
    </row>
    <row r="592" spans="1:4" x14ac:dyDescent="0.2">
      <c r="A592" s="95">
        <v>365</v>
      </c>
      <c r="B592" s="96">
        <v>1217</v>
      </c>
      <c r="C592" s="97" t="s">
        <v>319</v>
      </c>
      <c r="D592" s="98" t="s">
        <v>457</v>
      </c>
    </row>
    <row r="593" spans="1:4" x14ac:dyDescent="0.2">
      <c r="A593" s="95">
        <v>366</v>
      </c>
      <c r="B593" s="96">
        <v>1218</v>
      </c>
      <c r="C593" s="97" t="s">
        <v>319</v>
      </c>
      <c r="D593" s="98" t="s">
        <v>457</v>
      </c>
    </row>
    <row r="594" spans="1:4" x14ac:dyDescent="0.2">
      <c r="A594" s="95">
        <v>366</v>
      </c>
      <c r="B594" s="96">
        <v>1219</v>
      </c>
      <c r="C594" s="97" t="s">
        <v>319</v>
      </c>
      <c r="D594" s="98" t="s">
        <v>457</v>
      </c>
    </row>
    <row r="595" spans="1:4" x14ac:dyDescent="0.2">
      <c r="A595" s="95">
        <v>367</v>
      </c>
      <c r="B595" s="96">
        <v>1220</v>
      </c>
      <c r="C595" s="97" t="s">
        <v>319</v>
      </c>
      <c r="D595" s="98" t="s">
        <v>457</v>
      </c>
    </row>
    <row r="596" spans="1:4" x14ac:dyDescent="0.2">
      <c r="A596" s="95">
        <v>367</v>
      </c>
      <c r="B596" s="96">
        <v>1221</v>
      </c>
      <c r="C596" s="97" t="s">
        <v>319</v>
      </c>
      <c r="D596" s="98" t="s">
        <v>457</v>
      </c>
    </row>
    <row r="597" spans="1:4" x14ac:dyDescent="0.2">
      <c r="A597" s="95">
        <v>368</v>
      </c>
      <c r="B597" s="96">
        <v>1222</v>
      </c>
      <c r="C597" s="97" t="s">
        <v>319</v>
      </c>
      <c r="D597" s="98" t="s">
        <v>457</v>
      </c>
    </row>
    <row r="598" spans="1:4" x14ac:dyDescent="0.2">
      <c r="A598" s="95">
        <v>368</v>
      </c>
      <c r="B598" s="96">
        <v>1223</v>
      </c>
      <c r="C598" s="97" t="s">
        <v>319</v>
      </c>
      <c r="D598" s="98" t="s">
        <v>457</v>
      </c>
    </row>
    <row r="599" spans="1:4" x14ac:dyDescent="0.2">
      <c r="A599" s="95">
        <v>369</v>
      </c>
      <c r="B599" s="96">
        <v>1224</v>
      </c>
      <c r="C599" s="97" t="s">
        <v>319</v>
      </c>
      <c r="D599" s="98" t="s">
        <v>457</v>
      </c>
    </row>
    <row r="600" spans="1:4" x14ac:dyDescent="0.2">
      <c r="A600" s="95">
        <v>369</v>
      </c>
      <c r="B600" s="96">
        <v>1225</v>
      </c>
      <c r="C600" s="97" t="s">
        <v>319</v>
      </c>
      <c r="D600" s="98" t="s">
        <v>457</v>
      </c>
    </row>
    <row r="601" spans="1:4" x14ac:dyDescent="0.2">
      <c r="A601" s="95">
        <v>370</v>
      </c>
      <c r="B601" s="96">
        <v>1226</v>
      </c>
      <c r="C601" s="97" t="s">
        <v>319</v>
      </c>
      <c r="D601" s="98" t="s">
        <v>457</v>
      </c>
    </row>
    <row r="602" spans="1:4" x14ac:dyDescent="0.2">
      <c r="A602" s="95">
        <v>370</v>
      </c>
      <c r="B602" s="96">
        <v>1227</v>
      </c>
      <c r="C602" s="97" t="s">
        <v>319</v>
      </c>
      <c r="D602" s="98" t="s">
        <v>457</v>
      </c>
    </row>
    <row r="603" spans="1:4" x14ac:dyDescent="0.2">
      <c r="A603" s="95">
        <v>371</v>
      </c>
      <c r="B603" s="96">
        <v>1228</v>
      </c>
      <c r="C603" s="97" t="s">
        <v>319</v>
      </c>
      <c r="D603" s="98" t="s">
        <v>457</v>
      </c>
    </row>
    <row r="604" spans="1:4" x14ac:dyDescent="0.2">
      <c r="A604" s="95">
        <v>371</v>
      </c>
      <c r="B604" s="96">
        <v>1229</v>
      </c>
      <c r="C604" s="97" t="s">
        <v>319</v>
      </c>
      <c r="D604" s="98" t="s">
        <v>457</v>
      </c>
    </row>
    <row r="605" spans="1:4" x14ac:dyDescent="0.2">
      <c r="A605" s="95">
        <v>372</v>
      </c>
      <c r="B605" s="96">
        <v>1180</v>
      </c>
      <c r="C605" s="97" t="s">
        <v>299</v>
      </c>
      <c r="D605" s="98">
        <v>1</v>
      </c>
    </row>
    <row r="606" spans="1:4" x14ac:dyDescent="0.2">
      <c r="A606" s="95">
        <v>372</v>
      </c>
      <c r="B606" s="96">
        <v>1181</v>
      </c>
      <c r="C606" s="97" t="s">
        <v>299</v>
      </c>
      <c r="D606" s="98">
        <v>1</v>
      </c>
    </row>
    <row r="607" spans="1:4" x14ac:dyDescent="0.2">
      <c r="A607" s="95">
        <v>373</v>
      </c>
      <c r="B607" s="96">
        <v>31</v>
      </c>
      <c r="C607" s="97" t="s">
        <v>245</v>
      </c>
      <c r="D607" s="98">
        <v>1</v>
      </c>
    </row>
    <row r="608" spans="1:4" x14ac:dyDescent="0.2">
      <c r="A608" s="95">
        <v>373</v>
      </c>
      <c r="B608" s="96">
        <v>213</v>
      </c>
      <c r="C608" s="97" t="s">
        <v>245</v>
      </c>
      <c r="D608" s="98">
        <v>2</v>
      </c>
    </row>
    <row r="609" spans="1:4" x14ac:dyDescent="0.2">
      <c r="A609" s="95">
        <v>374</v>
      </c>
      <c r="B609" s="96">
        <v>30</v>
      </c>
      <c r="C609" s="97" t="s">
        <v>245</v>
      </c>
      <c r="D609" s="98">
        <v>1</v>
      </c>
    </row>
    <row r="610" spans="1:4" x14ac:dyDescent="0.2">
      <c r="A610" s="95">
        <v>374</v>
      </c>
      <c r="B610" s="96">
        <v>214</v>
      </c>
      <c r="C610" s="97" t="s">
        <v>245</v>
      </c>
      <c r="D610" s="98">
        <v>2</v>
      </c>
    </row>
    <row r="611" spans="1:4" x14ac:dyDescent="0.2">
      <c r="A611" s="95">
        <v>375</v>
      </c>
      <c r="B611" s="96">
        <v>32</v>
      </c>
      <c r="C611" s="97" t="s">
        <v>245</v>
      </c>
      <c r="D611" s="98">
        <v>1</v>
      </c>
    </row>
    <row r="612" spans="1:4" x14ac:dyDescent="0.2">
      <c r="A612" s="95">
        <v>375</v>
      </c>
      <c r="B612" s="96">
        <v>215</v>
      </c>
      <c r="C612" s="97" t="s">
        <v>245</v>
      </c>
      <c r="D612" s="98">
        <v>2</v>
      </c>
    </row>
    <row r="613" spans="1:4" x14ac:dyDescent="0.2">
      <c r="A613" s="95">
        <v>376</v>
      </c>
      <c r="B613" s="96">
        <v>34</v>
      </c>
      <c r="C613" s="97" t="s">
        <v>245</v>
      </c>
      <c r="D613" s="98">
        <v>1</v>
      </c>
    </row>
    <row r="614" spans="1:4" x14ac:dyDescent="0.2">
      <c r="A614" s="95">
        <v>376</v>
      </c>
      <c r="B614" s="96">
        <v>216</v>
      </c>
      <c r="C614" s="97" t="s">
        <v>245</v>
      </c>
      <c r="D614" s="98">
        <v>2</v>
      </c>
    </row>
    <row r="615" spans="1:4" x14ac:dyDescent="0.2">
      <c r="A615" s="95">
        <v>377</v>
      </c>
      <c r="B615" s="96">
        <v>35</v>
      </c>
      <c r="C615" s="97" t="s">
        <v>245</v>
      </c>
      <c r="D615" s="98">
        <v>1</v>
      </c>
    </row>
    <row r="616" spans="1:4" x14ac:dyDescent="0.2">
      <c r="A616" s="95">
        <v>377</v>
      </c>
      <c r="B616" s="96">
        <v>217</v>
      </c>
      <c r="C616" s="97" t="s">
        <v>245</v>
      </c>
      <c r="D616" s="98">
        <v>2</v>
      </c>
    </row>
    <row r="617" spans="1:4" x14ac:dyDescent="0.2">
      <c r="A617" s="95">
        <v>378</v>
      </c>
      <c r="B617" s="96">
        <v>36</v>
      </c>
      <c r="C617" s="97" t="s">
        <v>245</v>
      </c>
      <c r="D617" s="98">
        <v>1</v>
      </c>
    </row>
    <row r="618" spans="1:4" x14ac:dyDescent="0.2">
      <c r="A618" s="95">
        <v>378</v>
      </c>
      <c r="B618" s="96">
        <v>218</v>
      </c>
      <c r="C618" s="97" t="s">
        <v>245</v>
      </c>
      <c r="D618" s="98">
        <v>2</v>
      </c>
    </row>
    <row r="619" spans="1:4" x14ac:dyDescent="0.2">
      <c r="A619" s="95">
        <v>380</v>
      </c>
      <c r="B619" s="96">
        <v>37</v>
      </c>
      <c r="C619" s="97" t="s">
        <v>245</v>
      </c>
      <c r="D619" s="98">
        <v>1</v>
      </c>
    </row>
    <row r="620" spans="1:4" x14ac:dyDescent="0.2">
      <c r="A620" s="95">
        <v>380</v>
      </c>
      <c r="B620" s="96">
        <v>220</v>
      </c>
      <c r="C620" s="97" t="s">
        <v>245</v>
      </c>
      <c r="D620" s="98">
        <v>2</v>
      </c>
    </row>
    <row r="621" spans="1:4" x14ac:dyDescent="0.2">
      <c r="A621" s="95">
        <v>381</v>
      </c>
      <c r="B621" s="96">
        <v>1170</v>
      </c>
      <c r="C621" s="97" t="s">
        <v>245</v>
      </c>
      <c r="D621" s="98">
        <v>2</v>
      </c>
    </row>
    <row r="622" spans="1:4" x14ac:dyDescent="0.2">
      <c r="A622" s="95">
        <v>381</v>
      </c>
      <c r="B622" s="96">
        <v>1171</v>
      </c>
      <c r="C622" s="97" t="s">
        <v>245</v>
      </c>
      <c r="D622" s="98">
        <v>1</v>
      </c>
    </row>
    <row r="623" spans="1:4" x14ac:dyDescent="0.2">
      <c r="A623" s="95">
        <v>382</v>
      </c>
      <c r="B623" s="96">
        <v>1172</v>
      </c>
      <c r="C623" s="97" t="s">
        <v>245</v>
      </c>
      <c r="D623" s="98">
        <v>2</v>
      </c>
    </row>
    <row r="624" spans="1:4" x14ac:dyDescent="0.2">
      <c r="A624" s="95">
        <v>382</v>
      </c>
      <c r="B624" s="96">
        <v>1173</v>
      </c>
      <c r="C624" s="97" t="s">
        <v>245</v>
      </c>
      <c r="D624" s="98">
        <v>1</v>
      </c>
    </row>
    <row r="625" spans="1:4" x14ac:dyDescent="0.2">
      <c r="A625" s="95">
        <v>384</v>
      </c>
      <c r="B625" s="96">
        <v>1185</v>
      </c>
      <c r="C625" s="97" t="s">
        <v>257</v>
      </c>
      <c r="D625" s="98">
        <v>1</v>
      </c>
    </row>
    <row r="626" spans="1:4" x14ac:dyDescent="0.2">
      <c r="A626" s="95">
        <v>384</v>
      </c>
      <c r="B626" s="96">
        <v>1186</v>
      </c>
      <c r="C626" s="97" t="s">
        <v>257</v>
      </c>
      <c r="D626" s="98">
        <v>2</v>
      </c>
    </row>
    <row r="627" spans="1:4" x14ac:dyDescent="0.2">
      <c r="A627" s="95">
        <v>385</v>
      </c>
      <c r="B627" s="96">
        <v>1260</v>
      </c>
      <c r="C627" s="97" t="s">
        <v>245</v>
      </c>
      <c r="D627" s="98" t="s">
        <v>457</v>
      </c>
    </row>
    <row r="628" spans="1:4" x14ac:dyDescent="0.2">
      <c r="A628" s="95">
        <v>385</v>
      </c>
      <c r="B628" s="96">
        <v>1261</v>
      </c>
      <c r="C628" s="97" t="s">
        <v>245</v>
      </c>
      <c r="D628" s="98" t="s">
        <v>457</v>
      </c>
    </row>
    <row r="629" spans="1:4" x14ac:dyDescent="0.2">
      <c r="A629" s="95">
        <v>386</v>
      </c>
      <c r="B629" s="96">
        <v>1184</v>
      </c>
      <c r="C629" s="97" t="s">
        <v>226</v>
      </c>
      <c r="D629" s="98" t="s">
        <v>219</v>
      </c>
    </row>
    <row r="630" spans="1:4" x14ac:dyDescent="0.2">
      <c r="A630" s="95">
        <v>387</v>
      </c>
      <c r="B630" s="96">
        <v>1183</v>
      </c>
      <c r="C630" s="97" t="s">
        <v>250</v>
      </c>
      <c r="D630" s="98" t="s">
        <v>219</v>
      </c>
    </row>
    <row r="631" spans="1:4" x14ac:dyDescent="0.2">
      <c r="A631" s="95">
        <v>388</v>
      </c>
      <c r="B631" s="96">
        <v>1262</v>
      </c>
      <c r="C631" s="97" t="s">
        <v>245</v>
      </c>
      <c r="D631" s="98" t="s">
        <v>457</v>
      </c>
    </row>
    <row r="632" spans="1:4" x14ac:dyDescent="0.2">
      <c r="A632" s="95">
        <v>388</v>
      </c>
      <c r="B632" s="96">
        <v>1263</v>
      </c>
      <c r="C632" s="97" t="s">
        <v>245</v>
      </c>
      <c r="D632" s="98" t="s">
        <v>457</v>
      </c>
    </row>
    <row r="633" spans="1:4" x14ac:dyDescent="0.2">
      <c r="A633" s="95">
        <v>389</v>
      </c>
      <c r="B633" s="96">
        <v>1182</v>
      </c>
      <c r="C633" s="97" t="s">
        <v>236</v>
      </c>
      <c r="D633" s="98" t="s">
        <v>219</v>
      </c>
    </row>
    <row r="634" spans="1:4" x14ac:dyDescent="0.2">
      <c r="A634" s="95">
        <v>390</v>
      </c>
      <c r="B634" s="96">
        <v>1291</v>
      </c>
      <c r="C634" s="97" t="s">
        <v>245</v>
      </c>
      <c r="D634" s="98">
        <v>2</v>
      </c>
    </row>
    <row r="635" spans="1:4" x14ac:dyDescent="0.2">
      <c r="A635" s="95">
        <v>390</v>
      </c>
      <c r="B635" s="96">
        <v>1292</v>
      </c>
      <c r="C635" s="97" t="s">
        <v>245</v>
      </c>
      <c r="D635" s="98">
        <v>1</v>
      </c>
    </row>
    <row r="636" spans="1:4" x14ac:dyDescent="0.2">
      <c r="A636" s="95">
        <v>391</v>
      </c>
      <c r="B636" s="96">
        <v>29</v>
      </c>
      <c r="C636" s="97" t="s">
        <v>320</v>
      </c>
      <c r="D636" s="98" t="s">
        <v>219</v>
      </c>
    </row>
    <row r="637" spans="1:4" x14ac:dyDescent="0.2">
      <c r="A637" s="95">
        <v>392</v>
      </c>
      <c r="B637" s="96">
        <v>90</v>
      </c>
      <c r="C637" s="97" t="s">
        <v>321</v>
      </c>
      <c r="D637" s="98">
        <v>1</v>
      </c>
    </row>
    <row r="638" spans="1:4" x14ac:dyDescent="0.2">
      <c r="A638" s="95">
        <v>393</v>
      </c>
      <c r="B638" s="96">
        <v>1</v>
      </c>
      <c r="C638" s="97" t="s">
        <v>322</v>
      </c>
      <c r="D638" s="98">
        <v>1</v>
      </c>
    </row>
    <row r="639" spans="1:4" x14ac:dyDescent="0.2">
      <c r="A639" s="95">
        <v>394</v>
      </c>
      <c r="B639" s="96">
        <v>1176</v>
      </c>
      <c r="C639" s="97" t="s">
        <v>278</v>
      </c>
      <c r="D639" s="98">
        <v>1</v>
      </c>
    </row>
    <row r="640" spans="1:4" x14ac:dyDescent="0.2">
      <c r="A640" s="95">
        <v>394</v>
      </c>
      <c r="B640" s="96">
        <v>1177</v>
      </c>
      <c r="C640" s="97" t="s">
        <v>278</v>
      </c>
      <c r="D640" s="98">
        <v>2</v>
      </c>
    </row>
    <row r="641" spans="1:4" x14ac:dyDescent="0.2">
      <c r="A641" s="95">
        <v>395</v>
      </c>
      <c r="B641" s="96">
        <v>1044</v>
      </c>
      <c r="C641" s="97" t="s">
        <v>323</v>
      </c>
      <c r="D641" s="98">
        <v>2</v>
      </c>
    </row>
    <row r="642" spans="1:4" x14ac:dyDescent="0.2">
      <c r="A642" s="95">
        <v>395</v>
      </c>
      <c r="B642" s="96">
        <v>1045</v>
      </c>
      <c r="C642" s="97" t="s">
        <v>323</v>
      </c>
      <c r="D642" s="98">
        <v>1</v>
      </c>
    </row>
    <row r="643" spans="1:4" x14ac:dyDescent="0.2">
      <c r="A643" s="95">
        <v>395</v>
      </c>
      <c r="B643" s="96">
        <v>1046</v>
      </c>
      <c r="C643" s="97" t="s">
        <v>323</v>
      </c>
      <c r="D643" s="98">
        <v>1</v>
      </c>
    </row>
    <row r="644" spans="1:4" x14ac:dyDescent="0.2">
      <c r="A644" s="95">
        <v>396</v>
      </c>
      <c r="B644" s="96">
        <v>1323</v>
      </c>
      <c r="C644" s="97" t="s">
        <v>255</v>
      </c>
      <c r="D644" s="98">
        <v>1</v>
      </c>
    </row>
    <row r="645" spans="1:4" x14ac:dyDescent="0.2">
      <c r="A645" s="95">
        <v>397</v>
      </c>
      <c r="B645" s="96">
        <v>1346</v>
      </c>
      <c r="C645" s="97" t="s">
        <v>324</v>
      </c>
      <c r="D645" s="98">
        <v>1</v>
      </c>
    </row>
    <row r="646" spans="1:4" x14ac:dyDescent="0.2">
      <c r="A646" s="95">
        <v>398</v>
      </c>
      <c r="B646" s="96">
        <v>72</v>
      </c>
      <c r="C646" s="97" t="s">
        <v>325</v>
      </c>
      <c r="D646" s="98">
        <v>2</v>
      </c>
    </row>
    <row r="647" spans="1:4" x14ac:dyDescent="0.2">
      <c r="A647" s="95">
        <v>399</v>
      </c>
      <c r="B647" s="96">
        <v>27</v>
      </c>
      <c r="C647" s="97" t="s">
        <v>326</v>
      </c>
      <c r="D647" s="98" t="s">
        <v>465</v>
      </c>
    </row>
    <row r="648" spans="1:4" x14ac:dyDescent="0.2">
      <c r="A648" s="95">
        <v>400</v>
      </c>
      <c r="B648" s="96">
        <v>58</v>
      </c>
      <c r="C648" s="97" t="s">
        <v>277</v>
      </c>
      <c r="D648" s="98">
        <v>1</v>
      </c>
    </row>
    <row r="649" spans="1:4" x14ac:dyDescent="0.2">
      <c r="A649" s="95">
        <v>400</v>
      </c>
      <c r="B649" s="96">
        <v>190</v>
      </c>
      <c r="C649" s="97" t="s">
        <v>277</v>
      </c>
      <c r="D649" s="98" t="s">
        <v>462</v>
      </c>
    </row>
    <row r="650" spans="1:4" x14ac:dyDescent="0.2">
      <c r="A650" s="95">
        <v>401</v>
      </c>
      <c r="B650" s="96">
        <v>1157</v>
      </c>
      <c r="C650" s="97" t="s">
        <v>327</v>
      </c>
      <c r="D650" s="98" t="s">
        <v>219</v>
      </c>
    </row>
    <row r="651" spans="1:4" x14ac:dyDescent="0.2">
      <c r="A651" s="95">
        <v>403</v>
      </c>
      <c r="B651" s="96">
        <v>1178</v>
      </c>
      <c r="C651" s="97" t="s">
        <v>232</v>
      </c>
      <c r="D651" s="98">
        <v>1</v>
      </c>
    </row>
    <row r="652" spans="1:4" x14ac:dyDescent="0.2">
      <c r="A652" s="95">
        <v>403</v>
      </c>
      <c r="B652" s="96">
        <v>1179</v>
      </c>
      <c r="C652" s="97" t="s">
        <v>232</v>
      </c>
      <c r="D652" s="98">
        <v>2</v>
      </c>
    </row>
    <row r="653" spans="1:4" x14ac:dyDescent="0.2">
      <c r="A653" s="95">
        <v>404</v>
      </c>
      <c r="B653" s="96">
        <v>1161</v>
      </c>
      <c r="C653" s="97" t="s">
        <v>328</v>
      </c>
      <c r="D653" s="98">
        <v>2</v>
      </c>
    </row>
    <row r="654" spans="1:4" x14ac:dyDescent="0.2">
      <c r="A654" s="95">
        <v>404</v>
      </c>
      <c r="B654" s="96">
        <v>1162</v>
      </c>
      <c r="C654" s="97" t="s">
        <v>328</v>
      </c>
      <c r="D654" s="98">
        <v>1</v>
      </c>
    </row>
    <row r="655" spans="1:4" x14ac:dyDescent="0.2">
      <c r="A655" s="95">
        <v>405</v>
      </c>
      <c r="B655" s="96">
        <v>1163</v>
      </c>
      <c r="C655" s="97" t="s">
        <v>329</v>
      </c>
      <c r="D655" s="98" t="s">
        <v>219</v>
      </c>
    </row>
    <row r="656" spans="1:4" x14ac:dyDescent="0.2">
      <c r="A656" s="95">
        <v>406</v>
      </c>
      <c r="B656" s="96">
        <v>77</v>
      </c>
      <c r="C656" s="97" t="s">
        <v>330</v>
      </c>
      <c r="D656" s="98" t="s">
        <v>219</v>
      </c>
    </row>
    <row r="657" spans="1:4" x14ac:dyDescent="0.2">
      <c r="A657" s="95">
        <v>407</v>
      </c>
      <c r="B657" s="96">
        <v>81</v>
      </c>
      <c r="C657" s="97" t="s">
        <v>331</v>
      </c>
      <c r="D657" s="98" t="s">
        <v>219</v>
      </c>
    </row>
    <row r="658" spans="1:4" x14ac:dyDescent="0.2">
      <c r="A658" s="95">
        <v>408</v>
      </c>
      <c r="B658" s="96">
        <v>87</v>
      </c>
      <c r="C658" s="97" t="s">
        <v>332</v>
      </c>
      <c r="D658" s="98" t="s">
        <v>219</v>
      </c>
    </row>
    <row r="659" spans="1:4" x14ac:dyDescent="0.2">
      <c r="A659" s="95">
        <v>409</v>
      </c>
      <c r="B659" s="96">
        <v>89</v>
      </c>
      <c r="C659" s="97" t="s">
        <v>333</v>
      </c>
      <c r="D659" s="98" t="s">
        <v>219</v>
      </c>
    </row>
    <row r="660" spans="1:4" x14ac:dyDescent="0.2">
      <c r="A660" s="95">
        <v>410</v>
      </c>
      <c r="B660" s="96">
        <v>98</v>
      </c>
      <c r="C660" s="97" t="s">
        <v>334</v>
      </c>
      <c r="D660" s="98" t="s">
        <v>219</v>
      </c>
    </row>
    <row r="661" spans="1:4" x14ac:dyDescent="0.2">
      <c r="A661" s="95">
        <v>411</v>
      </c>
      <c r="B661" s="96">
        <v>106</v>
      </c>
      <c r="C661" s="97" t="s">
        <v>335</v>
      </c>
      <c r="D661" s="98" t="s">
        <v>219</v>
      </c>
    </row>
    <row r="662" spans="1:4" x14ac:dyDescent="0.2">
      <c r="A662" s="95">
        <v>412</v>
      </c>
      <c r="B662" s="96">
        <v>107</v>
      </c>
      <c r="C662" s="97" t="s">
        <v>336</v>
      </c>
      <c r="D662" s="98" t="s">
        <v>219</v>
      </c>
    </row>
    <row r="663" spans="1:4" x14ac:dyDescent="0.2">
      <c r="A663" s="95">
        <v>413</v>
      </c>
      <c r="B663" s="96">
        <v>108</v>
      </c>
      <c r="C663" s="97" t="s">
        <v>337</v>
      </c>
      <c r="D663" s="98" t="s">
        <v>219</v>
      </c>
    </row>
    <row r="664" spans="1:4" x14ac:dyDescent="0.2">
      <c r="A664" s="95">
        <v>414</v>
      </c>
      <c r="B664" s="96">
        <v>110</v>
      </c>
      <c r="C664" s="97" t="s">
        <v>338</v>
      </c>
      <c r="D664" s="98" t="s">
        <v>219</v>
      </c>
    </row>
    <row r="665" spans="1:4" x14ac:dyDescent="0.2">
      <c r="A665" s="95">
        <v>415</v>
      </c>
      <c r="B665" s="96">
        <v>165</v>
      </c>
      <c r="C665" s="97" t="s">
        <v>339</v>
      </c>
      <c r="D665" s="98" t="s">
        <v>219</v>
      </c>
    </row>
    <row r="666" spans="1:4" x14ac:dyDescent="0.2">
      <c r="A666" s="95">
        <v>416</v>
      </c>
      <c r="B666" s="96">
        <v>179</v>
      </c>
      <c r="C666" s="97" t="s">
        <v>340</v>
      </c>
      <c r="D666" s="98" t="s">
        <v>219</v>
      </c>
    </row>
    <row r="667" spans="1:4" x14ac:dyDescent="0.2">
      <c r="A667" s="95">
        <v>417</v>
      </c>
      <c r="B667" s="96">
        <v>209</v>
      </c>
      <c r="C667" s="97" t="s">
        <v>341</v>
      </c>
      <c r="D667" s="98" t="s">
        <v>219</v>
      </c>
    </row>
    <row r="668" spans="1:4" x14ac:dyDescent="0.2">
      <c r="A668" s="95">
        <v>418</v>
      </c>
      <c r="B668" s="96">
        <v>188</v>
      </c>
      <c r="C668" s="97" t="s">
        <v>342</v>
      </c>
      <c r="D668" s="98" t="s">
        <v>219</v>
      </c>
    </row>
    <row r="669" spans="1:4" x14ac:dyDescent="0.2">
      <c r="A669" s="95">
        <v>419</v>
      </c>
      <c r="B669" s="96">
        <v>176</v>
      </c>
      <c r="C669" s="97" t="s">
        <v>343</v>
      </c>
      <c r="D669" s="98" t="s">
        <v>219</v>
      </c>
    </row>
    <row r="670" spans="1:4" x14ac:dyDescent="0.2">
      <c r="A670" s="95">
        <v>420</v>
      </c>
      <c r="B670" s="96">
        <v>253</v>
      </c>
      <c r="C670" s="97" t="s">
        <v>344</v>
      </c>
      <c r="D670" s="98" t="s">
        <v>219</v>
      </c>
    </row>
    <row r="671" spans="1:4" x14ac:dyDescent="0.2">
      <c r="A671" s="95">
        <v>421</v>
      </c>
      <c r="B671" s="96">
        <v>222</v>
      </c>
      <c r="C671" s="97" t="s">
        <v>345</v>
      </c>
      <c r="D671" s="98" t="s">
        <v>219</v>
      </c>
    </row>
    <row r="672" spans="1:4" x14ac:dyDescent="0.2">
      <c r="A672" s="95">
        <v>422</v>
      </c>
      <c r="B672" s="96">
        <v>254</v>
      </c>
      <c r="C672" s="97" t="s">
        <v>346</v>
      </c>
      <c r="D672" s="98" t="s">
        <v>219</v>
      </c>
    </row>
    <row r="673" spans="1:4" x14ac:dyDescent="0.2">
      <c r="A673" s="95">
        <v>423</v>
      </c>
      <c r="B673" s="96">
        <v>255</v>
      </c>
      <c r="C673" s="97" t="s">
        <v>347</v>
      </c>
      <c r="D673" s="98" t="s">
        <v>219</v>
      </c>
    </row>
    <row r="674" spans="1:4" x14ac:dyDescent="0.2">
      <c r="A674" s="95">
        <v>424</v>
      </c>
      <c r="B674" s="96">
        <v>256</v>
      </c>
      <c r="C674" s="97" t="s">
        <v>348</v>
      </c>
      <c r="D674" s="98" t="s">
        <v>219</v>
      </c>
    </row>
    <row r="675" spans="1:4" x14ac:dyDescent="0.2">
      <c r="A675" s="95">
        <v>425</v>
      </c>
      <c r="B675" s="96">
        <v>1100</v>
      </c>
      <c r="C675" s="97" t="s">
        <v>349</v>
      </c>
      <c r="D675" s="98">
        <v>2</v>
      </c>
    </row>
    <row r="676" spans="1:4" x14ac:dyDescent="0.2">
      <c r="A676" s="95">
        <v>426</v>
      </c>
      <c r="B676" s="96">
        <v>1189</v>
      </c>
      <c r="C676" s="97" t="s">
        <v>257</v>
      </c>
      <c r="D676" s="98">
        <v>1</v>
      </c>
    </row>
    <row r="677" spans="1:4" x14ac:dyDescent="0.2">
      <c r="A677" s="95">
        <v>426</v>
      </c>
      <c r="B677" s="96">
        <v>1190</v>
      </c>
      <c r="C677" s="97" t="s">
        <v>257</v>
      </c>
      <c r="D677" s="98">
        <v>2</v>
      </c>
    </row>
    <row r="678" spans="1:4" x14ac:dyDescent="0.2">
      <c r="A678" s="95">
        <v>427</v>
      </c>
      <c r="B678" s="96">
        <v>1118</v>
      </c>
      <c r="C678" s="97" t="s">
        <v>350</v>
      </c>
      <c r="D678" s="98">
        <v>1</v>
      </c>
    </row>
    <row r="679" spans="1:4" x14ac:dyDescent="0.2">
      <c r="A679" s="95">
        <v>427</v>
      </c>
      <c r="B679" s="96">
        <v>1119</v>
      </c>
      <c r="C679" s="97" t="s">
        <v>350</v>
      </c>
      <c r="D679" s="98" t="s">
        <v>460</v>
      </c>
    </row>
    <row r="680" spans="1:4" x14ac:dyDescent="0.2">
      <c r="A680" s="95">
        <v>428</v>
      </c>
      <c r="B680" s="96">
        <v>258</v>
      </c>
      <c r="C680" s="97" t="s">
        <v>351</v>
      </c>
      <c r="D680" s="98" t="s">
        <v>352</v>
      </c>
    </row>
    <row r="681" spans="1:4" x14ac:dyDescent="0.2">
      <c r="A681" s="95">
        <v>428</v>
      </c>
      <c r="B681" s="96">
        <v>259</v>
      </c>
      <c r="C681" s="97" t="s">
        <v>351</v>
      </c>
      <c r="D681" s="98" t="s">
        <v>352</v>
      </c>
    </row>
    <row r="682" spans="1:4" x14ac:dyDescent="0.2">
      <c r="A682" s="95">
        <v>429</v>
      </c>
      <c r="B682" s="96">
        <v>260</v>
      </c>
      <c r="C682" s="97" t="s">
        <v>353</v>
      </c>
      <c r="D682" s="98" t="s">
        <v>352</v>
      </c>
    </row>
    <row r="683" spans="1:4" x14ac:dyDescent="0.2">
      <c r="A683" s="95">
        <v>429</v>
      </c>
      <c r="B683" s="96">
        <v>261</v>
      </c>
      <c r="C683" s="97" t="s">
        <v>353</v>
      </c>
      <c r="D683" s="98" t="s">
        <v>352</v>
      </c>
    </row>
    <row r="684" spans="1:4" x14ac:dyDescent="0.2">
      <c r="A684" s="95">
        <v>430</v>
      </c>
      <c r="B684" s="96">
        <v>264</v>
      </c>
      <c r="C684" s="97" t="s">
        <v>354</v>
      </c>
      <c r="D684" s="98" t="s">
        <v>352</v>
      </c>
    </row>
    <row r="685" spans="1:4" x14ac:dyDescent="0.2">
      <c r="A685" s="95">
        <v>430</v>
      </c>
      <c r="B685" s="96">
        <v>265</v>
      </c>
      <c r="C685" s="97" t="s">
        <v>354</v>
      </c>
      <c r="D685" s="98" t="s">
        <v>352</v>
      </c>
    </row>
    <row r="686" spans="1:4" x14ac:dyDescent="0.2">
      <c r="A686" s="95">
        <v>431</v>
      </c>
      <c r="B686" s="96">
        <v>262</v>
      </c>
      <c r="C686" s="97" t="s">
        <v>355</v>
      </c>
      <c r="D686" s="98" t="s">
        <v>352</v>
      </c>
    </row>
    <row r="687" spans="1:4" x14ac:dyDescent="0.2">
      <c r="A687" s="95">
        <v>431</v>
      </c>
      <c r="B687" s="96">
        <v>263</v>
      </c>
      <c r="C687" s="97" t="s">
        <v>355</v>
      </c>
      <c r="D687" s="98" t="s">
        <v>352</v>
      </c>
    </row>
    <row r="688" spans="1:4" x14ac:dyDescent="0.2">
      <c r="A688" s="95">
        <v>432</v>
      </c>
      <c r="B688" s="96">
        <v>1397</v>
      </c>
      <c r="C688" s="97" t="s">
        <v>257</v>
      </c>
      <c r="D688" s="98">
        <v>1</v>
      </c>
    </row>
    <row r="689" spans="1:4" x14ac:dyDescent="0.2">
      <c r="A689" s="95">
        <v>432</v>
      </c>
      <c r="B689" s="96">
        <v>1398</v>
      </c>
      <c r="C689" s="97" t="s">
        <v>257</v>
      </c>
      <c r="D689" s="98">
        <v>2</v>
      </c>
    </row>
    <row r="690" spans="1:4" x14ac:dyDescent="0.2">
      <c r="A690" s="95">
        <v>434</v>
      </c>
      <c r="B690" s="96">
        <v>269</v>
      </c>
      <c r="C690" s="97" t="s">
        <v>356</v>
      </c>
      <c r="D690" s="98" t="s">
        <v>457</v>
      </c>
    </row>
    <row r="691" spans="1:4" x14ac:dyDescent="0.2">
      <c r="A691" s="95">
        <v>435</v>
      </c>
      <c r="B691" s="96">
        <v>270</v>
      </c>
      <c r="C691" s="97" t="s">
        <v>357</v>
      </c>
      <c r="D691" s="98">
        <v>1</v>
      </c>
    </row>
    <row r="692" spans="1:4" x14ac:dyDescent="0.2">
      <c r="A692" s="95">
        <v>435</v>
      </c>
      <c r="B692" s="96">
        <v>271</v>
      </c>
      <c r="C692" s="97" t="s">
        <v>357</v>
      </c>
      <c r="D692" s="98">
        <v>1</v>
      </c>
    </row>
    <row r="693" spans="1:4" x14ac:dyDescent="0.2">
      <c r="A693" s="95">
        <v>435</v>
      </c>
      <c r="B693" s="96">
        <v>272</v>
      </c>
      <c r="C693" s="97" t="s">
        <v>357</v>
      </c>
      <c r="D693" s="98">
        <v>2</v>
      </c>
    </row>
    <row r="694" spans="1:4" x14ac:dyDescent="0.2">
      <c r="A694" s="95">
        <v>436</v>
      </c>
      <c r="B694" s="96">
        <v>273</v>
      </c>
      <c r="C694" s="97" t="s">
        <v>358</v>
      </c>
      <c r="D694" s="98">
        <v>1</v>
      </c>
    </row>
    <row r="695" spans="1:4" x14ac:dyDescent="0.2">
      <c r="A695" s="95">
        <v>436</v>
      </c>
      <c r="B695" s="96">
        <v>274</v>
      </c>
      <c r="C695" s="97" t="s">
        <v>358</v>
      </c>
      <c r="D695" s="98">
        <v>1</v>
      </c>
    </row>
    <row r="696" spans="1:4" x14ac:dyDescent="0.2">
      <c r="A696" s="95">
        <v>436</v>
      </c>
      <c r="B696" s="96">
        <v>275</v>
      </c>
      <c r="C696" s="97" t="s">
        <v>358</v>
      </c>
      <c r="D696" s="98">
        <v>2</v>
      </c>
    </row>
    <row r="697" spans="1:4" x14ac:dyDescent="0.2">
      <c r="A697" s="95">
        <v>437</v>
      </c>
      <c r="B697" s="96">
        <v>1403</v>
      </c>
      <c r="C697" s="97" t="s">
        <v>359</v>
      </c>
      <c r="D697" s="98">
        <v>2</v>
      </c>
    </row>
    <row r="698" spans="1:4" x14ac:dyDescent="0.2">
      <c r="A698" s="95">
        <v>437</v>
      </c>
      <c r="B698" s="96">
        <v>1404</v>
      </c>
      <c r="C698" s="97" t="s">
        <v>359</v>
      </c>
      <c r="D698" s="98">
        <v>1</v>
      </c>
    </row>
    <row r="699" spans="1:4" x14ac:dyDescent="0.2">
      <c r="A699" s="95">
        <v>437</v>
      </c>
      <c r="B699" s="96">
        <v>1405</v>
      </c>
      <c r="C699" s="97" t="s">
        <v>359</v>
      </c>
      <c r="D699" s="98">
        <v>1</v>
      </c>
    </row>
    <row r="700" spans="1:4" x14ac:dyDescent="0.2">
      <c r="A700" s="95">
        <v>439</v>
      </c>
      <c r="B700" s="96">
        <v>346</v>
      </c>
      <c r="C700" s="97" t="s">
        <v>360</v>
      </c>
      <c r="D700" s="98">
        <v>2</v>
      </c>
    </row>
    <row r="701" spans="1:4" x14ac:dyDescent="0.2">
      <c r="A701" s="95">
        <v>439</v>
      </c>
      <c r="B701" s="96">
        <v>349</v>
      </c>
      <c r="C701" s="97" t="s">
        <v>360</v>
      </c>
      <c r="D701" s="98">
        <v>1</v>
      </c>
    </row>
    <row r="702" spans="1:4" x14ac:dyDescent="0.2">
      <c r="A702" s="95">
        <v>440</v>
      </c>
      <c r="B702" s="96">
        <v>210</v>
      </c>
      <c r="C702" s="97" t="s">
        <v>361</v>
      </c>
      <c r="D702" s="98">
        <v>2</v>
      </c>
    </row>
    <row r="703" spans="1:4" x14ac:dyDescent="0.2">
      <c r="A703" s="95">
        <v>440</v>
      </c>
      <c r="B703" s="96">
        <v>347</v>
      </c>
      <c r="C703" s="97" t="s">
        <v>361</v>
      </c>
      <c r="D703" s="98" t="s">
        <v>457</v>
      </c>
    </row>
    <row r="704" spans="1:4" x14ac:dyDescent="0.2">
      <c r="A704" s="95">
        <v>440</v>
      </c>
      <c r="B704" s="96">
        <v>348</v>
      </c>
      <c r="C704" s="97" t="s">
        <v>361</v>
      </c>
      <c r="D704" s="98" t="s">
        <v>457</v>
      </c>
    </row>
    <row r="705" spans="1:4" x14ac:dyDescent="0.2">
      <c r="A705" s="95">
        <v>441</v>
      </c>
      <c r="B705" s="96">
        <v>206</v>
      </c>
      <c r="C705" s="97" t="s">
        <v>261</v>
      </c>
      <c r="D705" s="98">
        <v>2</v>
      </c>
    </row>
    <row r="706" spans="1:4" x14ac:dyDescent="0.2">
      <c r="A706" s="95">
        <v>441</v>
      </c>
      <c r="B706" s="96">
        <v>350</v>
      </c>
      <c r="C706" s="97" t="s">
        <v>261</v>
      </c>
      <c r="D706" s="98">
        <v>1</v>
      </c>
    </row>
    <row r="707" spans="1:4" x14ac:dyDescent="0.2">
      <c r="A707" s="95">
        <v>441</v>
      </c>
      <c r="B707" s="96">
        <v>351</v>
      </c>
      <c r="C707" s="97" t="s">
        <v>261</v>
      </c>
      <c r="D707" s="98">
        <v>1</v>
      </c>
    </row>
    <row r="708" spans="1:4" x14ac:dyDescent="0.2">
      <c r="A708" s="95">
        <v>441</v>
      </c>
      <c r="B708" s="96">
        <v>352</v>
      </c>
      <c r="C708" s="97" t="s">
        <v>261</v>
      </c>
      <c r="D708" s="98">
        <v>1</v>
      </c>
    </row>
    <row r="709" spans="1:4" x14ac:dyDescent="0.2">
      <c r="A709" s="95">
        <v>442</v>
      </c>
      <c r="B709" s="96">
        <v>356</v>
      </c>
      <c r="C709" s="97" t="s">
        <v>257</v>
      </c>
      <c r="D709" s="98" t="s">
        <v>457</v>
      </c>
    </row>
    <row r="710" spans="1:4" x14ac:dyDescent="0.2">
      <c r="A710" s="95">
        <v>442</v>
      </c>
      <c r="B710" s="96">
        <v>357</v>
      </c>
      <c r="C710" s="97" t="s">
        <v>257</v>
      </c>
      <c r="D710" s="98" t="s">
        <v>457</v>
      </c>
    </row>
    <row r="711" spans="1:4" x14ac:dyDescent="0.2">
      <c r="A711" s="95">
        <v>443</v>
      </c>
      <c r="B711" s="96">
        <v>358</v>
      </c>
      <c r="C711" s="97" t="s">
        <v>299</v>
      </c>
      <c r="D711" s="98">
        <v>1</v>
      </c>
    </row>
    <row r="712" spans="1:4" x14ac:dyDescent="0.2">
      <c r="A712" s="95">
        <v>443</v>
      </c>
      <c r="B712" s="96">
        <v>359</v>
      </c>
      <c r="C712" s="97" t="s">
        <v>299</v>
      </c>
      <c r="D712" s="98" t="s">
        <v>462</v>
      </c>
    </row>
    <row r="713" spans="1:4" x14ac:dyDescent="0.2">
      <c r="A713" s="95">
        <v>444</v>
      </c>
      <c r="B713" s="96">
        <v>208</v>
      </c>
      <c r="C713" s="97" t="s">
        <v>302</v>
      </c>
      <c r="D713" s="98">
        <v>2</v>
      </c>
    </row>
    <row r="714" spans="1:4" x14ac:dyDescent="0.2">
      <c r="A714" s="95">
        <v>444</v>
      </c>
      <c r="B714" s="96">
        <v>358</v>
      </c>
      <c r="C714" s="97" t="s">
        <v>302</v>
      </c>
      <c r="D714" s="98" t="s">
        <v>465</v>
      </c>
    </row>
    <row r="715" spans="1:4" x14ac:dyDescent="0.2">
      <c r="A715" s="95">
        <v>444</v>
      </c>
      <c r="B715" s="96">
        <v>360</v>
      </c>
      <c r="C715" s="97" t="s">
        <v>302</v>
      </c>
      <c r="D715" s="98" t="s">
        <v>465</v>
      </c>
    </row>
    <row r="716" spans="1:4" x14ac:dyDescent="0.2">
      <c r="A716" s="95">
        <v>445</v>
      </c>
      <c r="B716" s="96">
        <v>1406</v>
      </c>
      <c r="C716" s="97" t="s">
        <v>362</v>
      </c>
      <c r="D716" s="98">
        <v>1</v>
      </c>
    </row>
    <row r="717" spans="1:4" x14ac:dyDescent="0.2">
      <c r="A717" s="95">
        <v>445</v>
      </c>
      <c r="B717" s="96">
        <v>1407</v>
      </c>
      <c r="C717" s="97" t="s">
        <v>362</v>
      </c>
      <c r="D717" s="98">
        <v>2</v>
      </c>
    </row>
    <row r="718" spans="1:4" x14ac:dyDescent="0.2">
      <c r="A718" s="95">
        <v>446</v>
      </c>
      <c r="B718" s="96">
        <v>1408</v>
      </c>
      <c r="C718" s="97" t="s">
        <v>362</v>
      </c>
      <c r="D718" s="98">
        <v>1</v>
      </c>
    </row>
    <row r="719" spans="1:4" x14ac:dyDescent="0.2">
      <c r="A719" s="95">
        <v>446</v>
      </c>
      <c r="B719" s="96">
        <v>1409</v>
      </c>
      <c r="C719" s="97" t="s">
        <v>362</v>
      </c>
      <c r="D719" s="98">
        <v>2</v>
      </c>
    </row>
    <row r="720" spans="1:4" x14ac:dyDescent="0.2">
      <c r="A720" s="95">
        <v>447</v>
      </c>
      <c r="B720" s="96">
        <v>206</v>
      </c>
      <c r="C720" s="97" t="s">
        <v>273</v>
      </c>
      <c r="D720" s="98">
        <v>2</v>
      </c>
    </row>
    <row r="721" spans="1:4" x14ac:dyDescent="0.2">
      <c r="A721" s="95">
        <v>448</v>
      </c>
      <c r="B721" s="96">
        <v>1125</v>
      </c>
      <c r="C721" s="97" t="s">
        <v>273</v>
      </c>
      <c r="D721" s="98">
        <v>2</v>
      </c>
    </row>
    <row r="722" spans="1:4" x14ac:dyDescent="0.2">
      <c r="A722" s="95">
        <v>449</v>
      </c>
      <c r="B722" s="96">
        <v>1127</v>
      </c>
      <c r="C722" s="97" t="s">
        <v>273</v>
      </c>
      <c r="D722" s="98">
        <v>2</v>
      </c>
    </row>
    <row r="723" spans="1:4" x14ac:dyDescent="0.2">
      <c r="A723" s="95">
        <v>450</v>
      </c>
      <c r="B723" s="96">
        <v>1129</v>
      </c>
      <c r="C723" s="97" t="s">
        <v>273</v>
      </c>
      <c r="D723" s="98">
        <v>2</v>
      </c>
    </row>
    <row r="724" spans="1:4" x14ac:dyDescent="0.2">
      <c r="A724" s="95">
        <v>451</v>
      </c>
      <c r="B724" s="96">
        <v>1140</v>
      </c>
      <c r="C724" s="97" t="s">
        <v>273</v>
      </c>
      <c r="D724" s="98">
        <v>2</v>
      </c>
    </row>
    <row r="725" spans="1:4" x14ac:dyDescent="0.2">
      <c r="A725" s="95">
        <v>452</v>
      </c>
      <c r="B725" s="96">
        <v>1142</v>
      </c>
      <c r="C725" s="97" t="s">
        <v>273</v>
      </c>
      <c r="D725" s="98">
        <v>2</v>
      </c>
    </row>
    <row r="726" spans="1:4" x14ac:dyDescent="0.2">
      <c r="A726" s="95">
        <v>453</v>
      </c>
      <c r="B726" s="96">
        <v>1144</v>
      </c>
      <c r="C726" s="97" t="s">
        <v>273</v>
      </c>
      <c r="D726" s="98">
        <v>2</v>
      </c>
    </row>
    <row r="727" spans="1:4" x14ac:dyDescent="0.2">
      <c r="A727" s="95">
        <v>454</v>
      </c>
      <c r="B727" s="96">
        <v>1146</v>
      </c>
      <c r="C727" s="97" t="s">
        <v>273</v>
      </c>
      <c r="D727" s="98">
        <v>2</v>
      </c>
    </row>
    <row r="728" spans="1:4" x14ac:dyDescent="0.2">
      <c r="A728" s="95">
        <v>455</v>
      </c>
      <c r="B728" s="96">
        <v>1148</v>
      </c>
      <c r="C728" s="97" t="s">
        <v>273</v>
      </c>
      <c r="D728" s="98">
        <v>2</v>
      </c>
    </row>
    <row r="729" spans="1:4" x14ac:dyDescent="0.2">
      <c r="A729" s="95">
        <v>456</v>
      </c>
      <c r="B729" s="96">
        <v>1150</v>
      </c>
      <c r="C729" s="97" t="s">
        <v>273</v>
      </c>
      <c r="D729" s="98">
        <v>2</v>
      </c>
    </row>
    <row r="730" spans="1:4" x14ac:dyDescent="0.2">
      <c r="A730" s="95">
        <v>459</v>
      </c>
      <c r="B730" s="96">
        <v>1398</v>
      </c>
      <c r="C730" s="97" t="s">
        <v>273</v>
      </c>
      <c r="D730" s="98">
        <v>2</v>
      </c>
    </row>
    <row r="731" spans="1:4" x14ac:dyDescent="0.2">
      <c r="A731" s="95">
        <v>460</v>
      </c>
      <c r="B731" s="96">
        <v>361</v>
      </c>
      <c r="C731" s="97" t="s">
        <v>363</v>
      </c>
      <c r="D731" s="98" t="s">
        <v>219</v>
      </c>
    </row>
    <row r="732" spans="1:4" x14ac:dyDescent="0.2">
      <c r="A732" s="95">
        <v>461</v>
      </c>
      <c r="B732" s="96">
        <v>361</v>
      </c>
      <c r="C732" s="97" t="s">
        <v>363</v>
      </c>
      <c r="D732" s="98" t="s">
        <v>219</v>
      </c>
    </row>
    <row r="733" spans="1:4" x14ac:dyDescent="0.2">
      <c r="A733" s="95">
        <v>462</v>
      </c>
      <c r="B733" s="96">
        <v>362</v>
      </c>
      <c r="C733" s="97" t="s">
        <v>364</v>
      </c>
      <c r="D733" s="98" t="s">
        <v>219</v>
      </c>
    </row>
    <row r="734" spans="1:4" x14ac:dyDescent="0.2">
      <c r="A734" s="95">
        <v>463</v>
      </c>
      <c r="B734" s="96">
        <v>363</v>
      </c>
      <c r="C734" s="97" t="s">
        <v>365</v>
      </c>
      <c r="D734" s="98" t="s">
        <v>219</v>
      </c>
    </row>
    <row r="735" spans="1:4" x14ac:dyDescent="0.2">
      <c r="A735" s="95">
        <v>464</v>
      </c>
      <c r="B735" s="96">
        <v>364</v>
      </c>
      <c r="C735" s="97" t="s">
        <v>366</v>
      </c>
      <c r="D735" s="98">
        <v>1</v>
      </c>
    </row>
    <row r="736" spans="1:4" x14ac:dyDescent="0.2">
      <c r="A736" s="95">
        <v>464</v>
      </c>
      <c r="B736" s="96">
        <v>365</v>
      </c>
      <c r="C736" s="97" t="s">
        <v>366</v>
      </c>
      <c r="D736" s="98">
        <v>1</v>
      </c>
    </row>
    <row r="737" spans="1:4" x14ac:dyDescent="0.2">
      <c r="A737" s="95">
        <v>465</v>
      </c>
      <c r="B737" s="96">
        <v>1410</v>
      </c>
      <c r="C737" s="97" t="s">
        <v>367</v>
      </c>
      <c r="D737" s="98">
        <v>1</v>
      </c>
    </row>
    <row r="738" spans="1:4" x14ac:dyDescent="0.2">
      <c r="A738" s="95">
        <v>465</v>
      </c>
      <c r="B738" s="96">
        <v>1411</v>
      </c>
      <c r="C738" s="97" t="s">
        <v>367</v>
      </c>
      <c r="D738" s="98">
        <v>1</v>
      </c>
    </row>
    <row r="739" spans="1:4" x14ac:dyDescent="0.2">
      <c r="A739" s="95">
        <v>466</v>
      </c>
      <c r="B739" s="96">
        <v>366</v>
      </c>
      <c r="C739" s="97" t="s">
        <v>368</v>
      </c>
      <c r="D739" s="98" t="s">
        <v>457</v>
      </c>
    </row>
    <row r="740" spans="1:4" x14ac:dyDescent="0.2">
      <c r="A740" s="95">
        <v>467</v>
      </c>
      <c r="B740" s="96">
        <v>367</v>
      </c>
      <c r="C740" s="97" t="s">
        <v>368</v>
      </c>
      <c r="D740" s="98" t="s">
        <v>457</v>
      </c>
    </row>
    <row r="741" spans="1:4" x14ac:dyDescent="0.2">
      <c r="A741" s="95">
        <v>468</v>
      </c>
      <c r="B741" s="96">
        <v>368</v>
      </c>
      <c r="C741" s="97" t="s">
        <v>368</v>
      </c>
      <c r="D741" s="98" t="s">
        <v>457</v>
      </c>
    </row>
    <row r="742" spans="1:4" x14ac:dyDescent="0.2">
      <c r="A742" s="95">
        <v>469</v>
      </c>
      <c r="B742" s="96">
        <v>369</v>
      </c>
      <c r="C742" s="97" t="s">
        <v>368</v>
      </c>
      <c r="D742" s="98" t="s">
        <v>457</v>
      </c>
    </row>
    <row r="743" spans="1:4" x14ac:dyDescent="0.2">
      <c r="A743" s="95">
        <v>470</v>
      </c>
      <c r="B743" s="96">
        <v>370</v>
      </c>
      <c r="C743" s="97" t="s">
        <v>368</v>
      </c>
      <c r="D743" s="98" t="s">
        <v>457</v>
      </c>
    </row>
    <row r="744" spans="1:4" x14ac:dyDescent="0.2">
      <c r="A744" s="95">
        <v>473</v>
      </c>
      <c r="B744" s="96">
        <v>1412</v>
      </c>
      <c r="C744" s="97" t="s">
        <v>369</v>
      </c>
      <c r="D744" s="98">
        <v>1</v>
      </c>
    </row>
    <row r="745" spans="1:4" x14ac:dyDescent="0.2">
      <c r="A745" s="95">
        <v>473</v>
      </c>
      <c r="B745" s="96">
        <v>1413</v>
      </c>
      <c r="C745" s="97" t="s">
        <v>369</v>
      </c>
      <c r="D745" s="98">
        <v>2</v>
      </c>
    </row>
    <row r="746" spans="1:4" x14ac:dyDescent="0.2">
      <c r="A746" s="95">
        <v>474</v>
      </c>
      <c r="B746" s="96">
        <v>1414</v>
      </c>
      <c r="C746" s="97" t="s">
        <v>370</v>
      </c>
      <c r="D746" s="98" t="s">
        <v>219</v>
      </c>
    </row>
    <row r="747" spans="1:4" x14ac:dyDescent="0.2">
      <c r="A747" s="95">
        <v>475</v>
      </c>
      <c r="B747" s="96">
        <v>1415</v>
      </c>
      <c r="C747" s="97" t="s">
        <v>371</v>
      </c>
      <c r="D747" s="98">
        <v>1</v>
      </c>
    </row>
    <row r="748" spans="1:4" x14ac:dyDescent="0.2">
      <c r="A748" s="95">
        <v>475</v>
      </c>
      <c r="B748" s="96">
        <v>1416</v>
      </c>
      <c r="C748" s="97" t="s">
        <v>371</v>
      </c>
      <c r="D748" s="98">
        <v>2</v>
      </c>
    </row>
    <row r="749" spans="1:4" x14ac:dyDescent="0.2">
      <c r="A749" s="95">
        <v>476</v>
      </c>
      <c r="B749" s="96">
        <v>1417</v>
      </c>
      <c r="C749" s="97" t="s">
        <v>372</v>
      </c>
      <c r="D749" s="98" t="s">
        <v>219</v>
      </c>
    </row>
    <row r="750" spans="1:4" x14ac:dyDescent="0.2">
      <c r="A750" s="95">
        <v>477</v>
      </c>
      <c r="B750" s="96">
        <v>1418</v>
      </c>
      <c r="C750" s="97" t="s">
        <v>372</v>
      </c>
      <c r="D750" s="98" t="s">
        <v>219</v>
      </c>
    </row>
    <row r="751" spans="1:4" x14ac:dyDescent="0.2">
      <c r="A751" s="95">
        <v>478</v>
      </c>
      <c r="B751" s="96">
        <v>1419</v>
      </c>
      <c r="C751" s="97" t="s">
        <v>302</v>
      </c>
      <c r="D751" s="98">
        <v>1</v>
      </c>
    </row>
    <row r="752" spans="1:4" x14ac:dyDescent="0.2">
      <c r="A752" s="95">
        <v>478</v>
      </c>
      <c r="B752" s="96">
        <v>1420</v>
      </c>
      <c r="C752" s="97" t="s">
        <v>302</v>
      </c>
      <c r="D752" s="98">
        <v>1</v>
      </c>
    </row>
    <row r="753" spans="1:4" x14ac:dyDescent="0.2">
      <c r="A753" s="95">
        <v>478</v>
      </c>
      <c r="B753" s="96">
        <v>1421</v>
      </c>
      <c r="C753" s="97" t="s">
        <v>302</v>
      </c>
      <c r="D753" s="98">
        <v>2</v>
      </c>
    </row>
    <row r="754" spans="1:4" x14ac:dyDescent="0.2">
      <c r="A754" s="95">
        <v>479</v>
      </c>
      <c r="B754" s="96">
        <v>1424</v>
      </c>
      <c r="C754" s="97" t="s">
        <v>360</v>
      </c>
      <c r="D754" s="98">
        <v>2</v>
      </c>
    </row>
    <row r="755" spans="1:4" x14ac:dyDescent="0.2">
      <c r="A755" s="95">
        <v>479</v>
      </c>
      <c r="B755" s="96">
        <v>1425</v>
      </c>
      <c r="C755" s="97" t="s">
        <v>360</v>
      </c>
      <c r="D755" s="98">
        <v>1</v>
      </c>
    </row>
    <row r="756" spans="1:4" x14ac:dyDescent="0.2">
      <c r="A756" s="95">
        <v>480</v>
      </c>
      <c r="B756" s="96">
        <v>1426</v>
      </c>
      <c r="C756" s="97" t="s">
        <v>360</v>
      </c>
      <c r="D756" s="98">
        <v>2</v>
      </c>
    </row>
    <row r="757" spans="1:4" x14ac:dyDescent="0.2">
      <c r="A757" s="95">
        <v>480</v>
      </c>
      <c r="B757" s="96">
        <v>1427</v>
      </c>
      <c r="C757" s="97" t="s">
        <v>360</v>
      </c>
      <c r="D757" s="98">
        <v>1</v>
      </c>
    </row>
    <row r="758" spans="1:4" x14ac:dyDescent="0.2">
      <c r="A758" s="95">
        <v>481</v>
      </c>
      <c r="B758" s="96">
        <v>1428</v>
      </c>
      <c r="C758" s="97" t="s">
        <v>360</v>
      </c>
      <c r="D758" s="98">
        <v>2</v>
      </c>
    </row>
    <row r="759" spans="1:4" x14ac:dyDescent="0.2">
      <c r="A759" s="95">
        <v>481</v>
      </c>
      <c r="B759" s="96">
        <v>1429</v>
      </c>
      <c r="C759" s="97" t="s">
        <v>360</v>
      </c>
      <c r="D759" s="98">
        <v>1</v>
      </c>
    </row>
    <row r="760" spans="1:4" x14ac:dyDescent="0.2">
      <c r="A760" s="95">
        <v>482</v>
      </c>
      <c r="B760" s="96">
        <v>378</v>
      </c>
      <c r="C760" s="97" t="s">
        <v>373</v>
      </c>
      <c r="D760" s="98" t="s">
        <v>374</v>
      </c>
    </row>
    <row r="761" spans="1:4" x14ac:dyDescent="0.2">
      <c r="A761" s="95">
        <v>483</v>
      </c>
      <c r="B761" s="96">
        <v>379</v>
      </c>
      <c r="C761" s="97" t="s">
        <v>375</v>
      </c>
      <c r="D761" s="98" t="s">
        <v>374</v>
      </c>
    </row>
    <row r="762" spans="1:4" x14ac:dyDescent="0.2">
      <c r="A762" s="95">
        <v>484</v>
      </c>
      <c r="B762" s="96">
        <v>380</v>
      </c>
      <c r="C762" s="97" t="s">
        <v>376</v>
      </c>
      <c r="D762" s="98" t="s">
        <v>374</v>
      </c>
    </row>
    <row r="763" spans="1:4" x14ac:dyDescent="0.2">
      <c r="A763" s="95">
        <v>485</v>
      </c>
      <c r="B763" s="96">
        <v>381</v>
      </c>
      <c r="C763" s="97" t="s">
        <v>377</v>
      </c>
      <c r="D763" s="98" t="s">
        <v>374</v>
      </c>
    </row>
    <row r="764" spans="1:4" x14ac:dyDescent="0.2">
      <c r="A764" s="95">
        <v>486</v>
      </c>
      <c r="B764" s="96">
        <v>382</v>
      </c>
      <c r="C764" s="97" t="s">
        <v>378</v>
      </c>
      <c r="D764" s="98" t="s">
        <v>374</v>
      </c>
    </row>
    <row r="765" spans="1:4" x14ac:dyDescent="0.2">
      <c r="A765" s="95">
        <v>487</v>
      </c>
      <c r="B765" s="96">
        <v>383</v>
      </c>
      <c r="C765" s="97" t="s">
        <v>379</v>
      </c>
      <c r="D765" s="98" t="s">
        <v>374</v>
      </c>
    </row>
    <row r="766" spans="1:4" x14ac:dyDescent="0.2">
      <c r="A766" s="95">
        <v>488</v>
      </c>
      <c r="B766" s="96">
        <v>384</v>
      </c>
      <c r="C766" s="97" t="s">
        <v>380</v>
      </c>
      <c r="D766" s="98" t="s">
        <v>374</v>
      </c>
    </row>
    <row r="767" spans="1:4" x14ac:dyDescent="0.2">
      <c r="A767" s="95">
        <v>489</v>
      </c>
      <c r="B767" s="96">
        <v>385</v>
      </c>
      <c r="C767" s="97" t="s">
        <v>381</v>
      </c>
      <c r="D767" s="98" t="s">
        <v>374</v>
      </c>
    </row>
    <row r="768" spans="1:4" x14ac:dyDescent="0.2">
      <c r="A768" s="95">
        <v>490</v>
      </c>
      <c r="B768" s="96">
        <v>386</v>
      </c>
      <c r="C768" s="97" t="s">
        <v>382</v>
      </c>
      <c r="D768" s="98" t="s">
        <v>374</v>
      </c>
    </row>
    <row r="769" spans="1:4" x14ac:dyDescent="0.2">
      <c r="A769" s="95">
        <v>491</v>
      </c>
      <c r="B769" s="96">
        <v>387</v>
      </c>
      <c r="C769" s="97" t="s">
        <v>383</v>
      </c>
      <c r="D769" s="98" t="s">
        <v>374</v>
      </c>
    </row>
    <row r="770" spans="1:4" x14ac:dyDescent="0.2">
      <c r="A770" s="95">
        <v>492</v>
      </c>
      <c r="B770" s="96">
        <v>388</v>
      </c>
      <c r="C770" s="97" t="s">
        <v>384</v>
      </c>
      <c r="D770" s="98" t="s">
        <v>374</v>
      </c>
    </row>
    <row r="771" spans="1:4" x14ac:dyDescent="0.2">
      <c r="A771" s="95">
        <v>493</v>
      </c>
      <c r="B771" s="96">
        <v>389</v>
      </c>
      <c r="C771" s="97" t="s">
        <v>385</v>
      </c>
      <c r="D771" s="98" t="s">
        <v>374</v>
      </c>
    </row>
    <row r="772" spans="1:4" x14ac:dyDescent="0.2">
      <c r="A772" s="95">
        <v>494</v>
      </c>
      <c r="B772" s="96">
        <v>390</v>
      </c>
      <c r="C772" s="97" t="s">
        <v>386</v>
      </c>
      <c r="D772" s="98" t="s">
        <v>374</v>
      </c>
    </row>
    <row r="773" spans="1:4" x14ac:dyDescent="0.2">
      <c r="A773" s="95">
        <v>495</v>
      </c>
      <c r="B773" s="96">
        <v>391</v>
      </c>
      <c r="C773" s="97" t="s">
        <v>387</v>
      </c>
      <c r="D773" s="98" t="s">
        <v>374</v>
      </c>
    </row>
    <row r="774" spans="1:4" x14ac:dyDescent="0.2">
      <c r="A774" s="95">
        <v>496</v>
      </c>
      <c r="B774" s="96">
        <v>392</v>
      </c>
      <c r="C774" s="97" t="s">
        <v>388</v>
      </c>
      <c r="D774" s="98" t="s">
        <v>374</v>
      </c>
    </row>
    <row r="775" spans="1:4" x14ac:dyDescent="0.2">
      <c r="A775" s="95">
        <v>497</v>
      </c>
      <c r="B775" s="96">
        <v>393</v>
      </c>
      <c r="C775" s="97" t="s">
        <v>389</v>
      </c>
      <c r="D775" s="98" t="s">
        <v>374</v>
      </c>
    </row>
    <row r="776" spans="1:4" x14ac:dyDescent="0.2">
      <c r="A776" s="95">
        <v>498</v>
      </c>
      <c r="B776" s="96">
        <v>394</v>
      </c>
      <c r="C776" s="97" t="s">
        <v>390</v>
      </c>
      <c r="D776" s="98" t="s">
        <v>374</v>
      </c>
    </row>
    <row r="777" spans="1:4" x14ac:dyDescent="0.2">
      <c r="A777" s="95">
        <v>701</v>
      </c>
      <c r="B777" s="96">
        <v>343</v>
      </c>
      <c r="C777" s="97" t="s">
        <v>391</v>
      </c>
      <c r="D777" s="98" t="s">
        <v>219</v>
      </c>
    </row>
    <row r="778" spans="1:4" x14ac:dyDescent="0.2">
      <c r="A778" s="95">
        <v>702</v>
      </c>
      <c r="B778" s="96">
        <v>344</v>
      </c>
      <c r="C778" s="97" t="s">
        <v>391</v>
      </c>
      <c r="D778" s="98" t="s">
        <v>219</v>
      </c>
    </row>
    <row r="779" spans="1:4" x14ac:dyDescent="0.2">
      <c r="A779" s="95">
        <v>703</v>
      </c>
      <c r="B779" s="96">
        <v>317</v>
      </c>
      <c r="C779" s="97" t="s">
        <v>325</v>
      </c>
      <c r="D779" s="98" t="s">
        <v>219</v>
      </c>
    </row>
    <row r="780" spans="1:4" x14ac:dyDescent="0.2">
      <c r="A780" s="95">
        <v>704</v>
      </c>
      <c r="B780" s="96">
        <v>318</v>
      </c>
      <c r="C780" s="97" t="s">
        <v>325</v>
      </c>
      <c r="D780" s="98" t="s">
        <v>219</v>
      </c>
    </row>
    <row r="781" spans="1:4" x14ac:dyDescent="0.2">
      <c r="A781" s="95">
        <v>705</v>
      </c>
      <c r="B781" s="96">
        <v>319</v>
      </c>
      <c r="C781" s="97" t="s">
        <v>325</v>
      </c>
      <c r="D781" s="98" t="s">
        <v>219</v>
      </c>
    </row>
    <row r="782" spans="1:4" x14ac:dyDescent="0.2">
      <c r="A782" s="95">
        <v>706</v>
      </c>
      <c r="B782" s="96">
        <v>320</v>
      </c>
      <c r="C782" s="97" t="s">
        <v>325</v>
      </c>
      <c r="D782" s="98" t="s">
        <v>219</v>
      </c>
    </row>
    <row r="783" spans="1:4" x14ac:dyDescent="0.2">
      <c r="A783" s="95">
        <v>707</v>
      </c>
      <c r="B783" s="96">
        <v>321</v>
      </c>
      <c r="C783" s="97" t="s">
        <v>325</v>
      </c>
      <c r="D783" s="98" t="s">
        <v>219</v>
      </c>
    </row>
    <row r="784" spans="1:4" x14ac:dyDescent="0.2">
      <c r="A784" s="95">
        <v>708</v>
      </c>
      <c r="B784" s="96">
        <v>322</v>
      </c>
      <c r="C784" s="97" t="s">
        <v>325</v>
      </c>
      <c r="D784" s="98" t="s">
        <v>219</v>
      </c>
    </row>
    <row r="785" spans="1:4" x14ac:dyDescent="0.2">
      <c r="A785" s="95">
        <v>709</v>
      </c>
      <c r="B785" s="96">
        <v>323</v>
      </c>
      <c r="C785" s="97" t="s">
        <v>325</v>
      </c>
      <c r="D785" s="98" t="s">
        <v>219</v>
      </c>
    </row>
    <row r="786" spans="1:4" x14ac:dyDescent="0.2">
      <c r="A786" s="95">
        <v>710</v>
      </c>
      <c r="B786" s="96">
        <v>324</v>
      </c>
      <c r="C786" s="97" t="s">
        <v>325</v>
      </c>
      <c r="D786" s="98" t="s">
        <v>219</v>
      </c>
    </row>
    <row r="787" spans="1:4" x14ac:dyDescent="0.2">
      <c r="A787" s="95">
        <v>711</v>
      </c>
      <c r="B787" s="96">
        <v>325</v>
      </c>
      <c r="C787" s="97" t="s">
        <v>325</v>
      </c>
      <c r="D787" s="98" t="s">
        <v>219</v>
      </c>
    </row>
    <row r="788" spans="1:4" x14ac:dyDescent="0.2">
      <c r="A788" s="95">
        <v>712</v>
      </c>
      <c r="B788" s="96">
        <v>326</v>
      </c>
      <c r="C788" s="97" t="s">
        <v>392</v>
      </c>
      <c r="D788" s="98" t="s">
        <v>219</v>
      </c>
    </row>
    <row r="789" spans="1:4" x14ac:dyDescent="0.2">
      <c r="A789" s="95">
        <v>713</v>
      </c>
      <c r="B789" s="96">
        <v>328</v>
      </c>
      <c r="C789" s="97" t="s">
        <v>392</v>
      </c>
      <c r="D789" s="98" t="s">
        <v>219</v>
      </c>
    </row>
    <row r="790" spans="1:4" x14ac:dyDescent="0.2">
      <c r="A790" s="95">
        <v>714</v>
      </c>
      <c r="B790" s="96">
        <v>329</v>
      </c>
      <c r="C790" s="97" t="s">
        <v>392</v>
      </c>
      <c r="D790" s="98" t="s">
        <v>219</v>
      </c>
    </row>
    <row r="791" spans="1:4" x14ac:dyDescent="0.2">
      <c r="A791" s="95">
        <v>715</v>
      </c>
      <c r="B791" s="96">
        <v>330</v>
      </c>
      <c r="C791" s="97" t="s">
        <v>392</v>
      </c>
      <c r="D791" s="98" t="s">
        <v>219</v>
      </c>
    </row>
    <row r="792" spans="1:4" x14ac:dyDescent="0.2">
      <c r="A792" s="95">
        <v>716</v>
      </c>
      <c r="B792" s="96">
        <v>339</v>
      </c>
      <c r="C792" s="97" t="s">
        <v>393</v>
      </c>
      <c r="D792" s="98" t="s">
        <v>219</v>
      </c>
    </row>
    <row r="793" spans="1:4" x14ac:dyDescent="0.2">
      <c r="A793" s="95">
        <v>717</v>
      </c>
      <c r="B793" s="96">
        <v>340</v>
      </c>
      <c r="C793" s="97" t="s">
        <v>393</v>
      </c>
      <c r="D793" s="98" t="s">
        <v>219</v>
      </c>
    </row>
    <row r="794" spans="1:4" x14ac:dyDescent="0.2">
      <c r="A794" s="95">
        <v>718</v>
      </c>
      <c r="B794" s="96">
        <v>341</v>
      </c>
      <c r="C794" s="97" t="s">
        <v>394</v>
      </c>
      <c r="D794" s="98" t="s">
        <v>219</v>
      </c>
    </row>
    <row r="795" spans="1:4" x14ac:dyDescent="0.2">
      <c r="A795" s="95">
        <v>719</v>
      </c>
      <c r="B795" s="96">
        <v>342</v>
      </c>
      <c r="C795" s="97" t="s">
        <v>394</v>
      </c>
      <c r="D795" s="98" t="s">
        <v>219</v>
      </c>
    </row>
    <row r="796" spans="1:4" x14ac:dyDescent="0.2">
      <c r="A796" s="95">
        <v>720</v>
      </c>
      <c r="B796" s="96">
        <v>331</v>
      </c>
      <c r="C796" s="97" t="s">
        <v>258</v>
      </c>
      <c r="D796" s="98">
        <v>1</v>
      </c>
    </row>
    <row r="797" spans="1:4" x14ac:dyDescent="0.2">
      <c r="A797" s="95">
        <v>720</v>
      </c>
      <c r="B797" s="96">
        <v>332</v>
      </c>
      <c r="C797" s="97" t="s">
        <v>258</v>
      </c>
      <c r="D797" s="98">
        <v>1</v>
      </c>
    </row>
    <row r="798" spans="1:4" x14ac:dyDescent="0.2">
      <c r="A798" s="95">
        <v>720</v>
      </c>
      <c r="B798" s="96">
        <v>333</v>
      </c>
      <c r="C798" s="97" t="s">
        <v>258</v>
      </c>
      <c r="D798" s="98">
        <v>2</v>
      </c>
    </row>
    <row r="799" spans="1:4" x14ac:dyDescent="0.2">
      <c r="A799" s="95">
        <v>721</v>
      </c>
      <c r="B799" s="96">
        <v>327</v>
      </c>
      <c r="C799" s="97" t="s">
        <v>395</v>
      </c>
      <c r="D799" s="98">
        <v>2</v>
      </c>
    </row>
    <row r="800" spans="1:4" x14ac:dyDescent="0.2">
      <c r="A800" s="95">
        <v>721</v>
      </c>
      <c r="B800" s="96">
        <v>336</v>
      </c>
      <c r="C800" s="97" t="s">
        <v>395</v>
      </c>
      <c r="D800" s="98">
        <v>1</v>
      </c>
    </row>
    <row r="801" spans="1:4" x14ac:dyDescent="0.2">
      <c r="A801" s="95">
        <v>722</v>
      </c>
      <c r="B801" s="96">
        <v>13067</v>
      </c>
      <c r="C801" s="97" t="s">
        <v>395</v>
      </c>
      <c r="D801" s="98">
        <v>2</v>
      </c>
    </row>
    <row r="802" spans="1:4" x14ac:dyDescent="0.2">
      <c r="A802" s="95">
        <v>722</v>
      </c>
      <c r="B802" s="96">
        <v>13068</v>
      </c>
      <c r="C802" s="97" t="s">
        <v>395</v>
      </c>
      <c r="D802" s="98">
        <v>1</v>
      </c>
    </row>
    <row r="803" spans="1:4" x14ac:dyDescent="0.2">
      <c r="A803" s="95">
        <v>723</v>
      </c>
      <c r="B803" s="96">
        <v>13070</v>
      </c>
      <c r="C803" s="97" t="s">
        <v>395</v>
      </c>
      <c r="D803" s="98">
        <v>2</v>
      </c>
    </row>
    <row r="804" spans="1:4" x14ac:dyDescent="0.2">
      <c r="A804" s="95">
        <v>723</v>
      </c>
      <c r="B804" s="96">
        <v>13071</v>
      </c>
      <c r="C804" s="97" t="s">
        <v>395</v>
      </c>
      <c r="D804" s="98">
        <v>1</v>
      </c>
    </row>
    <row r="805" spans="1:4" x14ac:dyDescent="0.2">
      <c r="A805" s="95">
        <v>724</v>
      </c>
      <c r="B805" s="96">
        <v>13073</v>
      </c>
      <c r="C805" s="97" t="s">
        <v>395</v>
      </c>
      <c r="D805" s="98">
        <v>2</v>
      </c>
    </row>
    <row r="806" spans="1:4" x14ac:dyDescent="0.2">
      <c r="A806" s="95">
        <v>724</v>
      </c>
      <c r="B806" s="96">
        <v>13074</v>
      </c>
      <c r="C806" s="97" t="s">
        <v>395</v>
      </c>
      <c r="D806" s="98">
        <v>1</v>
      </c>
    </row>
    <row r="807" spans="1:4" x14ac:dyDescent="0.2">
      <c r="A807" s="95">
        <v>725</v>
      </c>
      <c r="B807" s="96">
        <v>13076</v>
      </c>
      <c r="C807" s="97" t="s">
        <v>395</v>
      </c>
      <c r="D807" s="98">
        <v>2</v>
      </c>
    </row>
    <row r="808" spans="1:4" x14ac:dyDescent="0.2">
      <c r="A808" s="95">
        <v>725</v>
      </c>
      <c r="B808" s="96">
        <v>13077</v>
      </c>
      <c r="C808" s="97" t="s">
        <v>395</v>
      </c>
      <c r="D808" s="98">
        <v>1</v>
      </c>
    </row>
    <row r="809" spans="1:4" x14ac:dyDescent="0.2">
      <c r="A809" s="95">
        <v>726</v>
      </c>
      <c r="B809" s="96">
        <v>13079</v>
      </c>
      <c r="C809" s="97" t="s">
        <v>395</v>
      </c>
      <c r="D809" s="98">
        <v>2</v>
      </c>
    </row>
    <row r="810" spans="1:4" x14ac:dyDescent="0.2">
      <c r="A810" s="95">
        <v>726</v>
      </c>
      <c r="B810" s="96">
        <v>13080</v>
      </c>
      <c r="C810" s="97" t="s">
        <v>395</v>
      </c>
      <c r="D810" s="98">
        <v>1</v>
      </c>
    </row>
    <row r="811" spans="1:4" x14ac:dyDescent="0.2">
      <c r="A811" s="95">
        <v>727</v>
      </c>
      <c r="B811" s="96">
        <v>13032</v>
      </c>
      <c r="C811" s="97" t="s">
        <v>395</v>
      </c>
      <c r="D811" s="98">
        <v>2</v>
      </c>
    </row>
    <row r="812" spans="1:4" x14ac:dyDescent="0.2">
      <c r="A812" s="95">
        <v>727</v>
      </c>
      <c r="B812" s="96">
        <v>13033</v>
      </c>
      <c r="C812" s="97" t="s">
        <v>395</v>
      </c>
      <c r="D812" s="98">
        <v>1</v>
      </c>
    </row>
    <row r="813" spans="1:4" x14ac:dyDescent="0.2">
      <c r="A813" s="95">
        <v>728</v>
      </c>
      <c r="B813" s="96">
        <v>13034</v>
      </c>
      <c r="C813" s="97" t="s">
        <v>396</v>
      </c>
      <c r="D813" s="98">
        <v>2</v>
      </c>
    </row>
    <row r="814" spans="1:4" x14ac:dyDescent="0.2">
      <c r="A814" s="95">
        <v>729</v>
      </c>
      <c r="B814" s="96">
        <v>13035</v>
      </c>
      <c r="C814" s="97" t="s">
        <v>395</v>
      </c>
      <c r="D814" s="98">
        <v>2</v>
      </c>
    </row>
    <row r="815" spans="1:4" x14ac:dyDescent="0.2">
      <c r="A815" s="95">
        <v>729</v>
      </c>
      <c r="B815" s="96">
        <v>13036</v>
      </c>
      <c r="C815" s="97" t="s">
        <v>395</v>
      </c>
      <c r="D815" s="98">
        <v>1</v>
      </c>
    </row>
    <row r="816" spans="1:4" x14ac:dyDescent="0.2">
      <c r="A816" s="95">
        <v>730</v>
      </c>
      <c r="B816" s="96">
        <v>13037</v>
      </c>
      <c r="C816" s="97" t="s">
        <v>396</v>
      </c>
      <c r="D816" s="98">
        <v>2</v>
      </c>
    </row>
    <row r="817" spans="1:4" x14ac:dyDescent="0.2">
      <c r="A817" s="95">
        <v>731</v>
      </c>
      <c r="B817" s="96">
        <v>13038</v>
      </c>
      <c r="C817" s="97" t="s">
        <v>395</v>
      </c>
      <c r="D817" s="98">
        <v>2</v>
      </c>
    </row>
    <row r="818" spans="1:4" x14ac:dyDescent="0.2">
      <c r="A818" s="95">
        <v>731</v>
      </c>
      <c r="B818" s="96">
        <v>13039</v>
      </c>
      <c r="C818" s="97" t="s">
        <v>395</v>
      </c>
      <c r="D818" s="98">
        <v>1</v>
      </c>
    </row>
    <row r="819" spans="1:4" x14ac:dyDescent="0.2">
      <c r="A819" s="95">
        <v>732</v>
      </c>
      <c r="B819" s="96">
        <v>13040</v>
      </c>
      <c r="C819" s="97" t="s">
        <v>396</v>
      </c>
      <c r="D819" s="98">
        <v>2</v>
      </c>
    </row>
    <row r="820" spans="1:4" x14ac:dyDescent="0.2">
      <c r="A820" s="95">
        <v>733</v>
      </c>
      <c r="B820" s="96">
        <v>13041</v>
      </c>
      <c r="C820" s="97" t="s">
        <v>395</v>
      </c>
      <c r="D820" s="98">
        <v>2</v>
      </c>
    </row>
    <row r="821" spans="1:4" x14ac:dyDescent="0.2">
      <c r="A821" s="95">
        <v>733</v>
      </c>
      <c r="B821" s="96">
        <v>13042</v>
      </c>
      <c r="C821" s="97" t="s">
        <v>395</v>
      </c>
      <c r="D821" s="98">
        <v>1</v>
      </c>
    </row>
    <row r="822" spans="1:4" x14ac:dyDescent="0.2">
      <c r="A822" s="95">
        <v>734</v>
      </c>
      <c r="B822" s="96">
        <v>13043</v>
      </c>
      <c r="C822" s="97" t="s">
        <v>396</v>
      </c>
      <c r="D822" s="98">
        <v>2</v>
      </c>
    </row>
    <row r="823" spans="1:4" x14ac:dyDescent="0.2">
      <c r="A823" s="95">
        <v>735</v>
      </c>
      <c r="B823" s="96">
        <v>13044</v>
      </c>
      <c r="C823" s="97" t="s">
        <v>395</v>
      </c>
      <c r="D823" s="98">
        <v>2</v>
      </c>
    </row>
    <row r="824" spans="1:4" x14ac:dyDescent="0.2">
      <c r="A824" s="95">
        <v>735</v>
      </c>
      <c r="B824" s="96">
        <v>13045</v>
      </c>
      <c r="C824" s="97" t="s">
        <v>395</v>
      </c>
      <c r="D824" s="98">
        <v>1</v>
      </c>
    </row>
    <row r="825" spans="1:4" x14ac:dyDescent="0.2">
      <c r="A825" s="95">
        <v>736</v>
      </c>
      <c r="B825" s="96">
        <v>13046</v>
      </c>
      <c r="C825" s="97" t="s">
        <v>396</v>
      </c>
      <c r="D825" s="98">
        <v>2</v>
      </c>
    </row>
    <row r="826" spans="1:4" x14ac:dyDescent="0.2">
      <c r="A826" s="95">
        <v>737</v>
      </c>
      <c r="B826" s="96">
        <v>13047</v>
      </c>
      <c r="C826" s="97" t="s">
        <v>395</v>
      </c>
      <c r="D826" s="98">
        <v>2</v>
      </c>
    </row>
    <row r="827" spans="1:4" x14ac:dyDescent="0.2">
      <c r="A827" s="95">
        <v>737</v>
      </c>
      <c r="B827" s="96">
        <v>13048</v>
      </c>
      <c r="C827" s="97" t="s">
        <v>395</v>
      </c>
      <c r="D827" s="98">
        <v>1</v>
      </c>
    </row>
    <row r="828" spans="1:4" x14ac:dyDescent="0.2">
      <c r="A828" s="95">
        <v>738</v>
      </c>
      <c r="B828" s="96">
        <v>13049</v>
      </c>
      <c r="C828" s="97" t="s">
        <v>396</v>
      </c>
      <c r="D828" s="98">
        <v>2</v>
      </c>
    </row>
    <row r="829" spans="1:4" x14ac:dyDescent="0.2">
      <c r="A829" s="95">
        <v>739</v>
      </c>
      <c r="B829" s="96">
        <v>13050</v>
      </c>
      <c r="C829" s="97" t="s">
        <v>395</v>
      </c>
      <c r="D829" s="98">
        <v>2</v>
      </c>
    </row>
    <row r="830" spans="1:4" x14ac:dyDescent="0.2">
      <c r="A830" s="95">
        <v>739</v>
      </c>
      <c r="B830" s="96">
        <v>13051</v>
      </c>
      <c r="C830" s="97" t="s">
        <v>395</v>
      </c>
      <c r="D830" s="98">
        <v>1</v>
      </c>
    </row>
    <row r="831" spans="1:4" x14ac:dyDescent="0.2">
      <c r="A831" s="95">
        <v>740</v>
      </c>
      <c r="B831" s="96">
        <v>13052</v>
      </c>
      <c r="C831" s="97" t="s">
        <v>396</v>
      </c>
      <c r="D831" s="98">
        <v>2</v>
      </c>
    </row>
    <row r="832" spans="1:4" x14ac:dyDescent="0.2">
      <c r="A832" s="95">
        <v>741</v>
      </c>
      <c r="B832" s="96">
        <v>13053</v>
      </c>
      <c r="C832" s="97" t="s">
        <v>395</v>
      </c>
      <c r="D832" s="98">
        <v>2</v>
      </c>
    </row>
    <row r="833" spans="1:4" x14ac:dyDescent="0.2">
      <c r="A833" s="95">
        <v>741</v>
      </c>
      <c r="B833" s="96">
        <v>13054</v>
      </c>
      <c r="C833" s="97" t="s">
        <v>395</v>
      </c>
      <c r="D833" s="98">
        <v>1</v>
      </c>
    </row>
    <row r="834" spans="1:4" x14ac:dyDescent="0.2">
      <c r="A834" s="95">
        <v>742</v>
      </c>
      <c r="B834" s="96">
        <v>13055</v>
      </c>
      <c r="C834" s="97" t="s">
        <v>396</v>
      </c>
      <c r="D834" s="98">
        <v>2</v>
      </c>
    </row>
    <row r="835" spans="1:4" x14ac:dyDescent="0.2">
      <c r="A835" s="95">
        <v>743</v>
      </c>
      <c r="B835" s="96">
        <v>13056</v>
      </c>
      <c r="C835" s="97" t="s">
        <v>395</v>
      </c>
      <c r="D835" s="98">
        <v>2</v>
      </c>
    </row>
    <row r="836" spans="1:4" x14ac:dyDescent="0.2">
      <c r="A836" s="95">
        <v>743</v>
      </c>
      <c r="B836" s="96">
        <v>13057</v>
      </c>
      <c r="C836" s="97" t="s">
        <v>395</v>
      </c>
      <c r="D836" s="98">
        <v>1</v>
      </c>
    </row>
    <row r="837" spans="1:4" x14ac:dyDescent="0.2">
      <c r="A837" s="95">
        <v>744</v>
      </c>
      <c r="B837" s="96">
        <v>13058</v>
      </c>
      <c r="C837" s="97" t="s">
        <v>396</v>
      </c>
      <c r="D837" s="98">
        <v>2</v>
      </c>
    </row>
    <row r="838" spans="1:4" x14ac:dyDescent="0.2">
      <c r="A838" s="95">
        <v>745</v>
      </c>
      <c r="B838" s="96">
        <v>13059</v>
      </c>
      <c r="C838" s="97" t="s">
        <v>395</v>
      </c>
      <c r="D838" s="98">
        <v>2</v>
      </c>
    </row>
    <row r="839" spans="1:4" x14ac:dyDescent="0.2">
      <c r="A839" s="95">
        <v>745</v>
      </c>
      <c r="B839" s="96">
        <v>13060</v>
      </c>
      <c r="C839" s="97" t="s">
        <v>395</v>
      </c>
      <c r="D839" s="98">
        <v>1</v>
      </c>
    </row>
    <row r="840" spans="1:4" x14ac:dyDescent="0.2">
      <c r="A840" s="95">
        <v>746</v>
      </c>
      <c r="B840" s="96">
        <v>13061</v>
      </c>
      <c r="C840" s="97" t="s">
        <v>396</v>
      </c>
      <c r="D840" s="98">
        <v>2</v>
      </c>
    </row>
    <row r="841" spans="1:4" x14ac:dyDescent="0.2">
      <c r="A841" s="95">
        <v>747</v>
      </c>
      <c r="B841" s="96">
        <v>13062</v>
      </c>
      <c r="C841" s="97" t="s">
        <v>395</v>
      </c>
      <c r="D841" s="98">
        <v>2</v>
      </c>
    </row>
    <row r="842" spans="1:4" x14ac:dyDescent="0.2">
      <c r="A842" s="95">
        <v>747</v>
      </c>
      <c r="B842" s="96">
        <v>13063</v>
      </c>
      <c r="C842" s="97" t="s">
        <v>395</v>
      </c>
      <c r="D842" s="98">
        <v>1</v>
      </c>
    </row>
    <row r="843" spans="1:4" x14ac:dyDescent="0.2">
      <c r="A843" s="95">
        <v>748</v>
      </c>
      <c r="B843" s="96">
        <v>13064</v>
      </c>
      <c r="C843" s="97" t="s">
        <v>395</v>
      </c>
      <c r="D843" s="98">
        <v>2</v>
      </c>
    </row>
    <row r="844" spans="1:4" x14ac:dyDescent="0.2">
      <c r="A844" s="95">
        <v>748</v>
      </c>
      <c r="B844" s="96">
        <v>13065</v>
      </c>
      <c r="C844" s="97" t="s">
        <v>395</v>
      </c>
      <c r="D844" s="98">
        <v>1</v>
      </c>
    </row>
    <row r="845" spans="1:4" x14ac:dyDescent="0.2">
      <c r="A845" s="95">
        <v>749</v>
      </c>
      <c r="B845" s="96">
        <v>13066</v>
      </c>
      <c r="C845" s="97" t="s">
        <v>396</v>
      </c>
      <c r="D845" s="98">
        <v>2</v>
      </c>
    </row>
    <row r="846" spans="1:4" x14ac:dyDescent="0.2">
      <c r="A846" s="95">
        <v>752</v>
      </c>
      <c r="B846" s="96">
        <v>13011</v>
      </c>
      <c r="C846" s="97" t="s">
        <v>395</v>
      </c>
      <c r="D846" s="98">
        <v>2</v>
      </c>
    </row>
    <row r="847" spans="1:4" x14ac:dyDescent="0.2">
      <c r="A847" s="95">
        <v>752</v>
      </c>
      <c r="B847" s="96">
        <v>13012</v>
      </c>
      <c r="C847" s="97" t="s">
        <v>395</v>
      </c>
      <c r="D847" s="98">
        <v>1</v>
      </c>
    </row>
    <row r="848" spans="1:4" x14ac:dyDescent="0.2">
      <c r="A848" s="95">
        <v>753</v>
      </c>
      <c r="B848" s="96">
        <v>13013</v>
      </c>
      <c r="C848" s="97" t="s">
        <v>397</v>
      </c>
      <c r="D848" s="98">
        <v>2</v>
      </c>
    </row>
    <row r="849" spans="1:4" x14ac:dyDescent="0.2">
      <c r="A849" s="95">
        <v>754</v>
      </c>
      <c r="B849" s="96">
        <v>13014</v>
      </c>
      <c r="C849" s="97" t="s">
        <v>395</v>
      </c>
      <c r="D849" s="98">
        <v>2</v>
      </c>
    </row>
    <row r="850" spans="1:4" x14ac:dyDescent="0.2">
      <c r="A850" s="95">
        <v>754</v>
      </c>
      <c r="B850" s="96">
        <v>13015</v>
      </c>
      <c r="C850" s="97" t="s">
        <v>395</v>
      </c>
      <c r="D850" s="98">
        <v>1</v>
      </c>
    </row>
    <row r="851" spans="1:4" x14ac:dyDescent="0.2">
      <c r="A851" s="95">
        <v>755</v>
      </c>
      <c r="B851" s="96">
        <v>13016</v>
      </c>
      <c r="C851" s="97" t="s">
        <v>397</v>
      </c>
      <c r="D851" s="98">
        <v>2</v>
      </c>
    </row>
    <row r="852" spans="1:4" x14ac:dyDescent="0.2">
      <c r="A852" s="95">
        <v>756</v>
      </c>
      <c r="B852" s="96">
        <v>13017</v>
      </c>
      <c r="C852" s="97" t="s">
        <v>395</v>
      </c>
      <c r="D852" s="98">
        <v>2</v>
      </c>
    </row>
    <row r="853" spans="1:4" x14ac:dyDescent="0.2">
      <c r="A853" s="95">
        <v>756</v>
      </c>
      <c r="B853" s="96">
        <v>13018</v>
      </c>
      <c r="C853" s="97" t="s">
        <v>395</v>
      </c>
      <c r="D853" s="98">
        <v>1</v>
      </c>
    </row>
    <row r="854" spans="1:4" x14ac:dyDescent="0.2">
      <c r="A854" s="95">
        <v>757</v>
      </c>
      <c r="B854" s="96">
        <v>13019</v>
      </c>
      <c r="C854" s="97" t="s">
        <v>397</v>
      </c>
      <c r="D854" s="98">
        <v>2</v>
      </c>
    </row>
    <row r="855" spans="1:4" x14ac:dyDescent="0.2">
      <c r="A855" s="95">
        <v>758</v>
      </c>
      <c r="B855" s="96">
        <v>13020</v>
      </c>
      <c r="C855" s="97" t="s">
        <v>395</v>
      </c>
      <c r="D855" s="98">
        <v>2</v>
      </c>
    </row>
    <row r="856" spans="1:4" x14ac:dyDescent="0.2">
      <c r="A856" s="95">
        <v>758</v>
      </c>
      <c r="B856" s="96">
        <v>13021</v>
      </c>
      <c r="C856" s="97" t="s">
        <v>395</v>
      </c>
      <c r="D856" s="98">
        <v>1</v>
      </c>
    </row>
    <row r="857" spans="1:4" x14ac:dyDescent="0.2">
      <c r="A857" s="95">
        <v>759</v>
      </c>
      <c r="B857" s="96">
        <v>13022</v>
      </c>
      <c r="C857" s="97" t="s">
        <v>397</v>
      </c>
      <c r="D857" s="98">
        <v>2</v>
      </c>
    </row>
    <row r="858" spans="1:4" x14ac:dyDescent="0.2">
      <c r="A858" s="95">
        <v>760</v>
      </c>
      <c r="B858" s="96">
        <v>13023</v>
      </c>
      <c r="C858" s="97" t="s">
        <v>395</v>
      </c>
      <c r="D858" s="98">
        <v>2</v>
      </c>
    </row>
    <row r="859" spans="1:4" x14ac:dyDescent="0.2">
      <c r="A859" s="95">
        <v>760</v>
      </c>
      <c r="B859" s="96">
        <v>13024</v>
      </c>
      <c r="C859" s="97" t="s">
        <v>395</v>
      </c>
      <c r="D859" s="98">
        <v>1</v>
      </c>
    </row>
    <row r="860" spans="1:4" x14ac:dyDescent="0.2">
      <c r="A860" s="95">
        <v>761</v>
      </c>
      <c r="B860" s="96">
        <v>13025</v>
      </c>
      <c r="C860" s="97" t="s">
        <v>397</v>
      </c>
      <c r="D860" s="98">
        <v>2</v>
      </c>
    </row>
    <row r="861" spans="1:4" x14ac:dyDescent="0.2">
      <c r="A861" s="95">
        <v>762</v>
      </c>
      <c r="B861" s="96">
        <v>13026</v>
      </c>
      <c r="C861" s="97" t="s">
        <v>395</v>
      </c>
      <c r="D861" s="98">
        <v>2</v>
      </c>
    </row>
    <row r="862" spans="1:4" x14ac:dyDescent="0.2">
      <c r="A862" s="95">
        <v>762</v>
      </c>
      <c r="B862" s="96">
        <v>13027</v>
      </c>
      <c r="C862" s="97" t="s">
        <v>395</v>
      </c>
      <c r="D862" s="98">
        <v>1</v>
      </c>
    </row>
    <row r="863" spans="1:4" x14ac:dyDescent="0.2">
      <c r="A863" s="95">
        <v>763</v>
      </c>
      <c r="B863" s="96">
        <v>13028</v>
      </c>
      <c r="C863" s="97" t="s">
        <v>397</v>
      </c>
      <c r="D863" s="98">
        <v>2</v>
      </c>
    </row>
    <row r="864" spans="1:4" x14ac:dyDescent="0.2">
      <c r="A864" s="95">
        <v>764</v>
      </c>
      <c r="B864" s="96">
        <v>13002</v>
      </c>
      <c r="C864" s="97" t="s">
        <v>395</v>
      </c>
      <c r="D864" s="98">
        <v>2</v>
      </c>
    </row>
    <row r="865" spans="1:4" x14ac:dyDescent="0.2">
      <c r="A865" s="95">
        <v>764</v>
      </c>
      <c r="B865" s="96">
        <v>13003</v>
      </c>
      <c r="C865" s="97" t="s">
        <v>395</v>
      </c>
      <c r="D865" s="98">
        <v>1</v>
      </c>
    </row>
    <row r="866" spans="1:4" x14ac:dyDescent="0.2">
      <c r="A866" s="95">
        <v>765</v>
      </c>
      <c r="B866" s="96">
        <v>13004</v>
      </c>
      <c r="C866" s="97" t="s">
        <v>397</v>
      </c>
      <c r="D866" s="98">
        <v>2</v>
      </c>
    </row>
    <row r="867" spans="1:4" x14ac:dyDescent="0.2">
      <c r="A867" s="95">
        <v>766</v>
      </c>
      <c r="B867" s="96">
        <v>13005</v>
      </c>
      <c r="C867" s="97" t="s">
        <v>395</v>
      </c>
      <c r="D867" s="98">
        <v>2</v>
      </c>
    </row>
    <row r="868" spans="1:4" x14ac:dyDescent="0.2">
      <c r="A868" s="95">
        <v>766</v>
      </c>
      <c r="B868" s="96">
        <v>13006</v>
      </c>
      <c r="C868" s="97" t="s">
        <v>395</v>
      </c>
      <c r="D868" s="98">
        <v>1</v>
      </c>
    </row>
    <row r="869" spans="1:4" x14ac:dyDescent="0.2">
      <c r="A869" s="95">
        <v>767</v>
      </c>
      <c r="B869" s="96">
        <v>13007</v>
      </c>
      <c r="C869" s="97" t="s">
        <v>397</v>
      </c>
      <c r="D869" s="98">
        <v>2</v>
      </c>
    </row>
    <row r="870" spans="1:4" x14ac:dyDescent="0.2">
      <c r="A870" s="95">
        <v>768</v>
      </c>
      <c r="B870" s="96">
        <v>13008</v>
      </c>
      <c r="C870" s="97" t="s">
        <v>395</v>
      </c>
      <c r="D870" s="98">
        <v>2</v>
      </c>
    </row>
    <row r="871" spans="1:4" x14ac:dyDescent="0.2">
      <c r="A871" s="95">
        <v>768</v>
      </c>
      <c r="B871" s="96">
        <v>13009</v>
      </c>
      <c r="C871" s="97" t="s">
        <v>395</v>
      </c>
      <c r="D871" s="98">
        <v>1</v>
      </c>
    </row>
    <row r="872" spans="1:4" x14ac:dyDescent="0.2">
      <c r="A872" s="95">
        <v>769</v>
      </c>
      <c r="B872" s="96">
        <v>13010</v>
      </c>
      <c r="C872" s="97" t="s">
        <v>397</v>
      </c>
      <c r="D872" s="98">
        <v>2</v>
      </c>
    </row>
    <row r="873" spans="1:4" x14ac:dyDescent="0.2">
      <c r="A873" s="95">
        <v>770</v>
      </c>
      <c r="B873" s="96">
        <v>13001</v>
      </c>
      <c r="C873" s="97" t="s">
        <v>398</v>
      </c>
      <c r="D873" s="98">
        <v>2</v>
      </c>
    </row>
    <row r="874" spans="1:4" x14ac:dyDescent="0.2">
      <c r="A874" s="95">
        <v>775</v>
      </c>
      <c r="B874" s="96">
        <v>334</v>
      </c>
      <c r="C874" s="97" t="s">
        <v>399</v>
      </c>
      <c r="D874" s="98" t="s">
        <v>219</v>
      </c>
    </row>
    <row r="875" spans="1:4" x14ac:dyDescent="0.2">
      <c r="A875" s="95">
        <v>776</v>
      </c>
      <c r="B875" s="96">
        <v>335</v>
      </c>
      <c r="C875" s="97" t="s">
        <v>399</v>
      </c>
      <c r="D875" s="98" t="s">
        <v>219</v>
      </c>
    </row>
    <row r="876" spans="1:4" x14ac:dyDescent="0.2">
      <c r="A876" s="95">
        <v>781</v>
      </c>
      <c r="B876" s="96">
        <v>327</v>
      </c>
      <c r="C876" s="97" t="s">
        <v>395</v>
      </c>
      <c r="D876" s="98" t="s">
        <v>219</v>
      </c>
    </row>
    <row r="877" spans="1:4" x14ac:dyDescent="0.2">
      <c r="A877" s="95">
        <v>782</v>
      </c>
      <c r="B877" s="96">
        <v>13069</v>
      </c>
      <c r="C877" s="97" t="s">
        <v>395</v>
      </c>
      <c r="D877" s="98">
        <v>1</v>
      </c>
    </row>
    <row r="878" spans="1:4" x14ac:dyDescent="0.2">
      <c r="A878" s="95">
        <v>783</v>
      </c>
      <c r="B878" s="96">
        <v>13072</v>
      </c>
      <c r="C878" s="97" t="s">
        <v>395</v>
      </c>
      <c r="D878" s="98">
        <v>1</v>
      </c>
    </row>
    <row r="879" spans="1:4" x14ac:dyDescent="0.2">
      <c r="A879" s="95">
        <v>784</v>
      </c>
      <c r="B879" s="96">
        <v>13075</v>
      </c>
      <c r="C879" s="97" t="s">
        <v>395</v>
      </c>
      <c r="D879" s="98">
        <v>1</v>
      </c>
    </row>
    <row r="880" spans="1:4" x14ac:dyDescent="0.2">
      <c r="A880" s="95">
        <v>785</v>
      </c>
      <c r="B880" s="96">
        <v>13078</v>
      </c>
      <c r="C880" s="97" t="s">
        <v>395</v>
      </c>
      <c r="D880" s="98">
        <v>1</v>
      </c>
    </row>
    <row r="881" spans="1:4" x14ac:dyDescent="0.2">
      <c r="A881" s="95">
        <v>786</v>
      </c>
      <c r="B881" s="96">
        <v>13081</v>
      </c>
      <c r="C881" s="97" t="s">
        <v>395</v>
      </c>
      <c r="D881" s="98">
        <v>1</v>
      </c>
    </row>
    <row r="882" spans="1:4" x14ac:dyDescent="0.2">
      <c r="A882" s="95">
        <v>787</v>
      </c>
      <c r="B882" s="96">
        <v>13082</v>
      </c>
      <c r="C882" s="97" t="s">
        <v>400</v>
      </c>
      <c r="D882" s="98">
        <v>2</v>
      </c>
    </row>
    <row r="883" spans="1:4" x14ac:dyDescent="0.2">
      <c r="A883" s="95">
        <v>787</v>
      </c>
      <c r="B883" s="96">
        <v>13083</v>
      </c>
      <c r="C883" s="97" t="s">
        <v>400</v>
      </c>
      <c r="D883" s="98">
        <v>1</v>
      </c>
    </row>
    <row r="884" spans="1:4" x14ac:dyDescent="0.2">
      <c r="A884" s="95">
        <v>788</v>
      </c>
      <c r="B884" s="96">
        <v>13084</v>
      </c>
      <c r="C884" s="97" t="s">
        <v>401</v>
      </c>
      <c r="D884" s="98">
        <v>1</v>
      </c>
    </row>
    <row r="885" spans="1:4" x14ac:dyDescent="0.2">
      <c r="A885" s="95">
        <v>789</v>
      </c>
      <c r="B885" s="96">
        <v>13085</v>
      </c>
      <c r="C885" s="97" t="s">
        <v>402</v>
      </c>
      <c r="D885" s="98">
        <v>2</v>
      </c>
    </row>
    <row r="886" spans="1:4" x14ac:dyDescent="0.2">
      <c r="A886" s="95">
        <v>789</v>
      </c>
      <c r="B886" s="96">
        <v>13086</v>
      </c>
      <c r="C886" s="97" t="s">
        <v>402</v>
      </c>
      <c r="D886" s="98">
        <v>1</v>
      </c>
    </row>
    <row r="887" spans="1:4" x14ac:dyDescent="0.2">
      <c r="A887" s="95">
        <v>790</v>
      </c>
      <c r="B887" s="96">
        <v>13087</v>
      </c>
      <c r="C887" s="97" t="s">
        <v>403</v>
      </c>
      <c r="D887" s="98">
        <v>1</v>
      </c>
    </row>
    <row r="888" spans="1:4" x14ac:dyDescent="0.2">
      <c r="A888" s="95">
        <v>791</v>
      </c>
      <c r="B888" s="96">
        <v>13088</v>
      </c>
      <c r="C888" s="97" t="s">
        <v>404</v>
      </c>
      <c r="D888" s="98">
        <v>2</v>
      </c>
    </row>
    <row r="889" spans="1:4" x14ac:dyDescent="0.2">
      <c r="A889" s="95">
        <v>791</v>
      </c>
      <c r="B889" s="96">
        <v>13089</v>
      </c>
      <c r="C889" s="97" t="s">
        <v>404</v>
      </c>
      <c r="D889" s="98">
        <v>1</v>
      </c>
    </row>
    <row r="890" spans="1:4" x14ac:dyDescent="0.2">
      <c r="A890" s="95">
        <v>792</v>
      </c>
      <c r="B890" s="96">
        <v>13090</v>
      </c>
      <c r="C890" s="97" t="s">
        <v>405</v>
      </c>
      <c r="D890" s="98">
        <v>1</v>
      </c>
    </row>
    <row r="891" spans="1:4" x14ac:dyDescent="0.2">
      <c r="A891" s="95">
        <v>793</v>
      </c>
      <c r="B891" s="96">
        <v>13091</v>
      </c>
      <c r="C891" s="97" t="s">
        <v>395</v>
      </c>
      <c r="D891" s="98">
        <v>2</v>
      </c>
    </row>
    <row r="892" spans="1:4" x14ac:dyDescent="0.2">
      <c r="A892" s="95">
        <v>793</v>
      </c>
      <c r="B892" s="96">
        <v>13092</v>
      </c>
      <c r="C892" s="97" t="s">
        <v>395</v>
      </c>
      <c r="D892" s="98">
        <v>1</v>
      </c>
    </row>
    <row r="893" spans="1:4" x14ac:dyDescent="0.2">
      <c r="A893" s="95">
        <v>794</v>
      </c>
      <c r="B893" s="96">
        <v>13093</v>
      </c>
      <c r="C893" s="97" t="s">
        <v>396</v>
      </c>
      <c r="D893" s="98">
        <v>2</v>
      </c>
    </row>
    <row r="894" spans="1:4" x14ac:dyDescent="0.2">
      <c r="A894" s="95">
        <v>801</v>
      </c>
      <c r="B894" s="96">
        <v>306</v>
      </c>
      <c r="C894" s="97" t="s">
        <v>322</v>
      </c>
      <c r="D894" s="98">
        <v>1</v>
      </c>
    </row>
    <row r="895" spans="1:4" x14ac:dyDescent="0.2">
      <c r="A895" s="95">
        <v>802</v>
      </c>
      <c r="B895" s="96">
        <v>14005</v>
      </c>
      <c r="C895" s="97" t="s">
        <v>406</v>
      </c>
      <c r="D895" s="98">
        <v>2</v>
      </c>
    </row>
    <row r="896" spans="1:4" x14ac:dyDescent="0.2">
      <c r="A896" s="95">
        <v>802</v>
      </c>
      <c r="B896" s="96">
        <v>14006</v>
      </c>
      <c r="C896" s="97" t="s">
        <v>406</v>
      </c>
      <c r="D896" s="98">
        <v>1</v>
      </c>
    </row>
    <row r="897" spans="1:4" x14ac:dyDescent="0.2">
      <c r="A897" s="95">
        <v>803</v>
      </c>
      <c r="B897" s="96">
        <v>14007</v>
      </c>
      <c r="C897" s="97" t="s">
        <v>407</v>
      </c>
      <c r="D897" s="98" t="s">
        <v>219</v>
      </c>
    </row>
    <row r="898" spans="1:4" x14ac:dyDescent="0.2">
      <c r="A898" s="95">
        <v>804</v>
      </c>
      <c r="B898" s="96">
        <v>14008</v>
      </c>
      <c r="C898" s="97" t="s">
        <v>406</v>
      </c>
      <c r="D898" s="98">
        <v>2</v>
      </c>
    </row>
    <row r="899" spans="1:4" x14ac:dyDescent="0.2">
      <c r="A899" s="95">
        <v>804</v>
      </c>
      <c r="B899" s="96">
        <v>14009</v>
      </c>
      <c r="C899" s="97" t="s">
        <v>406</v>
      </c>
      <c r="D899" s="98">
        <v>1</v>
      </c>
    </row>
    <row r="900" spans="1:4" x14ac:dyDescent="0.2">
      <c r="A900" s="95">
        <v>805</v>
      </c>
      <c r="B900" s="96">
        <v>14010</v>
      </c>
      <c r="C900" s="97" t="s">
        <v>407</v>
      </c>
      <c r="D900" s="98" t="s">
        <v>219</v>
      </c>
    </row>
    <row r="901" spans="1:4" x14ac:dyDescent="0.2">
      <c r="A901" s="95">
        <v>806</v>
      </c>
      <c r="B901" s="96">
        <v>14011</v>
      </c>
      <c r="C901" s="97" t="s">
        <v>406</v>
      </c>
      <c r="D901" s="98">
        <v>2</v>
      </c>
    </row>
    <row r="902" spans="1:4" x14ac:dyDescent="0.2">
      <c r="A902" s="95">
        <v>806</v>
      </c>
      <c r="B902" s="96">
        <v>14012</v>
      </c>
      <c r="C902" s="97" t="s">
        <v>406</v>
      </c>
      <c r="D902" s="98">
        <v>1</v>
      </c>
    </row>
    <row r="903" spans="1:4" x14ac:dyDescent="0.2">
      <c r="A903" s="95">
        <v>807</v>
      </c>
      <c r="B903" s="96">
        <v>14013</v>
      </c>
      <c r="C903" s="97" t="s">
        <v>407</v>
      </c>
      <c r="D903" s="98" t="s">
        <v>219</v>
      </c>
    </row>
    <row r="904" spans="1:4" x14ac:dyDescent="0.2">
      <c r="A904" s="95">
        <v>808</v>
      </c>
      <c r="B904" s="96">
        <v>14017</v>
      </c>
      <c r="C904" s="97" t="s">
        <v>406</v>
      </c>
      <c r="D904" s="98">
        <v>2</v>
      </c>
    </row>
    <row r="905" spans="1:4" x14ac:dyDescent="0.2">
      <c r="A905" s="95">
        <v>808</v>
      </c>
      <c r="B905" s="96">
        <v>14018</v>
      </c>
      <c r="C905" s="97" t="s">
        <v>406</v>
      </c>
      <c r="D905" s="98">
        <v>1</v>
      </c>
    </row>
    <row r="906" spans="1:4" x14ac:dyDescent="0.2">
      <c r="A906" s="95">
        <v>809</v>
      </c>
      <c r="B906" s="96">
        <v>14019</v>
      </c>
      <c r="C906" s="97" t="s">
        <v>407</v>
      </c>
      <c r="D906" s="98" t="s">
        <v>219</v>
      </c>
    </row>
    <row r="907" spans="1:4" x14ac:dyDescent="0.2">
      <c r="A907" s="95">
        <v>810</v>
      </c>
      <c r="B907" s="96">
        <v>14020</v>
      </c>
      <c r="C907" s="97" t="s">
        <v>406</v>
      </c>
      <c r="D907" s="98">
        <v>2</v>
      </c>
    </row>
    <row r="908" spans="1:4" x14ac:dyDescent="0.2">
      <c r="A908" s="95">
        <v>810</v>
      </c>
      <c r="B908" s="96">
        <v>14021</v>
      </c>
      <c r="C908" s="97" t="s">
        <v>406</v>
      </c>
      <c r="D908" s="98">
        <v>1</v>
      </c>
    </row>
    <row r="909" spans="1:4" x14ac:dyDescent="0.2">
      <c r="A909" s="95">
        <v>811</v>
      </c>
      <c r="B909" s="96">
        <v>14022</v>
      </c>
      <c r="C909" s="97" t="s">
        <v>407</v>
      </c>
      <c r="D909" s="98" t="s">
        <v>219</v>
      </c>
    </row>
    <row r="910" spans="1:4" x14ac:dyDescent="0.2">
      <c r="A910" s="95">
        <v>812</v>
      </c>
      <c r="B910" s="96">
        <v>14023</v>
      </c>
      <c r="C910" s="97" t="s">
        <v>406</v>
      </c>
      <c r="D910" s="98">
        <v>2</v>
      </c>
    </row>
    <row r="911" spans="1:4" x14ac:dyDescent="0.2">
      <c r="A911" s="95">
        <v>812</v>
      </c>
      <c r="B911" s="96">
        <v>14024</v>
      </c>
      <c r="C911" s="97" t="s">
        <v>406</v>
      </c>
      <c r="D911" s="98">
        <v>1</v>
      </c>
    </row>
    <row r="912" spans="1:4" x14ac:dyDescent="0.2">
      <c r="A912" s="95">
        <v>813</v>
      </c>
      <c r="B912" s="96">
        <v>14025</v>
      </c>
      <c r="C912" s="97" t="s">
        <v>407</v>
      </c>
      <c r="D912" s="98" t="s">
        <v>219</v>
      </c>
    </row>
    <row r="913" spans="1:4" x14ac:dyDescent="0.2">
      <c r="A913" s="95">
        <v>814</v>
      </c>
      <c r="B913" s="96">
        <v>14029</v>
      </c>
      <c r="C913" s="97" t="s">
        <v>406</v>
      </c>
      <c r="D913" s="98">
        <v>2</v>
      </c>
    </row>
    <row r="914" spans="1:4" x14ac:dyDescent="0.2">
      <c r="A914" s="95">
        <v>814</v>
      </c>
      <c r="B914" s="96">
        <v>14030</v>
      </c>
      <c r="C914" s="97" t="s">
        <v>406</v>
      </c>
      <c r="D914" s="98">
        <v>1</v>
      </c>
    </row>
    <row r="915" spans="1:4" x14ac:dyDescent="0.2">
      <c r="A915" s="95">
        <v>815</v>
      </c>
      <c r="B915" s="96">
        <v>14031</v>
      </c>
      <c r="C915" s="97" t="s">
        <v>407</v>
      </c>
      <c r="D915" s="98" t="s">
        <v>219</v>
      </c>
    </row>
    <row r="916" spans="1:4" x14ac:dyDescent="0.2">
      <c r="A916" s="95">
        <v>816</v>
      </c>
      <c r="B916" s="96">
        <v>14032</v>
      </c>
      <c r="C916" s="97" t="s">
        <v>406</v>
      </c>
      <c r="D916" s="98">
        <v>2</v>
      </c>
    </row>
    <row r="917" spans="1:4" x14ac:dyDescent="0.2">
      <c r="A917" s="95">
        <v>816</v>
      </c>
      <c r="B917" s="96">
        <v>14033</v>
      </c>
      <c r="C917" s="97" t="s">
        <v>406</v>
      </c>
      <c r="D917" s="98">
        <v>1</v>
      </c>
    </row>
    <row r="918" spans="1:4" x14ac:dyDescent="0.2">
      <c r="A918" s="95">
        <v>817</v>
      </c>
      <c r="B918" s="96">
        <v>14034</v>
      </c>
      <c r="C918" s="97" t="s">
        <v>407</v>
      </c>
      <c r="D918" s="98" t="s">
        <v>219</v>
      </c>
    </row>
    <row r="919" spans="1:4" x14ac:dyDescent="0.2">
      <c r="A919" s="95">
        <v>818</v>
      </c>
      <c r="B919" s="96">
        <v>14035</v>
      </c>
      <c r="C919" s="97" t="s">
        <v>406</v>
      </c>
      <c r="D919" s="98">
        <v>2</v>
      </c>
    </row>
    <row r="920" spans="1:4" x14ac:dyDescent="0.2">
      <c r="A920" s="95">
        <v>818</v>
      </c>
      <c r="B920" s="96">
        <v>14036</v>
      </c>
      <c r="C920" s="97" t="s">
        <v>406</v>
      </c>
      <c r="D920" s="98">
        <v>1</v>
      </c>
    </row>
    <row r="921" spans="1:4" x14ac:dyDescent="0.2">
      <c r="A921" s="95">
        <v>819</v>
      </c>
      <c r="B921" s="96">
        <v>14037</v>
      </c>
      <c r="C921" s="97" t="s">
        <v>407</v>
      </c>
      <c r="D921" s="98" t="s">
        <v>219</v>
      </c>
    </row>
    <row r="922" spans="1:4" x14ac:dyDescent="0.2">
      <c r="A922" s="95">
        <v>820</v>
      </c>
      <c r="B922" s="96">
        <v>14042</v>
      </c>
      <c r="C922" s="97" t="s">
        <v>406</v>
      </c>
      <c r="D922" s="98">
        <v>2</v>
      </c>
    </row>
    <row r="923" spans="1:4" x14ac:dyDescent="0.2">
      <c r="A923" s="95">
        <v>820</v>
      </c>
      <c r="B923" s="96">
        <v>14043</v>
      </c>
      <c r="C923" s="97" t="s">
        <v>406</v>
      </c>
      <c r="D923" s="98">
        <v>1</v>
      </c>
    </row>
    <row r="924" spans="1:4" x14ac:dyDescent="0.2">
      <c r="A924" s="95">
        <v>821</v>
      </c>
      <c r="B924" s="96">
        <v>14044</v>
      </c>
      <c r="C924" s="97" t="s">
        <v>407</v>
      </c>
      <c r="D924" s="98" t="s">
        <v>219</v>
      </c>
    </row>
    <row r="925" spans="1:4" x14ac:dyDescent="0.2">
      <c r="A925" s="95">
        <v>822</v>
      </c>
      <c r="B925" s="96">
        <v>14045</v>
      </c>
      <c r="C925" s="97" t="s">
        <v>406</v>
      </c>
      <c r="D925" s="98">
        <v>2</v>
      </c>
    </row>
    <row r="926" spans="1:4" x14ac:dyDescent="0.2">
      <c r="A926" s="95">
        <v>822</v>
      </c>
      <c r="B926" s="96">
        <v>14046</v>
      </c>
      <c r="C926" s="97" t="s">
        <v>406</v>
      </c>
      <c r="D926" s="98">
        <v>1</v>
      </c>
    </row>
    <row r="927" spans="1:4" x14ac:dyDescent="0.2">
      <c r="A927" s="95">
        <v>823</v>
      </c>
      <c r="B927" s="96">
        <v>14047</v>
      </c>
      <c r="C927" s="97" t="s">
        <v>407</v>
      </c>
      <c r="D927" s="98" t="s">
        <v>219</v>
      </c>
    </row>
    <row r="928" spans="1:4" x14ac:dyDescent="0.2">
      <c r="A928" s="95">
        <v>824</v>
      </c>
      <c r="B928" s="96">
        <v>14048</v>
      </c>
      <c r="C928" s="97" t="s">
        <v>406</v>
      </c>
      <c r="D928" s="98">
        <v>2</v>
      </c>
    </row>
    <row r="929" spans="1:4" x14ac:dyDescent="0.2">
      <c r="A929" s="95">
        <v>824</v>
      </c>
      <c r="B929" s="96">
        <v>14049</v>
      </c>
      <c r="C929" s="97" t="s">
        <v>406</v>
      </c>
      <c r="D929" s="98">
        <v>1</v>
      </c>
    </row>
    <row r="930" spans="1:4" x14ac:dyDescent="0.2">
      <c r="A930" s="95">
        <v>825</v>
      </c>
      <c r="B930" s="96">
        <v>14050</v>
      </c>
      <c r="C930" s="97" t="s">
        <v>407</v>
      </c>
      <c r="D930" s="98" t="s">
        <v>219</v>
      </c>
    </row>
    <row r="931" spans="1:4" x14ac:dyDescent="0.2">
      <c r="A931" s="95">
        <v>826</v>
      </c>
      <c r="B931" s="96">
        <v>14069</v>
      </c>
      <c r="C931" s="97" t="s">
        <v>406</v>
      </c>
      <c r="D931" s="98">
        <v>2</v>
      </c>
    </row>
    <row r="932" spans="1:4" x14ac:dyDescent="0.2">
      <c r="A932" s="95">
        <v>826</v>
      </c>
      <c r="B932" s="96">
        <v>14070</v>
      </c>
      <c r="C932" s="97" t="s">
        <v>406</v>
      </c>
      <c r="D932" s="98">
        <v>1</v>
      </c>
    </row>
    <row r="933" spans="1:4" x14ac:dyDescent="0.2">
      <c r="A933" s="95">
        <v>827</v>
      </c>
      <c r="B933" s="96">
        <v>14071</v>
      </c>
      <c r="C933" s="97" t="s">
        <v>407</v>
      </c>
      <c r="D933" s="98" t="s">
        <v>219</v>
      </c>
    </row>
    <row r="934" spans="1:4" x14ac:dyDescent="0.2">
      <c r="A934" s="95">
        <v>828</v>
      </c>
      <c r="B934" s="96">
        <v>14072</v>
      </c>
      <c r="C934" s="97" t="s">
        <v>406</v>
      </c>
      <c r="D934" s="98">
        <v>2</v>
      </c>
    </row>
    <row r="935" spans="1:4" x14ac:dyDescent="0.2">
      <c r="A935" s="95">
        <v>828</v>
      </c>
      <c r="B935" s="96">
        <v>14073</v>
      </c>
      <c r="C935" s="97" t="s">
        <v>406</v>
      </c>
      <c r="D935" s="98">
        <v>1</v>
      </c>
    </row>
    <row r="936" spans="1:4" x14ac:dyDescent="0.2">
      <c r="A936" s="95">
        <v>829</v>
      </c>
      <c r="B936" s="96">
        <v>14074</v>
      </c>
      <c r="C936" s="97" t="s">
        <v>407</v>
      </c>
      <c r="D936" s="98" t="s">
        <v>219</v>
      </c>
    </row>
    <row r="937" spans="1:4" x14ac:dyDescent="0.2">
      <c r="A937" s="95">
        <v>830</v>
      </c>
      <c r="B937" s="96">
        <v>14075</v>
      </c>
      <c r="C937" s="97" t="s">
        <v>406</v>
      </c>
      <c r="D937" s="98">
        <v>2</v>
      </c>
    </row>
    <row r="938" spans="1:4" x14ac:dyDescent="0.2">
      <c r="A938" s="95">
        <v>830</v>
      </c>
      <c r="B938" s="96">
        <v>14076</v>
      </c>
      <c r="C938" s="97" t="s">
        <v>406</v>
      </c>
      <c r="D938" s="98">
        <v>1</v>
      </c>
    </row>
    <row r="939" spans="1:4" x14ac:dyDescent="0.2">
      <c r="A939" s="95">
        <v>831</v>
      </c>
      <c r="B939" s="96">
        <v>14077</v>
      </c>
      <c r="C939" s="97" t="s">
        <v>407</v>
      </c>
      <c r="D939" s="98" t="s">
        <v>219</v>
      </c>
    </row>
    <row r="940" spans="1:4" x14ac:dyDescent="0.2">
      <c r="A940" s="95">
        <v>832</v>
      </c>
      <c r="B940" s="96">
        <v>14085</v>
      </c>
      <c r="C940" s="97" t="s">
        <v>406</v>
      </c>
      <c r="D940" s="98">
        <v>2</v>
      </c>
    </row>
    <row r="941" spans="1:4" x14ac:dyDescent="0.2">
      <c r="A941" s="95">
        <v>832</v>
      </c>
      <c r="B941" s="96">
        <v>14086</v>
      </c>
      <c r="C941" s="97" t="s">
        <v>406</v>
      </c>
      <c r="D941" s="98">
        <v>1</v>
      </c>
    </row>
    <row r="942" spans="1:4" x14ac:dyDescent="0.2">
      <c r="A942" s="95">
        <v>833</v>
      </c>
      <c r="B942" s="96">
        <v>14087</v>
      </c>
      <c r="C942" s="97" t="s">
        <v>407</v>
      </c>
      <c r="D942" s="98" t="s">
        <v>219</v>
      </c>
    </row>
    <row r="943" spans="1:4" x14ac:dyDescent="0.2">
      <c r="A943" s="95">
        <v>834</v>
      </c>
      <c r="B943" s="96">
        <v>14088</v>
      </c>
      <c r="C943" s="97" t="s">
        <v>406</v>
      </c>
      <c r="D943" s="98">
        <v>2</v>
      </c>
    </row>
    <row r="944" spans="1:4" x14ac:dyDescent="0.2">
      <c r="A944" s="95">
        <v>834</v>
      </c>
      <c r="B944" s="96">
        <v>14089</v>
      </c>
      <c r="C944" s="97" t="s">
        <v>406</v>
      </c>
      <c r="D944" s="98">
        <v>1</v>
      </c>
    </row>
    <row r="945" spans="1:4" x14ac:dyDescent="0.2">
      <c r="A945" s="95">
        <v>835</v>
      </c>
      <c r="B945" s="96">
        <v>14090</v>
      </c>
      <c r="C945" s="97" t="s">
        <v>407</v>
      </c>
      <c r="D945" s="98" t="s">
        <v>219</v>
      </c>
    </row>
    <row r="946" spans="1:4" x14ac:dyDescent="0.2">
      <c r="A946" s="95">
        <v>836</v>
      </c>
      <c r="B946" s="96">
        <v>14091</v>
      </c>
      <c r="C946" s="97" t="s">
        <v>406</v>
      </c>
      <c r="D946" s="98">
        <v>2</v>
      </c>
    </row>
    <row r="947" spans="1:4" x14ac:dyDescent="0.2">
      <c r="A947" s="95">
        <v>836</v>
      </c>
      <c r="B947" s="96">
        <v>14092</v>
      </c>
      <c r="C947" s="97" t="s">
        <v>406</v>
      </c>
      <c r="D947" s="98">
        <v>1</v>
      </c>
    </row>
    <row r="948" spans="1:4" x14ac:dyDescent="0.2">
      <c r="A948" s="95">
        <v>837</v>
      </c>
      <c r="B948" s="96">
        <v>14093</v>
      </c>
      <c r="C948" s="97" t="s">
        <v>407</v>
      </c>
      <c r="D948" s="98" t="s">
        <v>219</v>
      </c>
    </row>
    <row r="949" spans="1:4" x14ac:dyDescent="0.2">
      <c r="A949" s="95">
        <v>838</v>
      </c>
      <c r="B949" s="96">
        <v>14094</v>
      </c>
      <c r="C949" s="97" t="s">
        <v>406</v>
      </c>
      <c r="D949" s="98">
        <v>2</v>
      </c>
    </row>
    <row r="950" spans="1:4" x14ac:dyDescent="0.2">
      <c r="A950" s="95">
        <v>838</v>
      </c>
      <c r="B950" s="96">
        <v>14095</v>
      </c>
      <c r="C950" s="97" t="s">
        <v>406</v>
      </c>
      <c r="D950" s="98">
        <v>1</v>
      </c>
    </row>
    <row r="951" spans="1:4" x14ac:dyDescent="0.2">
      <c r="A951" s="95">
        <v>839</v>
      </c>
      <c r="B951" s="96">
        <v>14096</v>
      </c>
      <c r="C951" s="97" t="s">
        <v>407</v>
      </c>
      <c r="D951" s="98" t="s">
        <v>219</v>
      </c>
    </row>
    <row r="952" spans="1:4" x14ac:dyDescent="0.2">
      <c r="A952" s="95">
        <v>840</v>
      </c>
      <c r="B952" s="96">
        <v>14110</v>
      </c>
      <c r="C952" s="97" t="s">
        <v>406</v>
      </c>
      <c r="D952" s="98">
        <v>2</v>
      </c>
    </row>
    <row r="953" spans="1:4" x14ac:dyDescent="0.2">
      <c r="A953" s="95">
        <v>840</v>
      </c>
      <c r="B953" s="96">
        <v>14111</v>
      </c>
      <c r="C953" s="97" t="s">
        <v>406</v>
      </c>
      <c r="D953" s="98">
        <v>1</v>
      </c>
    </row>
    <row r="954" spans="1:4" x14ac:dyDescent="0.2">
      <c r="A954" s="95">
        <v>841</v>
      </c>
      <c r="B954" s="96">
        <v>14112</v>
      </c>
      <c r="C954" s="97" t="s">
        <v>407</v>
      </c>
      <c r="D954" s="98" t="s">
        <v>219</v>
      </c>
    </row>
    <row r="955" spans="1:4" x14ac:dyDescent="0.2">
      <c r="A955" s="95">
        <v>842</v>
      </c>
      <c r="B955" s="96">
        <v>14113</v>
      </c>
      <c r="C955" s="97" t="s">
        <v>406</v>
      </c>
      <c r="D955" s="98">
        <v>2</v>
      </c>
    </row>
    <row r="956" spans="1:4" x14ac:dyDescent="0.2">
      <c r="A956" s="95">
        <v>842</v>
      </c>
      <c r="B956" s="96">
        <v>14114</v>
      </c>
      <c r="C956" s="97" t="s">
        <v>406</v>
      </c>
      <c r="D956" s="98">
        <v>1</v>
      </c>
    </row>
    <row r="957" spans="1:4" x14ac:dyDescent="0.2">
      <c r="A957" s="95">
        <v>843</v>
      </c>
      <c r="B957" s="96">
        <v>14115</v>
      </c>
      <c r="C957" s="97" t="s">
        <v>407</v>
      </c>
      <c r="D957" s="98" t="s">
        <v>219</v>
      </c>
    </row>
    <row r="958" spans="1:4" x14ac:dyDescent="0.2">
      <c r="A958" s="95">
        <v>844</v>
      </c>
      <c r="B958" s="96">
        <v>14116</v>
      </c>
      <c r="C958" s="97" t="s">
        <v>406</v>
      </c>
      <c r="D958" s="98">
        <v>2</v>
      </c>
    </row>
    <row r="959" spans="1:4" x14ac:dyDescent="0.2">
      <c r="A959" s="95">
        <v>844</v>
      </c>
      <c r="B959" s="96">
        <v>14117</v>
      </c>
      <c r="C959" s="97" t="s">
        <v>406</v>
      </c>
      <c r="D959" s="98">
        <v>1</v>
      </c>
    </row>
    <row r="960" spans="1:4" x14ac:dyDescent="0.2">
      <c r="A960" s="95">
        <v>845</v>
      </c>
      <c r="B960" s="96">
        <v>14118</v>
      </c>
      <c r="C960" s="97" t="s">
        <v>407</v>
      </c>
      <c r="D960" s="98" t="s">
        <v>219</v>
      </c>
    </row>
    <row r="961" spans="1:4" x14ac:dyDescent="0.2">
      <c r="A961" s="95">
        <v>846</v>
      </c>
      <c r="B961" s="96">
        <v>14138</v>
      </c>
      <c r="C961" s="97" t="s">
        <v>406</v>
      </c>
      <c r="D961" s="98">
        <v>2</v>
      </c>
    </row>
    <row r="962" spans="1:4" x14ac:dyDescent="0.2">
      <c r="A962" s="95">
        <v>846</v>
      </c>
      <c r="B962" s="96">
        <v>14139</v>
      </c>
      <c r="C962" s="97" t="s">
        <v>406</v>
      </c>
      <c r="D962" s="98">
        <v>1</v>
      </c>
    </row>
    <row r="963" spans="1:4" x14ac:dyDescent="0.2">
      <c r="A963" s="95">
        <v>847</v>
      </c>
      <c r="B963" s="96">
        <v>14140</v>
      </c>
      <c r="C963" s="97" t="s">
        <v>407</v>
      </c>
      <c r="D963" s="98" t="s">
        <v>219</v>
      </c>
    </row>
    <row r="964" spans="1:4" x14ac:dyDescent="0.2">
      <c r="A964" s="95">
        <v>848</v>
      </c>
      <c r="B964" s="96">
        <v>14141</v>
      </c>
      <c r="C964" s="97" t="s">
        <v>406</v>
      </c>
      <c r="D964" s="98">
        <v>2</v>
      </c>
    </row>
    <row r="965" spans="1:4" x14ac:dyDescent="0.2">
      <c r="A965" s="95">
        <v>848</v>
      </c>
      <c r="B965" s="96">
        <v>14142</v>
      </c>
      <c r="C965" s="97" t="s">
        <v>406</v>
      </c>
      <c r="D965" s="98">
        <v>1</v>
      </c>
    </row>
    <row r="966" spans="1:4" x14ac:dyDescent="0.2">
      <c r="A966" s="95">
        <v>849</v>
      </c>
      <c r="B966" s="96">
        <v>14143</v>
      </c>
      <c r="C966" s="97" t="s">
        <v>407</v>
      </c>
      <c r="D966" s="98" t="s">
        <v>219</v>
      </c>
    </row>
    <row r="967" spans="1:4" x14ac:dyDescent="0.2">
      <c r="A967" s="95">
        <v>850</v>
      </c>
      <c r="B967" s="96">
        <v>14014</v>
      </c>
      <c r="C967" s="97" t="s">
        <v>407</v>
      </c>
      <c r="D967" s="98" t="s">
        <v>219</v>
      </c>
    </row>
    <row r="968" spans="1:4" x14ac:dyDescent="0.2">
      <c r="A968" s="95">
        <v>851</v>
      </c>
      <c r="B968" s="96">
        <v>14038</v>
      </c>
      <c r="C968" s="97" t="s">
        <v>407</v>
      </c>
      <c r="D968" s="98" t="s">
        <v>219</v>
      </c>
    </row>
    <row r="969" spans="1:4" x14ac:dyDescent="0.2">
      <c r="A969" s="95">
        <v>852</v>
      </c>
      <c r="B969" s="96">
        <v>14001</v>
      </c>
      <c r="C969" s="97" t="s">
        <v>406</v>
      </c>
      <c r="D969" s="98">
        <v>2</v>
      </c>
    </row>
    <row r="970" spans="1:4" x14ac:dyDescent="0.2">
      <c r="A970" s="95">
        <v>852</v>
      </c>
      <c r="B970" s="96">
        <v>14002</v>
      </c>
      <c r="C970" s="97" t="s">
        <v>406</v>
      </c>
      <c r="D970" s="98">
        <v>1</v>
      </c>
    </row>
    <row r="971" spans="1:4" x14ac:dyDescent="0.2">
      <c r="A971" s="95">
        <v>853</v>
      </c>
      <c r="B971" s="96">
        <v>14081</v>
      </c>
      <c r="C971" s="97" t="s">
        <v>406</v>
      </c>
      <c r="D971" s="98">
        <v>2</v>
      </c>
    </row>
    <row r="972" spans="1:4" x14ac:dyDescent="0.2">
      <c r="A972" s="95">
        <v>853</v>
      </c>
      <c r="B972" s="96">
        <v>14082</v>
      </c>
      <c r="C972" s="97" t="s">
        <v>406</v>
      </c>
      <c r="D972" s="98">
        <v>1</v>
      </c>
    </row>
    <row r="973" spans="1:4" x14ac:dyDescent="0.2">
      <c r="A973" s="95">
        <v>854</v>
      </c>
      <c r="B973" s="96">
        <v>14083</v>
      </c>
      <c r="C973" s="97" t="s">
        <v>406</v>
      </c>
      <c r="D973" s="98">
        <v>2</v>
      </c>
    </row>
    <row r="974" spans="1:4" x14ac:dyDescent="0.2">
      <c r="A974" s="95">
        <v>854</v>
      </c>
      <c r="B974" s="96">
        <v>14084</v>
      </c>
      <c r="C974" s="97" t="s">
        <v>406</v>
      </c>
      <c r="D974" s="98">
        <v>1</v>
      </c>
    </row>
    <row r="975" spans="1:4" x14ac:dyDescent="0.2">
      <c r="A975" s="95">
        <v>855</v>
      </c>
      <c r="B975" s="96">
        <v>14103</v>
      </c>
      <c r="C975" s="97" t="s">
        <v>406</v>
      </c>
      <c r="D975" s="98">
        <v>2</v>
      </c>
    </row>
    <row r="976" spans="1:4" x14ac:dyDescent="0.2">
      <c r="A976" s="95">
        <v>855</v>
      </c>
      <c r="B976" s="96">
        <v>14104</v>
      </c>
      <c r="C976" s="97" t="s">
        <v>406</v>
      </c>
      <c r="D976" s="98">
        <v>1</v>
      </c>
    </row>
    <row r="977" spans="1:4" x14ac:dyDescent="0.2">
      <c r="A977" s="95">
        <v>856</v>
      </c>
      <c r="B977" s="96">
        <v>14105</v>
      </c>
      <c r="C977" s="97" t="s">
        <v>406</v>
      </c>
      <c r="D977" s="98">
        <v>2</v>
      </c>
    </row>
    <row r="978" spans="1:4" x14ac:dyDescent="0.2">
      <c r="A978" s="95">
        <v>856</v>
      </c>
      <c r="B978" s="96">
        <v>14106</v>
      </c>
      <c r="C978" s="97" t="s">
        <v>406</v>
      </c>
      <c r="D978" s="98">
        <v>1</v>
      </c>
    </row>
    <row r="979" spans="1:4" x14ac:dyDescent="0.2">
      <c r="A979" s="95">
        <v>857</v>
      </c>
      <c r="B979" s="96">
        <v>14015</v>
      </c>
      <c r="C979" s="97" t="s">
        <v>406</v>
      </c>
      <c r="D979" s="98">
        <v>2</v>
      </c>
    </row>
    <row r="980" spans="1:4" x14ac:dyDescent="0.2">
      <c r="A980" s="95">
        <v>857</v>
      </c>
      <c r="B980" s="96">
        <v>14016</v>
      </c>
      <c r="C980" s="97" t="s">
        <v>406</v>
      </c>
      <c r="D980" s="98">
        <v>1</v>
      </c>
    </row>
    <row r="981" spans="1:4" x14ac:dyDescent="0.2">
      <c r="A981" s="95">
        <v>858</v>
      </c>
      <c r="B981" s="96">
        <v>14039</v>
      </c>
      <c r="C981" s="97" t="s">
        <v>406</v>
      </c>
      <c r="D981" s="98">
        <v>2</v>
      </c>
    </row>
    <row r="982" spans="1:4" x14ac:dyDescent="0.2">
      <c r="A982" s="95">
        <v>858</v>
      </c>
      <c r="B982" s="96">
        <v>14040</v>
      </c>
      <c r="C982" s="97" t="s">
        <v>406</v>
      </c>
      <c r="D982" s="98">
        <v>1</v>
      </c>
    </row>
    <row r="983" spans="1:4" x14ac:dyDescent="0.2">
      <c r="A983" s="95">
        <v>859</v>
      </c>
      <c r="B983" s="96">
        <v>14003</v>
      </c>
      <c r="C983" s="97" t="s">
        <v>406</v>
      </c>
      <c r="D983" s="98">
        <v>2</v>
      </c>
    </row>
    <row r="984" spans="1:4" x14ac:dyDescent="0.2">
      <c r="A984" s="95">
        <v>859</v>
      </c>
      <c r="B984" s="96">
        <v>14004</v>
      </c>
      <c r="C984" s="97" t="s">
        <v>406</v>
      </c>
      <c r="D984" s="98">
        <v>1</v>
      </c>
    </row>
    <row r="985" spans="1:4" x14ac:dyDescent="0.2">
      <c r="A985" s="95">
        <v>860</v>
      </c>
      <c r="B985" s="96">
        <v>14026</v>
      </c>
      <c r="C985" s="97" t="s">
        <v>406</v>
      </c>
      <c r="D985" s="98">
        <v>2</v>
      </c>
    </row>
    <row r="986" spans="1:4" x14ac:dyDescent="0.2">
      <c r="A986" s="95">
        <v>860</v>
      </c>
      <c r="B986" s="96">
        <v>14027</v>
      </c>
      <c r="C986" s="97" t="s">
        <v>406</v>
      </c>
      <c r="D986" s="98">
        <v>1</v>
      </c>
    </row>
    <row r="987" spans="1:4" x14ac:dyDescent="0.2">
      <c r="A987" s="95">
        <v>861</v>
      </c>
      <c r="B987" s="96">
        <v>14051</v>
      </c>
      <c r="C987" s="97" t="s">
        <v>406</v>
      </c>
      <c r="D987" s="98">
        <v>2</v>
      </c>
    </row>
    <row r="988" spans="1:4" x14ac:dyDescent="0.2">
      <c r="A988" s="95">
        <v>861</v>
      </c>
      <c r="B988" s="96">
        <v>14052</v>
      </c>
      <c r="C988" s="97" t="s">
        <v>406</v>
      </c>
      <c r="D988" s="98">
        <v>1</v>
      </c>
    </row>
    <row r="989" spans="1:4" x14ac:dyDescent="0.2">
      <c r="A989" s="95">
        <v>862</v>
      </c>
      <c r="B989" s="96">
        <v>14107</v>
      </c>
      <c r="C989" s="97" t="s">
        <v>406</v>
      </c>
      <c r="D989" s="98">
        <v>2</v>
      </c>
    </row>
    <row r="990" spans="1:4" x14ac:dyDescent="0.2">
      <c r="A990" s="95">
        <v>862</v>
      </c>
      <c r="B990" s="96">
        <v>14108</v>
      </c>
      <c r="C990" s="97" t="s">
        <v>406</v>
      </c>
      <c r="D990" s="98">
        <v>1</v>
      </c>
    </row>
    <row r="991" spans="1:4" x14ac:dyDescent="0.2">
      <c r="A991" s="95">
        <v>863</v>
      </c>
      <c r="B991" s="96">
        <v>14054</v>
      </c>
      <c r="C991" s="97" t="s">
        <v>406</v>
      </c>
      <c r="D991" s="98">
        <v>2</v>
      </c>
    </row>
    <row r="992" spans="1:4" x14ac:dyDescent="0.2">
      <c r="A992" s="95">
        <v>863</v>
      </c>
      <c r="B992" s="96">
        <v>14055</v>
      </c>
      <c r="C992" s="97" t="s">
        <v>406</v>
      </c>
      <c r="D992" s="98">
        <v>1</v>
      </c>
    </row>
    <row r="993" spans="1:4" x14ac:dyDescent="0.2">
      <c r="A993" s="95">
        <v>864</v>
      </c>
      <c r="B993" s="96">
        <v>14121</v>
      </c>
      <c r="C993" s="97" t="s">
        <v>406</v>
      </c>
      <c r="D993" s="98">
        <v>2</v>
      </c>
    </row>
    <row r="994" spans="1:4" x14ac:dyDescent="0.2">
      <c r="A994" s="95">
        <v>864</v>
      </c>
      <c r="B994" s="96">
        <v>14122</v>
      </c>
      <c r="C994" s="97" t="s">
        <v>406</v>
      </c>
      <c r="D994" s="98">
        <v>1</v>
      </c>
    </row>
    <row r="995" spans="1:4" x14ac:dyDescent="0.2">
      <c r="A995" s="95">
        <v>865</v>
      </c>
      <c r="B995" s="96">
        <v>14057</v>
      </c>
      <c r="C995" s="97" t="s">
        <v>406</v>
      </c>
      <c r="D995" s="98">
        <v>2</v>
      </c>
    </row>
    <row r="996" spans="1:4" x14ac:dyDescent="0.2">
      <c r="A996" s="95">
        <v>865</v>
      </c>
      <c r="B996" s="96">
        <v>14058</v>
      </c>
      <c r="C996" s="97" t="s">
        <v>406</v>
      </c>
      <c r="D996" s="98">
        <v>1</v>
      </c>
    </row>
    <row r="997" spans="1:4" x14ac:dyDescent="0.2">
      <c r="A997" s="95">
        <v>866</v>
      </c>
      <c r="B997" s="96">
        <v>14059</v>
      </c>
      <c r="C997" s="97" t="s">
        <v>407</v>
      </c>
      <c r="D997" s="98" t="s">
        <v>219</v>
      </c>
    </row>
    <row r="998" spans="1:4" x14ac:dyDescent="0.2">
      <c r="A998" s="95">
        <v>867</v>
      </c>
      <c r="B998" s="96">
        <v>14060</v>
      </c>
      <c r="C998" s="97" t="s">
        <v>406</v>
      </c>
      <c r="D998" s="98">
        <v>2</v>
      </c>
    </row>
    <row r="999" spans="1:4" x14ac:dyDescent="0.2">
      <c r="A999" s="95">
        <v>867</v>
      </c>
      <c r="B999" s="96">
        <v>14061</v>
      </c>
      <c r="C999" s="97" t="s">
        <v>406</v>
      </c>
      <c r="D999" s="98">
        <v>1</v>
      </c>
    </row>
    <row r="1000" spans="1:4" x14ac:dyDescent="0.2">
      <c r="A1000" s="95">
        <v>868</v>
      </c>
      <c r="B1000" s="96">
        <v>14062</v>
      </c>
      <c r="C1000" s="97" t="s">
        <v>407</v>
      </c>
      <c r="D1000" s="98" t="s">
        <v>219</v>
      </c>
    </row>
    <row r="1001" spans="1:4" x14ac:dyDescent="0.2">
      <c r="A1001" s="95">
        <v>869</v>
      </c>
      <c r="B1001" s="96">
        <v>14063</v>
      </c>
      <c r="C1001" s="97" t="s">
        <v>406</v>
      </c>
      <c r="D1001" s="98">
        <v>2</v>
      </c>
    </row>
    <row r="1002" spans="1:4" x14ac:dyDescent="0.2">
      <c r="A1002" s="95">
        <v>869</v>
      </c>
      <c r="B1002" s="96">
        <v>14064</v>
      </c>
      <c r="C1002" s="97" t="s">
        <v>406</v>
      </c>
      <c r="D1002" s="98">
        <v>1</v>
      </c>
    </row>
    <row r="1003" spans="1:4" x14ac:dyDescent="0.2">
      <c r="A1003" s="95">
        <v>870</v>
      </c>
      <c r="B1003" s="96">
        <v>14065</v>
      </c>
      <c r="C1003" s="97" t="s">
        <v>407</v>
      </c>
      <c r="D1003" s="98" t="s">
        <v>219</v>
      </c>
    </row>
    <row r="1004" spans="1:4" x14ac:dyDescent="0.2">
      <c r="A1004" s="95">
        <v>871</v>
      </c>
      <c r="B1004" s="96">
        <v>14066</v>
      </c>
      <c r="C1004" s="97" t="s">
        <v>406</v>
      </c>
      <c r="D1004" s="98">
        <v>2</v>
      </c>
    </row>
    <row r="1005" spans="1:4" x14ac:dyDescent="0.2">
      <c r="A1005" s="95">
        <v>871</v>
      </c>
      <c r="B1005" s="96">
        <v>14067</v>
      </c>
      <c r="C1005" s="97" t="s">
        <v>406</v>
      </c>
      <c r="D1005" s="98">
        <v>1</v>
      </c>
    </row>
    <row r="1006" spans="1:4" x14ac:dyDescent="0.2">
      <c r="A1006" s="95">
        <v>872</v>
      </c>
      <c r="B1006" s="96">
        <v>14068</v>
      </c>
      <c r="C1006" s="97" t="s">
        <v>407</v>
      </c>
      <c r="D1006" s="98" t="s">
        <v>219</v>
      </c>
    </row>
    <row r="1007" spans="1:4" x14ac:dyDescent="0.2">
      <c r="A1007" s="95">
        <v>873</v>
      </c>
      <c r="B1007" s="96">
        <v>14078</v>
      </c>
      <c r="C1007" s="97" t="s">
        <v>406</v>
      </c>
      <c r="D1007" s="98">
        <v>2</v>
      </c>
    </row>
    <row r="1008" spans="1:4" x14ac:dyDescent="0.2">
      <c r="A1008" s="95">
        <v>873</v>
      </c>
      <c r="B1008" s="96">
        <v>14079</v>
      </c>
      <c r="C1008" s="97" t="s">
        <v>406</v>
      </c>
      <c r="D1008" s="98">
        <v>1</v>
      </c>
    </row>
    <row r="1009" spans="1:4" x14ac:dyDescent="0.2">
      <c r="A1009" s="95">
        <v>874</v>
      </c>
      <c r="B1009" s="96">
        <v>14080</v>
      </c>
      <c r="C1009" s="97" t="s">
        <v>407</v>
      </c>
      <c r="D1009" s="98" t="s">
        <v>219</v>
      </c>
    </row>
    <row r="1010" spans="1:4" x14ac:dyDescent="0.2">
      <c r="A1010" s="95">
        <v>875</v>
      </c>
      <c r="B1010" s="96">
        <v>14100</v>
      </c>
      <c r="C1010" s="97" t="s">
        <v>406</v>
      </c>
      <c r="D1010" s="98">
        <v>2</v>
      </c>
    </row>
    <row r="1011" spans="1:4" x14ac:dyDescent="0.2">
      <c r="A1011" s="95">
        <v>875</v>
      </c>
      <c r="B1011" s="96">
        <v>14101</v>
      </c>
      <c r="C1011" s="97" t="s">
        <v>406</v>
      </c>
      <c r="D1011" s="98">
        <v>1</v>
      </c>
    </row>
    <row r="1012" spans="1:4" x14ac:dyDescent="0.2">
      <c r="A1012" s="95">
        <v>876</v>
      </c>
      <c r="B1012" s="96">
        <v>14102</v>
      </c>
      <c r="C1012" s="97" t="s">
        <v>407</v>
      </c>
      <c r="D1012" s="98" t="s">
        <v>219</v>
      </c>
    </row>
    <row r="1013" spans="1:4" x14ac:dyDescent="0.2">
      <c r="A1013" s="95">
        <v>877</v>
      </c>
      <c r="B1013" s="96">
        <v>14123</v>
      </c>
      <c r="C1013" s="97" t="s">
        <v>406</v>
      </c>
      <c r="D1013" s="98">
        <v>2</v>
      </c>
    </row>
    <row r="1014" spans="1:4" x14ac:dyDescent="0.2">
      <c r="A1014" s="95">
        <v>877</v>
      </c>
      <c r="B1014" s="96">
        <v>14124</v>
      </c>
      <c r="C1014" s="97" t="s">
        <v>406</v>
      </c>
      <c r="D1014" s="98">
        <v>1</v>
      </c>
    </row>
    <row r="1015" spans="1:4" x14ac:dyDescent="0.2">
      <c r="A1015" s="95">
        <v>878</v>
      </c>
      <c r="B1015" s="96">
        <v>14125</v>
      </c>
      <c r="C1015" s="97" t="s">
        <v>407</v>
      </c>
      <c r="D1015" s="98" t="s">
        <v>219</v>
      </c>
    </row>
    <row r="1016" spans="1:4" x14ac:dyDescent="0.2">
      <c r="A1016" s="95">
        <v>879</v>
      </c>
      <c r="B1016" s="96">
        <v>14126</v>
      </c>
      <c r="C1016" s="97" t="s">
        <v>406</v>
      </c>
      <c r="D1016" s="98">
        <v>2</v>
      </c>
    </row>
    <row r="1017" spans="1:4" x14ac:dyDescent="0.2">
      <c r="A1017" s="95">
        <v>879</v>
      </c>
      <c r="B1017" s="96">
        <v>14127</v>
      </c>
      <c r="C1017" s="97" t="s">
        <v>406</v>
      </c>
      <c r="D1017" s="98">
        <v>1</v>
      </c>
    </row>
    <row r="1018" spans="1:4" x14ac:dyDescent="0.2">
      <c r="A1018" s="95">
        <v>880</v>
      </c>
      <c r="B1018" s="96">
        <v>14128</v>
      </c>
      <c r="C1018" s="97" t="s">
        <v>407</v>
      </c>
      <c r="D1018" s="98" t="s">
        <v>219</v>
      </c>
    </row>
    <row r="1019" spans="1:4" x14ac:dyDescent="0.2">
      <c r="A1019" s="95">
        <v>881</v>
      </c>
      <c r="B1019" s="96">
        <v>14129</v>
      </c>
      <c r="C1019" s="97" t="s">
        <v>406</v>
      </c>
      <c r="D1019" s="98">
        <v>2</v>
      </c>
    </row>
    <row r="1020" spans="1:4" x14ac:dyDescent="0.2">
      <c r="A1020" s="95">
        <v>881</v>
      </c>
      <c r="B1020" s="96">
        <v>14130</v>
      </c>
      <c r="C1020" s="97" t="s">
        <v>406</v>
      </c>
      <c r="D1020" s="98">
        <v>1</v>
      </c>
    </row>
    <row r="1021" spans="1:4" x14ac:dyDescent="0.2">
      <c r="A1021" s="95">
        <v>882</v>
      </c>
      <c r="B1021" s="96">
        <v>14131</v>
      </c>
      <c r="C1021" s="97" t="s">
        <v>407</v>
      </c>
      <c r="D1021" s="98" t="s">
        <v>219</v>
      </c>
    </row>
    <row r="1022" spans="1:4" x14ac:dyDescent="0.2">
      <c r="A1022" s="95">
        <v>883</v>
      </c>
      <c r="B1022" s="96">
        <v>14132</v>
      </c>
      <c r="C1022" s="97" t="s">
        <v>406</v>
      </c>
      <c r="D1022" s="98">
        <v>2</v>
      </c>
    </row>
    <row r="1023" spans="1:4" x14ac:dyDescent="0.2">
      <c r="A1023" s="95">
        <v>883</v>
      </c>
      <c r="B1023" s="96">
        <v>14133</v>
      </c>
      <c r="C1023" s="97" t="s">
        <v>406</v>
      </c>
      <c r="D1023" s="98">
        <v>1</v>
      </c>
    </row>
    <row r="1024" spans="1:4" x14ac:dyDescent="0.2">
      <c r="A1024" s="95">
        <v>884</v>
      </c>
      <c r="B1024" s="96">
        <v>14134</v>
      </c>
      <c r="C1024" s="97" t="s">
        <v>407</v>
      </c>
      <c r="D1024" s="98" t="s">
        <v>219</v>
      </c>
    </row>
    <row r="1025" spans="1:4" x14ac:dyDescent="0.2">
      <c r="A1025" s="95">
        <v>885</v>
      </c>
      <c r="B1025" s="96">
        <v>14135</v>
      </c>
      <c r="C1025" s="97" t="s">
        <v>406</v>
      </c>
      <c r="D1025" s="98">
        <v>2</v>
      </c>
    </row>
    <row r="1026" spans="1:4" x14ac:dyDescent="0.2">
      <c r="A1026" s="95">
        <v>885</v>
      </c>
      <c r="B1026" s="96">
        <v>14136</v>
      </c>
      <c r="C1026" s="97" t="s">
        <v>406</v>
      </c>
      <c r="D1026" s="98">
        <v>1</v>
      </c>
    </row>
    <row r="1027" spans="1:4" x14ac:dyDescent="0.2">
      <c r="A1027" s="95">
        <v>886</v>
      </c>
      <c r="B1027" s="96">
        <v>14137</v>
      </c>
      <c r="C1027" s="97" t="s">
        <v>407</v>
      </c>
      <c r="D1027" s="98" t="s">
        <v>219</v>
      </c>
    </row>
    <row r="1028" spans="1:4" x14ac:dyDescent="0.2">
      <c r="A1028" s="95">
        <v>887</v>
      </c>
      <c r="B1028" s="96">
        <v>14144</v>
      </c>
      <c r="C1028" s="97" t="s">
        <v>406</v>
      </c>
      <c r="D1028" s="98">
        <v>2</v>
      </c>
    </row>
    <row r="1029" spans="1:4" x14ac:dyDescent="0.2">
      <c r="A1029" s="95">
        <v>887</v>
      </c>
      <c r="B1029" s="96">
        <v>14145</v>
      </c>
      <c r="C1029" s="97" t="s">
        <v>406</v>
      </c>
      <c r="D1029" s="98">
        <v>1</v>
      </c>
    </row>
    <row r="1030" spans="1:4" x14ac:dyDescent="0.2">
      <c r="A1030" s="95">
        <v>888</v>
      </c>
      <c r="B1030" s="96">
        <v>14146</v>
      </c>
      <c r="C1030" s="97" t="s">
        <v>407</v>
      </c>
      <c r="D1030" s="98" t="s">
        <v>219</v>
      </c>
    </row>
    <row r="1031" spans="1:4" x14ac:dyDescent="0.2">
      <c r="A1031" s="95">
        <v>889</v>
      </c>
      <c r="B1031" s="96">
        <v>278</v>
      </c>
      <c r="C1031" s="97" t="s">
        <v>406</v>
      </c>
      <c r="D1031" s="98">
        <v>2</v>
      </c>
    </row>
    <row r="1032" spans="1:4" x14ac:dyDescent="0.2">
      <c r="A1032" s="95">
        <v>889</v>
      </c>
      <c r="B1032" s="96">
        <v>289</v>
      </c>
      <c r="C1032" s="97" t="s">
        <v>406</v>
      </c>
      <c r="D1032" s="98">
        <v>1</v>
      </c>
    </row>
    <row r="1033" spans="1:4" x14ac:dyDescent="0.2">
      <c r="A1033" s="95">
        <v>890</v>
      </c>
      <c r="B1033" s="96">
        <v>14028</v>
      </c>
      <c r="C1033" s="97" t="s">
        <v>407</v>
      </c>
      <c r="D1033" s="98" t="s">
        <v>219</v>
      </c>
    </row>
    <row r="1034" spans="1:4" x14ac:dyDescent="0.2">
      <c r="A1034" s="95">
        <v>891</v>
      </c>
      <c r="B1034" s="96">
        <v>14099</v>
      </c>
      <c r="C1034" s="97" t="s">
        <v>407</v>
      </c>
      <c r="D1034" s="98" t="s">
        <v>219</v>
      </c>
    </row>
    <row r="1035" spans="1:4" x14ac:dyDescent="0.2">
      <c r="A1035" s="95">
        <v>892</v>
      </c>
      <c r="B1035" s="96">
        <v>14119</v>
      </c>
      <c r="C1035" s="97" t="s">
        <v>407</v>
      </c>
      <c r="D1035" s="98" t="s">
        <v>219</v>
      </c>
    </row>
    <row r="1036" spans="1:4" x14ac:dyDescent="0.2">
      <c r="A1036" s="95">
        <v>893</v>
      </c>
      <c r="B1036" s="96">
        <v>14120</v>
      </c>
      <c r="C1036" s="97" t="s">
        <v>407</v>
      </c>
      <c r="D1036" s="98" t="s">
        <v>219</v>
      </c>
    </row>
    <row r="1037" spans="1:4" x14ac:dyDescent="0.2">
      <c r="A1037" s="95">
        <v>894</v>
      </c>
      <c r="B1037" s="96">
        <v>300</v>
      </c>
      <c r="C1037" s="97" t="s">
        <v>364</v>
      </c>
      <c r="D1037" s="98" t="s">
        <v>219</v>
      </c>
    </row>
    <row r="1038" spans="1:4" x14ac:dyDescent="0.2">
      <c r="A1038" s="95">
        <v>895</v>
      </c>
      <c r="B1038" s="96">
        <v>311</v>
      </c>
      <c r="C1038" s="97" t="s">
        <v>364</v>
      </c>
      <c r="D1038" s="98" t="s">
        <v>219</v>
      </c>
    </row>
    <row r="1039" spans="1:4" x14ac:dyDescent="0.2">
      <c r="A1039" s="95">
        <v>896</v>
      </c>
      <c r="B1039" s="96">
        <v>312</v>
      </c>
      <c r="C1039" s="97" t="s">
        <v>364</v>
      </c>
      <c r="D1039" s="98" t="s">
        <v>219</v>
      </c>
    </row>
    <row r="1040" spans="1:4" x14ac:dyDescent="0.2">
      <c r="A1040" s="95">
        <v>897</v>
      </c>
      <c r="B1040" s="96">
        <v>14097</v>
      </c>
      <c r="C1040" s="97" t="s">
        <v>407</v>
      </c>
      <c r="D1040" s="98" t="s">
        <v>219</v>
      </c>
    </row>
    <row r="1041" spans="1:4" x14ac:dyDescent="0.2">
      <c r="A1041" s="95">
        <v>898</v>
      </c>
      <c r="B1041" s="96">
        <v>14098</v>
      </c>
      <c r="C1041" s="97" t="s">
        <v>407</v>
      </c>
      <c r="D1041" s="98" t="s">
        <v>219</v>
      </c>
    </row>
    <row r="1042" spans="1:4" x14ac:dyDescent="0.2">
      <c r="A1042" s="95">
        <v>899</v>
      </c>
      <c r="B1042" s="96">
        <v>281</v>
      </c>
      <c r="C1042" s="97" t="s">
        <v>408</v>
      </c>
      <c r="D1042" s="98" t="s">
        <v>219</v>
      </c>
    </row>
    <row r="1043" spans="1:4" x14ac:dyDescent="0.2">
      <c r="A1043" s="95">
        <v>900</v>
      </c>
      <c r="B1043" s="96">
        <v>282</v>
      </c>
      <c r="C1043" s="97" t="s">
        <v>408</v>
      </c>
      <c r="D1043" s="98" t="s">
        <v>219</v>
      </c>
    </row>
    <row r="1044" spans="1:4" x14ac:dyDescent="0.2">
      <c r="A1044" s="95">
        <v>901</v>
      </c>
      <c r="B1044" s="96">
        <v>283</v>
      </c>
      <c r="C1044" s="97" t="s">
        <v>408</v>
      </c>
      <c r="D1044" s="98" t="s">
        <v>219</v>
      </c>
    </row>
    <row r="1045" spans="1:4" x14ac:dyDescent="0.2">
      <c r="A1045" s="95">
        <v>902</v>
      </c>
      <c r="B1045" s="96">
        <v>284</v>
      </c>
      <c r="C1045" s="97" t="s">
        <v>408</v>
      </c>
      <c r="D1045" s="98" t="s">
        <v>219</v>
      </c>
    </row>
    <row r="1046" spans="1:4" x14ac:dyDescent="0.2">
      <c r="A1046" s="95">
        <v>903</v>
      </c>
      <c r="B1046" s="96">
        <v>285</v>
      </c>
      <c r="C1046" s="97" t="s">
        <v>408</v>
      </c>
      <c r="D1046" s="98" t="s">
        <v>219</v>
      </c>
    </row>
    <row r="1047" spans="1:4" x14ac:dyDescent="0.2">
      <c r="A1047" s="95">
        <v>904</v>
      </c>
      <c r="B1047" s="96">
        <v>286</v>
      </c>
      <c r="C1047" s="97" t="s">
        <v>409</v>
      </c>
      <c r="D1047" s="98" t="s">
        <v>219</v>
      </c>
    </row>
    <row r="1048" spans="1:4" x14ac:dyDescent="0.2">
      <c r="A1048" s="95">
        <v>905</v>
      </c>
      <c r="B1048" s="96">
        <v>287</v>
      </c>
      <c r="C1048" s="97" t="s">
        <v>409</v>
      </c>
      <c r="D1048" s="98" t="s">
        <v>219</v>
      </c>
    </row>
    <row r="1049" spans="1:4" x14ac:dyDescent="0.2">
      <c r="A1049" s="95">
        <v>906</v>
      </c>
      <c r="B1049" s="96">
        <v>288</v>
      </c>
      <c r="C1049" s="97" t="s">
        <v>409</v>
      </c>
      <c r="D1049" s="98" t="s">
        <v>219</v>
      </c>
    </row>
    <row r="1050" spans="1:4" x14ac:dyDescent="0.2">
      <c r="A1050" s="95">
        <v>907</v>
      </c>
      <c r="B1050" s="96">
        <v>292</v>
      </c>
      <c r="C1050" s="97" t="s">
        <v>410</v>
      </c>
      <c r="D1050" s="98" t="s">
        <v>219</v>
      </c>
    </row>
    <row r="1051" spans="1:4" x14ac:dyDescent="0.2">
      <c r="A1051" s="95">
        <v>908</v>
      </c>
      <c r="B1051" s="96">
        <v>293</v>
      </c>
      <c r="C1051" s="97" t="s">
        <v>410</v>
      </c>
      <c r="D1051" s="98" t="s">
        <v>219</v>
      </c>
    </row>
    <row r="1052" spans="1:4" x14ac:dyDescent="0.2">
      <c r="A1052" s="95">
        <v>909</v>
      </c>
      <c r="B1052" s="96">
        <v>294</v>
      </c>
      <c r="C1052" s="97" t="s">
        <v>410</v>
      </c>
      <c r="D1052" s="98" t="s">
        <v>219</v>
      </c>
    </row>
    <row r="1053" spans="1:4" x14ac:dyDescent="0.2">
      <c r="A1053" s="95">
        <v>910</v>
      </c>
      <c r="B1053" s="96">
        <v>295</v>
      </c>
      <c r="C1053" s="97" t="s">
        <v>410</v>
      </c>
      <c r="D1053" s="98" t="s">
        <v>219</v>
      </c>
    </row>
    <row r="1054" spans="1:4" x14ac:dyDescent="0.2">
      <c r="A1054" s="95">
        <v>911</v>
      </c>
      <c r="B1054" s="96">
        <v>296</v>
      </c>
      <c r="C1054" s="97" t="s">
        <v>410</v>
      </c>
      <c r="D1054" s="98" t="s">
        <v>219</v>
      </c>
    </row>
    <row r="1055" spans="1:4" x14ac:dyDescent="0.2">
      <c r="A1055" s="95">
        <v>912</v>
      </c>
      <c r="B1055" s="96">
        <v>297</v>
      </c>
      <c r="C1055" s="97" t="s">
        <v>410</v>
      </c>
      <c r="D1055" s="98" t="s">
        <v>219</v>
      </c>
    </row>
    <row r="1056" spans="1:4" x14ac:dyDescent="0.2">
      <c r="A1056" s="95">
        <v>913</v>
      </c>
      <c r="B1056" s="96">
        <v>298</v>
      </c>
      <c r="C1056" s="97" t="s">
        <v>410</v>
      </c>
      <c r="D1056" s="98" t="s">
        <v>219</v>
      </c>
    </row>
    <row r="1057" spans="1:4" x14ac:dyDescent="0.2">
      <c r="A1057" s="95">
        <v>914</v>
      </c>
      <c r="B1057" s="96">
        <v>299</v>
      </c>
      <c r="C1057" s="97" t="s">
        <v>411</v>
      </c>
      <c r="D1057" s="98">
        <v>1</v>
      </c>
    </row>
    <row r="1058" spans="1:4" x14ac:dyDescent="0.2">
      <c r="A1058" s="95">
        <v>915</v>
      </c>
      <c r="B1058" s="96">
        <v>313</v>
      </c>
      <c r="C1058" s="97" t="s">
        <v>364</v>
      </c>
      <c r="D1058" s="98">
        <v>2</v>
      </c>
    </row>
    <row r="1059" spans="1:4" x14ac:dyDescent="0.2">
      <c r="A1059" s="95">
        <v>915</v>
      </c>
      <c r="B1059" s="96">
        <v>314</v>
      </c>
      <c r="C1059" s="97" t="s">
        <v>364</v>
      </c>
      <c r="D1059" s="98">
        <v>1</v>
      </c>
    </row>
    <row r="1060" spans="1:4" x14ac:dyDescent="0.2">
      <c r="A1060" s="95">
        <v>916</v>
      </c>
      <c r="B1060" s="96">
        <v>315</v>
      </c>
      <c r="C1060" s="97" t="s">
        <v>364</v>
      </c>
      <c r="D1060" s="98">
        <v>2</v>
      </c>
    </row>
    <row r="1061" spans="1:4" x14ac:dyDescent="0.2">
      <c r="A1061" s="95">
        <v>916</v>
      </c>
      <c r="B1061" s="96">
        <v>316</v>
      </c>
      <c r="C1061" s="97" t="s">
        <v>364</v>
      </c>
      <c r="D1061" s="98">
        <v>1</v>
      </c>
    </row>
    <row r="1062" spans="1:4" x14ac:dyDescent="0.2">
      <c r="A1062" s="95">
        <v>917</v>
      </c>
      <c r="B1062" s="96">
        <v>279</v>
      </c>
      <c r="C1062" s="97" t="s">
        <v>364</v>
      </c>
      <c r="D1062" s="98">
        <v>2</v>
      </c>
    </row>
    <row r="1063" spans="1:4" x14ac:dyDescent="0.2">
      <c r="A1063" s="95">
        <v>917</v>
      </c>
      <c r="B1063" s="96">
        <v>280</v>
      </c>
      <c r="C1063" s="97" t="s">
        <v>364</v>
      </c>
      <c r="D1063" s="98">
        <v>1</v>
      </c>
    </row>
    <row r="1064" spans="1:4" x14ac:dyDescent="0.2">
      <c r="A1064" s="95">
        <v>918</v>
      </c>
      <c r="B1064" s="96">
        <v>290</v>
      </c>
      <c r="C1064" s="97" t="s">
        <v>299</v>
      </c>
      <c r="D1064" s="98">
        <v>1</v>
      </c>
    </row>
    <row r="1065" spans="1:4" x14ac:dyDescent="0.2">
      <c r="A1065" s="95">
        <v>918</v>
      </c>
      <c r="B1065" s="96">
        <v>291</v>
      </c>
      <c r="C1065" s="97" t="s">
        <v>299</v>
      </c>
      <c r="D1065" s="98">
        <v>1</v>
      </c>
    </row>
    <row r="1066" spans="1:4" x14ac:dyDescent="0.2">
      <c r="A1066" s="95">
        <v>919</v>
      </c>
      <c r="B1066" s="96">
        <v>57</v>
      </c>
      <c r="C1066" s="97" t="s">
        <v>412</v>
      </c>
      <c r="D1066" s="98">
        <v>1</v>
      </c>
    </row>
    <row r="1067" spans="1:4" x14ac:dyDescent="0.2">
      <c r="A1067" s="95">
        <v>919</v>
      </c>
      <c r="B1067" s="96">
        <v>278</v>
      </c>
      <c r="C1067" s="97" t="s">
        <v>412</v>
      </c>
      <c r="D1067" s="98">
        <v>2</v>
      </c>
    </row>
    <row r="1068" spans="1:4" x14ac:dyDescent="0.2">
      <c r="A1068" s="95">
        <v>920</v>
      </c>
      <c r="B1068" s="96">
        <v>57</v>
      </c>
      <c r="C1068" s="97" t="s">
        <v>412</v>
      </c>
      <c r="D1068" s="98">
        <v>1</v>
      </c>
    </row>
    <row r="1069" spans="1:4" x14ac:dyDescent="0.2">
      <c r="A1069" s="95">
        <v>920</v>
      </c>
      <c r="B1069" s="96">
        <v>278</v>
      </c>
      <c r="C1069" s="97" t="s">
        <v>412</v>
      </c>
      <c r="D1069" s="98">
        <v>2</v>
      </c>
    </row>
    <row r="1070" spans="1:4" x14ac:dyDescent="0.2">
      <c r="A1070" s="95">
        <v>922</v>
      </c>
      <c r="B1070" s="96">
        <v>301</v>
      </c>
      <c r="C1070" s="97" t="s">
        <v>322</v>
      </c>
      <c r="D1070" s="98">
        <v>1</v>
      </c>
    </row>
    <row r="1071" spans="1:4" x14ac:dyDescent="0.2">
      <c r="A1071" s="95">
        <v>923</v>
      </c>
      <c r="B1071" s="96">
        <v>302</v>
      </c>
      <c r="C1071" s="97" t="s">
        <v>322</v>
      </c>
      <c r="D1071" s="98">
        <v>1</v>
      </c>
    </row>
    <row r="1072" spans="1:4" x14ac:dyDescent="0.2">
      <c r="A1072" s="95">
        <v>924</v>
      </c>
      <c r="B1072" s="96">
        <v>303</v>
      </c>
      <c r="C1072" s="97" t="s">
        <v>322</v>
      </c>
      <c r="D1072" s="98">
        <v>1</v>
      </c>
    </row>
    <row r="1073" spans="1:4" x14ac:dyDescent="0.2">
      <c r="A1073" s="95">
        <v>925</v>
      </c>
      <c r="B1073" s="96">
        <v>259</v>
      </c>
      <c r="C1073" s="97" t="s">
        <v>413</v>
      </c>
      <c r="D1073" s="98" t="s">
        <v>352</v>
      </c>
    </row>
    <row r="1074" spans="1:4" x14ac:dyDescent="0.2">
      <c r="A1074" s="95">
        <v>925</v>
      </c>
      <c r="B1074" s="96">
        <v>307</v>
      </c>
      <c r="C1074" s="97" t="s">
        <v>413</v>
      </c>
      <c r="D1074" s="98" t="s">
        <v>352</v>
      </c>
    </row>
    <row r="1075" spans="1:4" x14ac:dyDescent="0.2">
      <c r="A1075" s="95">
        <v>926</v>
      </c>
      <c r="B1075" s="96">
        <v>261</v>
      </c>
      <c r="C1075" s="97" t="s">
        <v>353</v>
      </c>
      <c r="D1075" s="98" t="s">
        <v>352</v>
      </c>
    </row>
    <row r="1076" spans="1:4" x14ac:dyDescent="0.2">
      <c r="A1076" s="95">
        <v>926</v>
      </c>
      <c r="B1076" s="96">
        <v>308</v>
      </c>
      <c r="C1076" s="97" t="s">
        <v>353</v>
      </c>
      <c r="D1076" s="98" t="s">
        <v>352</v>
      </c>
    </row>
    <row r="1077" spans="1:4" x14ac:dyDescent="0.2">
      <c r="A1077" s="95">
        <v>927</v>
      </c>
      <c r="B1077" s="96">
        <v>263</v>
      </c>
      <c r="C1077" s="97" t="s">
        <v>355</v>
      </c>
      <c r="D1077" s="98" t="s">
        <v>352</v>
      </c>
    </row>
    <row r="1078" spans="1:4" x14ac:dyDescent="0.2">
      <c r="A1078" s="95">
        <v>927</v>
      </c>
      <c r="B1078" s="96">
        <v>309</v>
      </c>
      <c r="C1078" s="97" t="s">
        <v>355</v>
      </c>
      <c r="D1078" s="98" t="s">
        <v>352</v>
      </c>
    </row>
    <row r="1079" spans="1:4" x14ac:dyDescent="0.2">
      <c r="A1079" s="95">
        <v>928</v>
      </c>
      <c r="B1079" s="96">
        <v>265</v>
      </c>
      <c r="C1079" s="97" t="s">
        <v>354</v>
      </c>
      <c r="D1079" s="98" t="s">
        <v>352</v>
      </c>
    </row>
    <row r="1080" spans="1:4" x14ac:dyDescent="0.2">
      <c r="A1080" s="95">
        <v>928</v>
      </c>
      <c r="B1080" s="96">
        <v>310</v>
      </c>
      <c r="C1080" s="97" t="s">
        <v>354</v>
      </c>
      <c r="D1080" s="98" t="s">
        <v>352</v>
      </c>
    </row>
    <row r="1081" spans="1:4" x14ac:dyDescent="0.2">
      <c r="A1081" s="95">
        <v>929</v>
      </c>
      <c r="B1081" s="96">
        <v>14041</v>
      </c>
      <c r="C1081" s="97" t="s">
        <v>408</v>
      </c>
      <c r="D1081" s="98" t="s">
        <v>219</v>
      </c>
    </row>
    <row r="1082" spans="1:4" x14ac:dyDescent="0.2">
      <c r="A1082" s="95">
        <v>930</v>
      </c>
      <c r="B1082" s="96">
        <v>14053</v>
      </c>
      <c r="C1082" s="97" t="s">
        <v>408</v>
      </c>
      <c r="D1082" s="98" t="s">
        <v>219</v>
      </c>
    </row>
    <row r="1083" spans="1:4" x14ac:dyDescent="0.2">
      <c r="A1083" s="95">
        <v>931</v>
      </c>
      <c r="B1083" s="96">
        <v>14056</v>
      </c>
      <c r="C1083" s="97" t="s">
        <v>408</v>
      </c>
      <c r="D1083" s="98" t="s">
        <v>219</v>
      </c>
    </row>
    <row r="1084" spans="1:4" x14ac:dyDescent="0.2">
      <c r="A1084" s="95">
        <v>932</v>
      </c>
      <c r="B1084" s="96">
        <v>191</v>
      </c>
      <c r="C1084" s="97" t="s">
        <v>414</v>
      </c>
      <c r="D1084" s="98">
        <v>2</v>
      </c>
    </row>
    <row r="1085" spans="1:4" x14ac:dyDescent="0.2">
      <c r="A1085" s="95">
        <v>932</v>
      </c>
      <c r="B1085" s="96">
        <v>353</v>
      </c>
      <c r="C1085" s="97" t="s">
        <v>414</v>
      </c>
      <c r="D1085" s="98">
        <v>1</v>
      </c>
    </row>
    <row r="1086" spans="1:4" x14ac:dyDescent="0.2">
      <c r="A1086" s="95">
        <v>932</v>
      </c>
      <c r="B1086" s="96">
        <v>354</v>
      </c>
      <c r="C1086" s="97" t="s">
        <v>414</v>
      </c>
      <c r="D1086" s="98">
        <v>1</v>
      </c>
    </row>
    <row r="1087" spans="1:4" x14ac:dyDescent="0.2">
      <c r="A1087" s="95">
        <v>932</v>
      </c>
      <c r="B1087" s="96">
        <v>355</v>
      </c>
      <c r="C1087" s="97" t="s">
        <v>414</v>
      </c>
      <c r="D1087" s="98">
        <v>1</v>
      </c>
    </row>
    <row r="1088" spans="1:4" x14ac:dyDescent="0.2">
      <c r="A1088" s="95">
        <v>933</v>
      </c>
      <c r="B1088" s="96">
        <v>14147</v>
      </c>
      <c r="C1088" s="97" t="s">
        <v>406</v>
      </c>
      <c r="D1088" s="98">
        <v>2</v>
      </c>
    </row>
    <row r="1089" spans="1:4" x14ac:dyDescent="0.2">
      <c r="A1089" s="95">
        <v>933</v>
      </c>
      <c r="B1089" s="96">
        <v>14148</v>
      </c>
      <c r="C1089" s="97" t="s">
        <v>406</v>
      </c>
      <c r="D1089" s="98">
        <v>1</v>
      </c>
    </row>
    <row r="1090" spans="1:4" x14ac:dyDescent="0.2">
      <c r="A1090" s="95">
        <v>934</v>
      </c>
      <c r="B1090" s="96">
        <v>14149</v>
      </c>
      <c r="C1090" s="97" t="s">
        <v>407</v>
      </c>
      <c r="D1090" s="98" t="s">
        <v>219</v>
      </c>
    </row>
    <row r="1091" spans="1:4" x14ac:dyDescent="0.2">
      <c r="A1091" s="95">
        <v>935</v>
      </c>
      <c r="B1091" s="96">
        <v>374</v>
      </c>
      <c r="C1091" s="97" t="s">
        <v>415</v>
      </c>
      <c r="D1091" s="98" t="s">
        <v>466</v>
      </c>
    </row>
    <row r="1092" spans="1:4" x14ac:dyDescent="0.2">
      <c r="A1092" s="95">
        <v>935</v>
      </c>
      <c r="B1092" s="96">
        <v>375</v>
      </c>
      <c r="C1092" s="97" t="s">
        <v>415</v>
      </c>
      <c r="D1092" s="98" t="s">
        <v>464</v>
      </c>
    </row>
    <row r="1093" spans="1:4" x14ac:dyDescent="0.2">
      <c r="A1093" s="95">
        <v>936</v>
      </c>
      <c r="B1093" s="96">
        <v>1422</v>
      </c>
      <c r="C1093" s="97" t="s">
        <v>415</v>
      </c>
      <c r="D1093" s="98">
        <v>1</v>
      </c>
    </row>
    <row r="1094" spans="1:4" x14ac:dyDescent="0.2">
      <c r="A1094" s="95">
        <v>936</v>
      </c>
      <c r="B1094" s="96">
        <v>1423</v>
      </c>
      <c r="C1094" s="97" t="s">
        <v>415</v>
      </c>
      <c r="D1094" s="98">
        <v>2</v>
      </c>
    </row>
    <row r="1095" spans="1:4" x14ac:dyDescent="0.2">
      <c r="A1095" s="95">
        <v>937</v>
      </c>
      <c r="B1095" s="96">
        <v>14150</v>
      </c>
      <c r="C1095" s="97" t="s">
        <v>415</v>
      </c>
      <c r="D1095" s="98">
        <v>2</v>
      </c>
    </row>
    <row r="1096" spans="1:4" x14ac:dyDescent="0.2">
      <c r="A1096" s="95">
        <v>937</v>
      </c>
      <c r="B1096" s="96">
        <v>14151</v>
      </c>
      <c r="C1096" s="97" t="s">
        <v>415</v>
      </c>
      <c r="D1096" s="98">
        <v>1</v>
      </c>
    </row>
    <row r="1097" spans="1:4" x14ac:dyDescent="0.2">
      <c r="A1097" s="95">
        <v>938</v>
      </c>
      <c r="B1097" s="96">
        <v>376</v>
      </c>
      <c r="C1097" s="97" t="s">
        <v>415</v>
      </c>
      <c r="D1097" s="98">
        <v>2</v>
      </c>
    </row>
    <row r="1098" spans="1:4" x14ac:dyDescent="0.2">
      <c r="A1098" s="95">
        <v>938</v>
      </c>
      <c r="B1098" s="96">
        <v>377</v>
      </c>
      <c r="C1098" s="97" t="s">
        <v>415</v>
      </c>
      <c r="D1098" s="98">
        <v>1</v>
      </c>
    </row>
    <row r="1099" spans="1:4" x14ac:dyDescent="0.2">
      <c r="A1099" s="95">
        <v>939</v>
      </c>
      <c r="B1099" s="96">
        <v>395</v>
      </c>
      <c r="C1099" s="97" t="s">
        <v>415</v>
      </c>
      <c r="D1099" s="98">
        <v>2</v>
      </c>
    </row>
    <row r="1100" spans="1:4" x14ac:dyDescent="0.2">
      <c r="A1100" s="95">
        <v>939</v>
      </c>
      <c r="B1100" s="96">
        <v>396</v>
      </c>
      <c r="C1100" s="97" t="s">
        <v>415</v>
      </c>
      <c r="D1100" s="98">
        <v>1</v>
      </c>
    </row>
    <row r="1101" spans="1:4" x14ac:dyDescent="0.2">
      <c r="A1101" s="95">
        <v>940</v>
      </c>
      <c r="B1101" s="96">
        <v>397</v>
      </c>
      <c r="C1101" s="97" t="s">
        <v>416</v>
      </c>
      <c r="D1101" s="98" t="s">
        <v>374</v>
      </c>
    </row>
    <row r="1102" spans="1:4" x14ac:dyDescent="0.2">
      <c r="A1102" s="95">
        <v>941</v>
      </c>
      <c r="B1102" s="96">
        <v>398</v>
      </c>
      <c r="C1102" s="97" t="s">
        <v>417</v>
      </c>
      <c r="D1102" s="98" t="s">
        <v>374</v>
      </c>
    </row>
    <row r="1103" spans="1:4" x14ac:dyDescent="0.2">
      <c r="A1103" s="95">
        <v>942</v>
      </c>
      <c r="B1103" s="96">
        <v>400</v>
      </c>
      <c r="C1103" s="97" t="s">
        <v>267</v>
      </c>
      <c r="D1103" s="98">
        <v>1</v>
      </c>
    </row>
    <row r="1104" spans="1:4" x14ac:dyDescent="0.2">
      <c r="A1104" s="95">
        <v>942</v>
      </c>
      <c r="B1104" s="96">
        <v>401</v>
      </c>
      <c r="C1104" s="97" t="s">
        <v>267</v>
      </c>
      <c r="D1104" s="98">
        <v>2</v>
      </c>
    </row>
    <row r="1105" spans="1:4" x14ac:dyDescent="0.2">
      <c r="A1105" s="95">
        <v>943</v>
      </c>
      <c r="B1105" s="96">
        <v>404</v>
      </c>
      <c r="C1105" s="97" t="s">
        <v>257</v>
      </c>
      <c r="D1105" s="98">
        <v>1</v>
      </c>
    </row>
    <row r="1106" spans="1:4" x14ac:dyDescent="0.2">
      <c r="A1106" s="95">
        <v>943</v>
      </c>
      <c r="B1106" s="96">
        <v>405</v>
      </c>
      <c r="C1106" s="97" t="s">
        <v>257</v>
      </c>
      <c r="D1106" s="98">
        <v>2</v>
      </c>
    </row>
    <row r="1107" spans="1:4" x14ac:dyDescent="0.2">
      <c r="A1107" s="95">
        <v>944</v>
      </c>
      <c r="B1107" s="96">
        <v>406</v>
      </c>
      <c r="C1107" s="97" t="s">
        <v>257</v>
      </c>
      <c r="D1107" s="98">
        <v>1</v>
      </c>
    </row>
    <row r="1108" spans="1:4" x14ac:dyDescent="0.2">
      <c r="A1108" s="95">
        <v>944</v>
      </c>
      <c r="B1108" s="96">
        <v>407</v>
      </c>
      <c r="C1108" s="97" t="s">
        <v>257</v>
      </c>
      <c r="D1108" s="98">
        <v>2</v>
      </c>
    </row>
    <row r="1109" spans="1:4" x14ac:dyDescent="0.2">
      <c r="A1109" s="95">
        <v>945</v>
      </c>
      <c r="B1109" s="96">
        <v>408</v>
      </c>
      <c r="C1109" s="97" t="s">
        <v>257</v>
      </c>
      <c r="D1109" s="98">
        <v>1</v>
      </c>
    </row>
    <row r="1110" spans="1:4" x14ac:dyDescent="0.2">
      <c r="A1110" s="95">
        <v>945</v>
      </c>
      <c r="B1110" s="96">
        <v>409</v>
      </c>
      <c r="C1110" s="97" t="s">
        <v>257</v>
      </c>
      <c r="D1110" s="98">
        <v>2</v>
      </c>
    </row>
    <row r="1111" spans="1:4" x14ac:dyDescent="0.2">
      <c r="A1111" s="95">
        <v>946</v>
      </c>
      <c r="B1111" s="96">
        <v>410</v>
      </c>
      <c r="C1111" s="97" t="s">
        <v>257</v>
      </c>
      <c r="D1111" s="98">
        <v>1</v>
      </c>
    </row>
    <row r="1112" spans="1:4" x14ac:dyDescent="0.2">
      <c r="A1112" s="95">
        <v>946</v>
      </c>
      <c r="B1112" s="96">
        <v>411</v>
      </c>
      <c r="C1112" s="97" t="s">
        <v>257</v>
      </c>
      <c r="D1112" s="98">
        <v>2</v>
      </c>
    </row>
    <row r="1113" spans="1:4" x14ac:dyDescent="0.2">
      <c r="A1113" s="95">
        <v>947</v>
      </c>
      <c r="B1113" s="96">
        <v>412</v>
      </c>
      <c r="C1113" s="97" t="s">
        <v>418</v>
      </c>
      <c r="D1113" s="98">
        <v>2</v>
      </c>
    </row>
    <row r="1114" spans="1:4" x14ac:dyDescent="0.2">
      <c r="A1114" s="95">
        <v>947</v>
      </c>
      <c r="B1114" s="96">
        <v>413</v>
      </c>
      <c r="C1114" s="97" t="s">
        <v>418</v>
      </c>
      <c r="D1114" s="98">
        <v>1</v>
      </c>
    </row>
    <row r="1115" spans="1:4" x14ac:dyDescent="0.2">
      <c r="A1115" s="95">
        <v>947</v>
      </c>
      <c r="B1115" s="96">
        <v>414</v>
      </c>
      <c r="C1115" s="97" t="s">
        <v>418</v>
      </c>
      <c r="D1115" s="98">
        <v>1</v>
      </c>
    </row>
    <row r="1116" spans="1:4" x14ac:dyDescent="0.2">
      <c r="A1116" s="95">
        <v>948</v>
      </c>
      <c r="B1116" s="96">
        <v>415</v>
      </c>
      <c r="C1116" s="97" t="s">
        <v>419</v>
      </c>
      <c r="D1116" s="98" t="s">
        <v>466</v>
      </c>
    </row>
    <row r="1117" spans="1:4" x14ac:dyDescent="0.2">
      <c r="A1117" s="95">
        <v>948</v>
      </c>
      <c r="B1117" s="96">
        <v>416</v>
      </c>
      <c r="C1117" s="97" t="s">
        <v>419</v>
      </c>
      <c r="D1117" s="98">
        <v>1</v>
      </c>
    </row>
    <row r="1118" spans="1:4" x14ac:dyDescent="0.2">
      <c r="A1118" s="95">
        <v>949</v>
      </c>
      <c r="B1118" s="96">
        <v>417</v>
      </c>
      <c r="C1118" s="97" t="s">
        <v>496</v>
      </c>
      <c r="D1118" s="98">
        <v>1</v>
      </c>
    </row>
    <row r="1119" spans="1:4" x14ac:dyDescent="0.2">
      <c r="A1119" s="95">
        <v>949</v>
      </c>
      <c r="B1119" s="96">
        <v>418</v>
      </c>
      <c r="C1119" s="97" t="s">
        <v>496</v>
      </c>
      <c r="D1119" s="98">
        <v>2</v>
      </c>
    </row>
    <row r="1120" spans="1:4" x14ac:dyDescent="0.2">
      <c r="A1120" s="95">
        <v>950</v>
      </c>
      <c r="B1120" s="96">
        <v>419</v>
      </c>
      <c r="C1120" s="97" t="s">
        <v>497</v>
      </c>
      <c r="D1120" s="98" t="s">
        <v>219</v>
      </c>
    </row>
    <row r="1121" spans="1:4" x14ac:dyDescent="0.2">
      <c r="A1121" s="95">
        <v>951</v>
      </c>
      <c r="B1121" s="96">
        <v>420</v>
      </c>
      <c r="C1121" s="97" t="s">
        <v>498</v>
      </c>
      <c r="D1121" s="98" t="s">
        <v>219</v>
      </c>
    </row>
    <row r="1122" spans="1:4" x14ac:dyDescent="0.2">
      <c r="A1122" s="95">
        <v>952</v>
      </c>
      <c r="B1122" s="96">
        <v>421</v>
      </c>
      <c r="C1122" s="97" t="s">
        <v>499</v>
      </c>
      <c r="D1122" s="98">
        <v>1</v>
      </c>
    </row>
    <row r="1123" spans="1:4" x14ac:dyDescent="0.2">
      <c r="A1123" s="95">
        <v>952</v>
      </c>
      <c r="B1123" s="96">
        <v>422</v>
      </c>
      <c r="C1123" s="97" t="s">
        <v>499</v>
      </c>
      <c r="D1123" s="98">
        <v>2</v>
      </c>
    </row>
    <row r="1124" spans="1:4" x14ac:dyDescent="0.2">
      <c r="A1124" s="95">
        <v>953</v>
      </c>
      <c r="B1124" s="96">
        <v>423</v>
      </c>
      <c r="C1124" s="97" t="s">
        <v>420</v>
      </c>
      <c r="D1124" s="98">
        <v>1</v>
      </c>
    </row>
    <row r="1125" spans="1:4" x14ac:dyDescent="0.2">
      <c r="A1125" s="95">
        <v>953</v>
      </c>
      <c r="B1125" s="96">
        <v>424</v>
      </c>
      <c r="C1125" s="97" t="s">
        <v>420</v>
      </c>
      <c r="D1125" s="98" t="s">
        <v>464</v>
      </c>
    </row>
    <row r="1126" spans="1:4" x14ac:dyDescent="0.2">
      <c r="A1126" s="95">
        <v>954</v>
      </c>
      <c r="B1126" s="96">
        <v>425</v>
      </c>
      <c r="C1126" s="97" t="s">
        <v>421</v>
      </c>
      <c r="D1126" s="98" t="s">
        <v>466</v>
      </c>
    </row>
    <row r="1127" spans="1:4" x14ac:dyDescent="0.2">
      <c r="A1127" s="95">
        <v>954</v>
      </c>
      <c r="B1127" s="96">
        <v>426</v>
      </c>
      <c r="C1127" s="97" t="s">
        <v>421</v>
      </c>
      <c r="D1127" s="98" t="s">
        <v>464</v>
      </c>
    </row>
    <row r="1128" spans="1:4" x14ac:dyDescent="0.2">
      <c r="A1128" s="95">
        <v>954</v>
      </c>
      <c r="B1128" s="96">
        <v>427</v>
      </c>
      <c r="C1128" s="97" t="s">
        <v>421</v>
      </c>
      <c r="D1128" s="98" t="s">
        <v>464</v>
      </c>
    </row>
    <row r="1129" spans="1:4" x14ac:dyDescent="0.2">
      <c r="A1129" s="95">
        <v>955</v>
      </c>
      <c r="B1129" s="96">
        <v>206</v>
      </c>
      <c r="C1129" s="97" t="s">
        <v>422</v>
      </c>
      <c r="D1129" s="98">
        <v>2</v>
      </c>
    </row>
    <row r="1130" spans="1:4" x14ac:dyDescent="0.2">
      <c r="A1130" s="95">
        <v>955</v>
      </c>
      <c r="B1130" s="96">
        <v>428</v>
      </c>
      <c r="C1130" s="97" t="s">
        <v>422</v>
      </c>
      <c r="D1130" s="98">
        <v>1</v>
      </c>
    </row>
    <row r="1131" spans="1:4" x14ac:dyDescent="0.2">
      <c r="A1131" s="95">
        <v>955</v>
      </c>
      <c r="B1131" s="96">
        <v>429</v>
      </c>
      <c r="C1131" s="97" t="s">
        <v>422</v>
      </c>
      <c r="D1131" s="98">
        <v>2</v>
      </c>
    </row>
    <row r="1132" spans="1:4" x14ac:dyDescent="0.2">
      <c r="A1132" s="95">
        <v>955</v>
      </c>
      <c r="B1132" s="96">
        <v>430</v>
      </c>
      <c r="C1132" s="97" t="s">
        <v>422</v>
      </c>
      <c r="D1132" s="98">
        <v>1</v>
      </c>
    </row>
    <row r="1133" spans="1:4" x14ac:dyDescent="0.2">
      <c r="A1133" s="95">
        <v>956</v>
      </c>
      <c r="B1133" s="96">
        <v>160</v>
      </c>
      <c r="C1133" s="97" t="s">
        <v>423</v>
      </c>
      <c r="D1133" s="98">
        <v>2</v>
      </c>
    </row>
    <row r="1134" spans="1:4" x14ac:dyDescent="0.2">
      <c r="A1134" s="95">
        <v>956</v>
      </c>
      <c r="B1134" s="96">
        <v>427</v>
      </c>
      <c r="C1134" s="97" t="s">
        <v>423</v>
      </c>
      <c r="D1134" s="98">
        <v>1</v>
      </c>
    </row>
    <row r="1135" spans="1:4" x14ac:dyDescent="0.2">
      <c r="A1135" s="95">
        <v>956</v>
      </c>
      <c r="B1135" s="96">
        <v>431</v>
      </c>
      <c r="C1135" s="97" t="s">
        <v>423</v>
      </c>
      <c r="D1135" s="98">
        <v>2</v>
      </c>
    </row>
    <row r="1136" spans="1:4" x14ac:dyDescent="0.2">
      <c r="A1136" s="95">
        <v>956</v>
      </c>
      <c r="B1136" s="96">
        <v>432</v>
      </c>
      <c r="C1136" s="97" t="s">
        <v>423</v>
      </c>
      <c r="D1136" s="98">
        <v>1</v>
      </c>
    </row>
    <row r="1137" spans="1:4" x14ac:dyDescent="0.2">
      <c r="A1137" s="95">
        <v>957</v>
      </c>
      <c r="B1137" s="96">
        <v>432</v>
      </c>
      <c r="C1137" s="97" t="s">
        <v>424</v>
      </c>
      <c r="D1137" s="98">
        <v>1</v>
      </c>
    </row>
    <row r="1138" spans="1:4" x14ac:dyDescent="0.2">
      <c r="A1138" s="95">
        <v>957</v>
      </c>
      <c r="B1138" s="96">
        <v>433</v>
      </c>
      <c r="C1138" s="97" t="s">
        <v>424</v>
      </c>
      <c r="D1138" s="98">
        <v>2</v>
      </c>
    </row>
    <row r="1139" spans="1:4" x14ac:dyDescent="0.2">
      <c r="A1139" s="95">
        <v>958</v>
      </c>
      <c r="B1139" s="96">
        <v>434</v>
      </c>
      <c r="C1139" s="97" t="s">
        <v>425</v>
      </c>
      <c r="D1139" s="98">
        <v>2</v>
      </c>
    </row>
    <row r="1140" spans="1:4" x14ac:dyDescent="0.2">
      <c r="A1140" s="95">
        <v>958</v>
      </c>
      <c r="B1140" s="96">
        <v>435</v>
      </c>
      <c r="C1140" s="97" t="s">
        <v>425</v>
      </c>
      <c r="D1140" s="98">
        <v>1</v>
      </c>
    </row>
    <row r="1141" spans="1:4" x14ac:dyDescent="0.2">
      <c r="A1141" s="95">
        <v>959</v>
      </c>
      <c r="B1141" s="96">
        <v>160</v>
      </c>
      <c r="C1141" s="97" t="s">
        <v>426</v>
      </c>
      <c r="D1141" s="98">
        <v>2</v>
      </c>
    </row>
    <row r="1142" spans="1:4" x14ac:dyDescent="0.2">
      <c r="A1142" s="95">
        <v>959</v>
      </c>
      <c r="B1142" s="96">
        <v>432</v>
      </c>
      <c r="C1142" s="97" t="s">
        <v>426</v>
      </c>
      <c r="D1142" s="98">
        <v>1</v>
      </c>
    </row>
    <row r="1143" spans="1:4" x14ac:dyDescent="0.2">
      <c r="A1143" s="95">
        <v>959</v>
      </c>
      <c r="B1143" s="96">
        <v>436</v>
      </c>
      <c r="C1143" s="97" t="s">
        <v>426</v>
      </c>
      <c r="D1143" s="98">
        <v>2</v>
      </c>
    </row>
    <row r="1144" spans="1:4" x14ac:dyDescent="0.2">
      <c r="A1144" s="95">
        <v>960</v>
      </c>
      <c r="B1144" s="96">
        <v>160</v>
      </c>
      <c r="C1144" s="97" t="s">
        <v>427</v>
      </c>
      <c r="D1144" s="98">
        <v>2</v>
      </c>
    </row>
    <row r="1145" spans="1:4" x14ac:dyDescent="0.2">
      <c r="A1145" s="95">
        <v>960</v>
      </c>
      <c r="B1145" s="96">
        <v>435</v>
      </c>
      <c r="C1145" s="97" t="s">
        <v>427</v>
      </c>
      <c r="D1145" s="98">
        <v>1</v>
      </c>
    </row>
    <row r="1146" spans="1:4" x14ac:dyDescent="0.2">
      <c r="A1146" s="95">
        <v>960</v>
      </c>
      <c r="B1146" s="96">
        <v>441</v>
      </c>
      <c r="C1146" s="97" t="s">
        <v>427</v>
      </c>
      <c r="D1146" s="98">
        <v>1</v>
      </c>
    </row>
    <row r="1147" spans="1:4" x14ac:dyDescent="0.2">
      <c r="A1147" s="95">
        <v>961</v>
      </c>
      <c r="B1147" s="96">
        <v>427</v>
      </c>
      <c r="C1147" s="97" t="s">
        <v>428</v>
      </c>
      <c r="D1147" s="98">
        <v>1</v>
      </c>
    </row>
    <row r="1148" spans="1:4" x14ac:dyDescent="0.2">
      <c r="A1148" s="95">
        <v>961</v>
      </c>
      <c r="B1148" s="96">
        <v>432</v>
      </c>
      <c r="C1148" s="97" t="s">
        <v>428</v>
      </c>
      <c r="D1148" s="98">
        <v>1</v>
      </c>
    </row>
    <row r="1149" spans="1:4" x14ac:dyDescent="0.2">
      <c r="A1149" s="95">
        <v>961</v>
      </c>
      <c r="B1149" s="96">
        <v>437</v>
      </c>
      <c r="C1149" s="97" t="s">
        <v>428</v>
      </c>
      <c r="D1149" s="98">
        <v>2</v>
      </c>
    </row>
    <row r="1150" spans="1:4" x14ac:dyDescent="0.2">
      <c r="A1150" s="95">
        <v>962</v>
      </c>
      <c r="B1150" s="96">
        <v>427</v>
      </c>
      <c r="C1150" s="97" t="s">
        <v>429</v>
      </c>
      <c r="D1150" s="98">
        <v>1</v>
      </c>
    </row>
    <row r="1151" spans="1:4" x14ac:dyDescent="0.2">
      <c r="A1151" s="95">
        <v>962</v>
      </c>
      <c r="B1151" s="96">
        <v>435</v>
      </c>
      <c r="C1151" s="97" t="s">
        <v>429</v>
      </c>
      <c r="D1151" s="98">
        <v>1</v>
      </c>
    </row>
    <row r="1152" spans="1:4" x14ac:dyDescent="0.2">
      <c r="A1152" s="95">
        <v>962</v>
      </c>
      <c r="B1152" s="96">
        <v>438</v>
      </c>
      <c r="C1152" s="97" t="s">
        <v>429</v>
      </c>
      <c r="D1152" s="98">
        <v>2</v>
      </c>
    </row>
    <row r="1153" spans="1:4" x14ac:dyDescent="0.2">
      <c r="A1153" s="95">
        <v>963</v>
      </c>
      <c r="B1153" s="96">
        <v>160</v>
      </c>
      <c r="C1153" s="97" t="s">
        <v>430</v>
      </c>
      <c r="D1153" s="98">
        <v>2</v>
      </c>
    </row>
    <row r="1154" spans="1:4" x14ac:dyDescent="0.2">
      <c r="A1154" s="95">
        <v>963</v>
      </c>
      <c r="B1154" s="96">
        <v>427</v>
      </c>
      <c r="C1154" s="97" t="s">
        <v>430</v>
      </c>
      <c r="D1154" s="98">
        <v>1</v>
      </c>
    </row>
    <row r="1155" spans="1:4" x14ac:dyDescent="0.2">
      <c r="A1155" s="95">
        <v>963</v>
      </c>
      <c r="B1155" s="96">
        <v>435</v>
      </c>
      <c r="C1155" s="97" t="s">
        <v>430</v>
      </c>
      <c r="D1155" s="98">
        <v>1</v>
      </c>
    </row>
    <row r="1156" spans="1:4" x14ac:dyDescent="0.2">
      <c r="A1156" s="95">
        <v>963</v>
      </c>
      <c r="B1156" s="96">
        <v>439</v>
      </c>
      <c r="C1156" s="97" t="s">
        <v>430</v>
      </c>
      <c r="D1156" s="98">
        <v>2</v>
      </c>
    </row>
    <row r="1157" spans="1:4" x14ac:dyDescent="0.2">
      <c r="A1157" s="95">
        <v>964</v>
      </c>
      <c r="B1157" s="96">
        <v>160</v>
      </c>
      <c r="C1157" s="97" t="s">
        <v>431</v>
      </c>
      <c r="D1157" s="98">
        <v>2</v>
      </c>
    </row>
    <row r="1158" spans="1:4" x14ac:dyDescent="0.2">
      <c r="A1158" s="95">
        <v>964</v>
      </c>
      <c r="B1158" s="96">
        <v>431</v>
      </c>
      <c r="C1158" s="97" t="s">
        <v>431</v>
      </c>
      <c r="D1158" s="98">
        <v>2</v>
      </c>
    </row>
    <row r="1159" spans="1:4" x14ac:dyDescent="0.2">
      <c r="A1159" s="95">
        <v>964</v>
      </c>
      <c r="B1159" s="96">
        <v>440</v>
      </c>
      <c r="C1159" s="97" t="s">
        <v>431</v>
      </c>
      <c r="D1159" s="98">
        <v>1</v>
      </c>
    </row>
    <row r="1160" spans="1:4" x14ac:dyDescent="0.2">
      <c r="A1160" s="95">
        <v>965</v>
      </c>
      <c r="B1160" s="96">
        <v>194</v>
      </c>
      <c r="C1160" s="97" t="s">
        <v>432</v>
      </c>
      <c r="D1160" s="98">
        <v>2</v>
      </c>
    </row>
    <row r="1161" spans="1:4" x14ac:dyDescent="0.2">
      <c r="A1161" s="95">
        <v>965</v>
      </c>
      <c r="B1161" s="96">
        <v>489</v>
      </c>
      <c r="C1161" s="97" t="s">
        <v>432</v>
      </c>
      <c r="D1161" s="98">
        <v>1</v>
      </c>
    </row>
    <row r="1162" spans="1:4" x14ac:dyDescent="0.2">
      <c r="A1162" s="95">
        <v>965</v>
      </c>
      <c r="B1162" s="96">
        <v>500</v>
      </c>
      <c r="C1162" s="97" t="s">
        <v>432</v>
      </c>
      <c r="D1162" s="98">
        <v>2</v>
      </c>
    </row>
    <row r="1163" spans="1:4" x14ac:dyDescent="0.2">
      <c r="A1163" s="95">
        <v>966</v>
      </c>
      <c r="B1163" s="96">
        <v>488</v>
      </c>
      <c r="C1163" s="97" t="s">
        <v>279</v>
      </c>
      <c r="D1163" s="98" t="s">
        <v>219</v>
      </c>
    </row>
    <row r="1164" spans="1:4" x14ac:dyDescent="0.2">
      <c r="A1164" s="95">
        <v>967</v>
      </c>
      <c r="B1164" s="96">
        <v>442</v>
      </c>
      <c r="C1164" s="97" t="s">
        <v>291</v>
      </c>
      <c r="D1164" s="98">
        <v>1</v>
      </c>
    </row>
    <row r="1165" spans="1:4" x14ac:dyDescent="0.2">
      <c r="A1165" s="95">
        <v>967</v>
      </c>
      <c r="B1165" s="96">
        <v>443</v>
      </c>
      <c r="C1165" s="97" t="s">
        <v>291</v>
      </c>
      <c r="D1165" s="98">
        <v>2</v>
      </c>
    </row>
    <row r="1166" spans="1:4" x14ac:dyDescent="0.2">
      <c r="A1166" s="95">
        <v>968</v>
      </c>
      <c r="B1166" s="96">
        <v>444</v>
      </c>
      <c r="C1166" s="97" t="s">
        <v>291</v>
      </c>
      <c r="D1166" s="98">
        <v>1</v>
      </c>
    </row>
    <row r="1167" spans="1:4" x14ac:dyDescent="0.2">
      <c r="A1167" s="95">
        <v>969</v>
      </c>
      <c r="B1167" s="96">
        <v>443</v>
      </c>
      <c r="C1167" s="97" t="s">
        <v>432</v>
      </c>
      <c r="D1167" s="98">
        <v>2</v>
      </c>
    </row>
    <row r="1168" spans="1:4" x14ac:dyDescent="0.2">
      <c r="A1168" s="95">
        <v>969</v>
      </c>
      <c r="B1168" s="96">
        <v>489</v>
      </c>
      <c r="C1168" s="97" t="s">
        <v>432</v>
      </c>
      <c r="D1168" s="98">
        <v>1</v>
      </c>
    </row>
    <row r="1169" spans="1:4" x14ac:dyDescent="0.2">
      <c r="A1169" s="95">
        <v>969</v>
      </c>
      <c r="B1169" s="96">
        <v>501</v>
      </c>
      <c r="C1169" s="97" t="s">
        <v>432</v>
      </c>
      <c r="D1169" s="98">
        <v>1</v>
      </c>
    </row>
    <row r="1170" spans="1:4" x14ac:dyDescent="0.2">
      <c r="A1170" s="95">
        <v>970</v>
      </c>
      <c r="B1170" s="96">
        <v>447</v>
      </c>
      <c r="C1170" s="97" t="s">
        <v>245</v>
      </c>
      <c r="D1170" s="98">
        <v>2</v>
      </c>
    </row>
    <row r="1171" spans="1:4" x14ac:dyDescent="0.2">
      <c r="A1171" s="95">
        <v>970</v>
      </c>
      <c r="B1171" s="96">
        <v>448</v>
      </c>
      <c r="C1171" s="97" t="s">
        <v>245</v>
      </c>
      <c r="D1171" s="98">
        <v>1</v>
      </c>
    </row>
    <row r="1172" spans="1:4" x14ac:dyDescent="0.2">
      <c r="A1172" s="95">
        <v>971</v>
      </c>
      <c r="B1172" s="96">
        <v>492</v>
      </c>
      <c r="C1172" s="97" t="s">
        <v>433</v>
      </c>
      <c r="D1172" s="98">
        <v>2</v>
      </c>
    </row>
    <row r="1173" spans="1:4" x14ac:dyDescent="0.2">
      <c r="A1173" s="95">
        <v>971</v>
      </c>
      <c r="B1173" s="96">
        <v>493</v>
      </c>
      <c r="C1173" s="97" t="s">
        <v>433</v>
      </c>
      <c r="D1173" s="98">
        <v>1</v>
      </c>
    </row>
    <row r="1174" spans="1:4" x14ac:dyDescent="0.2">
      <c r="A1174" s="95">
        <v>971</v>
      </c>
      <c r="B1174" s="96">
        <v>494</v>
      </c>
      <c r="C1174" s="97" t="s">
        <v>433</v>
      </c>
      <c r="D1174" s="98">
        <v>1</v>
      </c>
    </row>
    <row r="1175" spans="1:4" x14ac:dyDescent="0.2">
      <c r="A1175" s="95">
        <v>972</v>
      </c>
      <c r="B1175" s="96">
        <v>502</v>
      </c>
      <c r="C1175" s="97" t="s">
        <v>467</v>
      </c>
      <c r="D1175" s="98">
        <v>1</v>
      </c>
    </row>
    <row r="1176" spans="1:4" x14ac:dyDescent="0.2">
      <c r="A1176" s="95">
        <v>972</v>
      </c>
      <c r="B1176" s="96">
        <v>503</v>
      </c>
      <c r="C1176" s="97" t="s">
        <v>467</v>
      </c>
      <c r="D1176" s="98" t="s">
        <v>466</v>
      </c>
    </row>
    <row r="1177" spans="1:4" x14ac:dyDescent="0.2">
      <c r="A1177" s="95">
        <v>973</v>
      </c>
      <c r="B1177" s="96">
        <v>453</v>
      </c>
      <c r="C1177" s="97" t="s">
        <v>289</v>
      </c>
      <c r="D1177" s="98">
        <v>1</v>
      </c>
    </row>
    <row r="1178" spans="1:4" x14ac:dyDescent="0.2">
      <c r="A1178" s="95">
        <v>973</v>
      </c>
      <c r="B1178" s="96">
        <v>454</v>
      </c>
      <c r="C1178" s="97" t="s">
        <v>289</v>
      </c>
      <c r="D1178" s="98">
        <v>2</v>
      </c>
    </row>
    <row r="1179" spans="1:4" x14ac:dyDescent="0.2">
      <c r="A1179" s="95">
        <v>974</v>
      </c>
      <c r="B1179" s="96">
        <v>455</v>
      </c>
      <c r="C1179" s="97" t="s">
        <v>315</v>
      </c>
      <c r="D1179" s="98">
        <v>2</v>
      </c>
    </row>
    <row r="1180" spans="1:4" x14ac:dyDescent="0.2">
      <c r="A1180" s="95">
        <v>975</v>
      </c>
      <c r="B1180" s="96">
        <v>504</v>
      </c>
      <c r="C1180" s="97" t="s">
        <v>500</v>
      </c>
      <c r="D1180" s="98">
        <v>1</v>
      </c>
    </row>
    <row r="1181" spans="1:4" x14ac:dyDescent="0.2">
      <c r="A1181" s="95">
        <v>975</v>
      </c>
      <c r="B1181" s="96">
        <v>505</v>
      </c>
      <c r="C1181" s="97" t="s">
        <v>500</v>
      </c>
      <c r="D1181" s="98">
        <v>2</v>
      </c>
    </row>
    <row r="1182" spans="1:4" x14ac:dyDescent="0.2">
      <c r="A1182" s="95">
        <v>976</v>
      </c>
      <c r="B1182" s="96">
        <v>506</v>
      </c>
      <c r="C1182" s="97" t="s">
        <v>501</v>
      </c>
      <c r="D1182" s="98">
        <v>1</v>
      </c>
    </row>
    <row r="1183" spans="1:4" x14ac:dyDescent="0.2">
      <c r="A1183" s="95">
        <v>976</v>
      </c>
      <c r="B1183" s="96">
        <v>507</v>
      </c>
      <c r="C1183" s="97" t="s">
        <v>501</v>
      </c>
      <c r="D1183" s="98">
        <v>2</v>
      </c>
    </row>
    <row r="1184" spans="1:4" x14ac:dyDescent="0.2">
      <c r="A1184" s="95">
        <v>978</v>
      </c>
      <c r="B1184" s="96">
        <v>462</v>
      </c>
      <c r="C1184" s="97" t="s">
        <v>273</v>
      </c>
      <c r="D1184" s="98" t="s">
        <v>219</v>
      </c>
    </row>
    <row r="1185" spans="1:4" x14ac:dyDescent="0.2">
      <c r="A1185" s="95">
        <v>979</v>
      </c>
      <c r="B1185" s="96">
        <v>463</v>
      </c>
      <c r="C1185" s="97" t="s">
        <v>312</v>
      </c>
      <c r="D1185" s="98" t="s">
        <v>459</v>
      </c>
    </row>
    <row r="1186" spans="1:4" x14ac:dyDescent="0.2">
      <c r="A1186" s="95">
        <v>980</v>
      </c>
      <c r="B1186" s="96">
        <v>466</v>
      </c>
      <c r="C1186" s="97" t="s">
        <v>434</v>
      </c>
      <c r="D1186" s="98">
        <v>2</v>
      </c>
    </row>
    <row r="1187" spans="1:4" x14ac:dyDescent="0.2">
      <c r="A1187" s="95">
        <v>980</v>
      </c>
      <c r="B1187" s="96">
        <v>467</v>
      </c>
      <c r="C1187" s="97" t="s">
        <v>434</v>
      </c>
      <c r="D1187" s="98">
        <v>1</v>
      </c>
    </row>
    <row r="1188" spans="1:4" x14ac:dyDescent="0.2">
      <c r="A1188" s="95">
        <v>981</v>
      </c>
      <c r="B1188" s="96">
        <v>468</v>
      </c>
      <c r="C1188" s="97" t="s">
        <v>435</v>
      </c>
      <c r="D1188" s="98" t="s">
        <v>219</v>
      </c>
    </row>
    <row r="1189" spans="1:4" x14ac:dyDescent="0.2">
      <c r="A1189" s="95">
        <v>982</v>
      </c>
      <c r="B1189" s="96">
        <v>508</v>
      </c>
      <c r="C1189" s="97" t="s">
        <v>502</v>
      </c>
      <c r="D1189" s="98">
        <v>2</v>
      </c>
    </row>
    <row r="1190" spans="1:4" x14ac:dyDescent="0.2">
      <c r="A1190" s="95">
        <v>982</v>
      </c>
      <c r="B1190" s="96">
        <v>509</v>
      </c>
      <c r="C1190" s="97" t="s">
        <v>502</v>
      </c>
      <c r="D1190" s="98">
        <v>1</v>
      </c>
    </row>
    <row r="1191" spans="1:4" x14ac:dyDescent="0.2">
      <c r="A1191" s="95">
        <v>983</v>
      </c>
      <c r="B1191" s="96">
        <v>510</v>
      </c>
      <c r="C1191" s="97" t="s">
        <v>503</v>
      </c>
      <c r="D1191" s="98">
        <v>2</v>
      </c>
    </row>
    <row r="1192" spans="1:4" x14ac:dyDescent="0.2">
      <c r="A1192" s="95">
        <v>983</v>
      </c>
      <c r="B1192" s="96">
        <v>511</v>
      </c>
      <c r="C1192" s="97" t="s">
        <v>503</v>
      </c>
      <c r="D1192" s="98">
        <v>1</v>
      </c>
    </row>
    <row r="1193" spans="1:4" s="128" customFormat="1" x14ac:dyDescent="0.2">
      <c r="A1193" s="95">
        <v>984</v>
      </c>
      <c r="B1193" s="96">
        <v>512</v>
      </c>
      <c r="C1193" s="97" t="s">
        <v>555</v>
      </c>
      <c r="D1193" s="98">
        <v>1</v>
      </c>
    </row>
    <row r="1194" spans="1:4" s="128" customFormat="1" x14ac:dyDescent="0.2">
      <c r="A1194" s="95">
        <v>984</v>
      </c>
      <c r="B1194" s="96">
        <v>513</v>
      </c>
      <c r="C1194" s="97" t="s">
        <v>555</v>
      </c>
      <c r="D1194" s="98">
        <v>2</v>
      </c>
    </row>
    <row r="1195" spans="1:4" s="128" customFormat="1" x14ac:dyDescent="0.2">
      <c r="A1195" s="95">
        <v>985</v>
      </c>
      <c r="B1195" s="96">
        <v>514</v>
      </c>
      <c r="C1195" s="97" t="s">
        <v>556</v>
      </c>
      <c r="D1195" s="98">
        <v>1</v>
      </c>
    </row>
    <row r="1196" spans="1:4" s="128" customFormat="1" x14ac:dyDescent="0.2">
      <c r="A1196" s="95">
        <v>985</v>
      </c>
      <c r="B1196" s="96">
        <v>515</v>
      </c>
      <c r="C1196" s="97" t="s">
        <v>556</v>
      </c>
      <c r="D1196" s="98">
        <v>2</v>
      </c>
    </row>
    <row r="1197" spans="1:4" x14ac:dyDescent="0.2">
      <c r="A1197" s="95">
        <v>989</v>
      </c>
      <c r="B1197" s="96">
        <v>475</v>
      </c>
      <c r="C1197" s="97" t="s">
        <v>328</v>
      </c>
      <c r="D1197" s="98">
        <v>2</v>
      </c>
    </row>
    <row r="1198" spans="1:4" x14ac:dyDescent="0.2">
      <c r="A1198" s="95">
        <v>989</v>
      </c>
      <c r="B1198" s="96">
        <v>476</v>
      </c>
      <c r="C1198" s="97" t="s">
        <v>328</v>
      </c>
      <c r="D1198" s="98">
        <v>1</v>
      </c>
    </row>
    <row r="1199" spans="1:4" x14ac:dyDescent="0.2">
      <c r="A1199" s="95">
        <v>990</v>
      </c>
      <c r="B1199" s="96">
        <v>477</v>
      </c>
      <c r="C1199" s="97" t="s">
        <v>329</v>
      </c>
      <c r="D1199" s="98" t="s">
        <v>219</v>
      </c>
    </row>
    <row r="1200" spans="1:4" x14ac:dyDescent="0.2">
      <c r="A1200" s="95">
        <v>991</v>
      </c>
      <c r="B1200" s="96">
        <v>478</v>
      </c>
      <c r="C1200" s="97" t="s">
        <v>279</v>
      </c>
      <c r="D1200" s="98" t="s">
        <v>219</v>
      </c>
    </row>
    <row r="1201" spans="1:4" x14ac:dyDescent="0.2">
      <c r="A1201" s="95">
        <v>996</v>
      </c>
      <c r="B1201" s="96">
        <v>485</v>
      </c>
      <c r="C1201" s="97" t="s">
        <v>359</v>
      </c>
      <c r="D1201" s="98">
        <v>2</v>
      </c>
    </row>
    <row r="1202" spans="1:4" x14ac:dyDescent="0.2">
      <c r="A1202" s="95">
        <v>996</v>
      </c>
      <c r="B1202" s="96">
        <v>486</v>
      </c>
      <c r="C1202" s="97" t="s">
        <v>359</v>
      </c>
      <c r="D1202" s="98">
        <v>1</v>
      </c>
    </row>
    <row r="1203" spans="1:4" x14ac:dyDescent="0.2">
      <c r="A1203" s="95">
        <v>996</v>
      </c>
      <c r="B1203" s="96">
        <v>487</v>
      </c>
      <c r="C1203" s="97" t="s">
        <v>359</v>
      </c>
      <c r="D1203" s="98">
        <v>2</v>
      </c>
    </row>
    <row r="1204" spans="1:4" x14ac:dyDescent="0.2">
      <c r="A1204" s="95">
        <v>997</v>
      </c>
      <c r="B1204" s="96">
        <v>490</v>
      </c>
      <c r="C1204" s="97" t="s">
        <v>436</v>
      </c>
      <c r="D1204" s="98" t="s">
        <v>466</v>
      </c>
    </row>
    <row r="1205" spans="1:4" x14ac:dyDescent="0.2">
      <c r="A1205" s="95">
        <v>997</v>
      </c>
      <c r="B1205" s="96">
        <v>491</v>
      </c>
      <c r="C1205" s="97" t="s">
        <v>436</v>
      </c>
      <c r="D1205" s="98">
        <v>1</v>
      </c>
    </row>
  </sheetData>
  <autoFilter ref="A28:D1205" xr:uid="{00000000-0009-0000-0000-00000A000000}"/>
  <mergeCells count="1">
    <mergeCell ref="A1:B1"/>
  </mergeCells>
  <hyperlinks>
    <hyperlink ref="A1" location="Overview!A1" display="Back to Overview" xr:uid="{00000000-0004-0000-0A00-000000000000}"/>
    <hyperlink ref="A1:B1" location="Overview!A1" display="Back to Overview" xr:uid="{00000000-0004-0000-0A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Z24"/>
  <sheetViews>
    <sheetView zoomScaleNormal="100" workbookViewId="0"/>
  </sheetViews>
  <sheetFormatPr defaultRowHeight="12.75" x14ac:dyDescent="0.2"/>
  <cols>
    <col min="1" max="1" width="2.42578125" style="105" customWidth="1"/>
    <col min="2" max="2" width="33.7109375" style="105" customWidth="1"/>
    <col min="3" max="4" width="14.140625" style="105" customWidth="1"/>
    <col min="5" max="9" width="12.140625" style="105" customWidth="1"/>
    <col min="10" max="10" width="5.5703125" style="105" customWidth="1"/>
    <col min="11" max="11" width="5.28515625" style="105" customWidth="1"/>
    <col min="12" max="12" width="35.28515625" style="105" customWidth="1"/>
    <col min="13" max="20" width="11.7109375" style="105" customWidth="1"/>
    <col min="21" max="16384" width="9.140625" style="105"/>
  </cols>
  <sheetData>
    <row r="1" spans="1:156" x14ac:dyDescent="0.2">
      <c r="B1" s="90" t="s">
        <v>86</v>
      </c>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106"/>
      <c r="BK1" s="106"/>
      <c r="BL1" s="106"/>
      <c r="BM1" s="106"/>
      <c r="BN1" s="106"/>
      <c r="BO1" s="106"/>
      <c r="BP1" s="106"/>
      <c r="BQ1" s="106"/>
      <c r="BR1" s="106"/>
      <c r="BS1" s="106"/>
      <c r="BT1" s="106"/>
      <c r="BU1" s="106"/>
      <c r="BV1" s="106"/>
      <c r="BW1" s="106"/>
      <c r="BX1" s="106"/>
      <c r="BY1" s="106"/>
      <c r="BZ1" s="106"/>
      <c r="CA1" s="106"/>
      <c r="CB1" s="106"/>
      <c r="CC1" s="106"/>
      <c r="CD1" s="106"/>
      <c r="CE1" s="106"/>
      <c r="CF1" s="106"/>
      <c r="CG1" s="106"/>
      <c r="CH1" s="106"/>
      <c r="CI1" s="106"/>
      <c r="CJ1" s="106"/>
      <c r="CK1" s="106"/>
      <c r="CL1" s="106"/>
      <c r="CM1" s="106"/>
      <c r="CN1" s="106"/>
      <c r="CO1" s="106"/>
      <c r="CP1" s="106"/>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106"/>
      <c r="EB1" s="106"/>
      <c r="EC1" s="106"/>
      <c r="ED1" s="106"/>
      <c r="EE1" s="106"/>
      <c r="EF1" s="106"/>
      <c r="EG1" s="106"/>
      <c r="EH1" s="106"/>
      <c r="EI1" s="106"/>
      <c r="EJ1" s="106"/>
      <c r="EK1" s="106"/>
      <c r="EL1" s="106"/>
      <c r="EM1" s="106"/>
      <c r="EN1" s="106"/>
      <c r="EO1" s="106"/>
      <c r="EP1" s="106"/>
      <c r="EQ1" s="106"/>
      <c r="ER1" s="106"/>
      <c r="ES1" s="106"/>
      <c r="ET1" s="106"/>
      <c r="EU1" s="106"/>
      <c r="EV1" s="106"/>
      <c r="EW1" s="106"/>
      <c r="EX1" s="106"/>
      <c r="EY1" s="106"/>
      <c r="EZ1" s="106"/>
    </row>
    <row r="2" spans="1:156" s="107" customFormat="1" ht="21.75" customHeight="1" x14ac:dyDescent="0.2">
      <c r="B2" s="302" t="str">
        <f>Overview!B4&amp; " - Effective from "&amp;Overview!D4&amp;" - "&amp;Overview!E4</f>
        <v>Eastern Power Networks - Effective from 1 April 2020 - Final</v>
      </c>
      <c r="C2" s="303"/>
      <c r="D2" s="303"/>
      <c r="E2" s="303"/>
      <c r="F2" s="303"/>
      <c r="G2" s="303"/>
      <c r="H2" s="303"/>
      <c r="I2" s="303"/>
      <c r="J2" s="303"/>
      <c r="K2" s="303"/>
      <c r="L2" s="303"/>
      <c r="M2" s="303"/>
      <c r="N2" s="303"/>
      <c r="O2" s="303"/>
      <c r="P2" s="303"/>
      <c r="Q2" s="303"/>
      <c r="R2" s="303"/>
      <c r="S2" s="303"/>
      <c r="T2" s="304"/>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106"/>
      <c r="BH2" s="106"/>
      <c r="BI2" s="106"/>
      <c r="BJ2" s="106"/>
      <c r="BK2" s="106"/>
      <c r="BL2" s="106"/>
      <c r="BM2" s="106"/>
      <c r="BN2" s="106"/>
      <c r="BO2" s="106"/>
      <c r="BP2" s="106"/>
      <c r="BQ2" s="106"/>
      <c r="BR2" s="106"/>
      <c r="BS2" s="106"/>
      <c r="BT2" s="106"/>
      <c r="BU2" s="106"/>
      <c r="BV2" s="106"/>
      <c r="BW2" s="106"/>
      <c r="BX2" s="106"/>
      <c r="BY2" s="106"/>
      <c r="BZ2" s="106"/>
      <c r="CA2" s="106"/>
      <c r="CB2" s="106"/>
      <c r="CC2" s="106"/>
      <c r="CD2" s="106"/>
      <c r="CE2" s="106"/>
      <c r="CF2" s="106"/>
      <c r="CG2" s="106"/>
      <c r="CH2" s="106"/>
      <c r="CI2" s="106"/>
      <c r="CJ2" s="106"/>
      <c r="CK2" s="106"/>
      <c r="CL2" s="106"/>
      <c r="CM2" s="106"/>
      <c r="CN2" s="106"/>
      <c r="CO2" s="106"/>
      <c r="CP2" s="106"/>
      <c r="CQ2" s="106"/>
      <c r="CR2" s="106"/>
      <c r="CS2" s="106"/>
      <c r="CT2" s="106"/>
      <c r="CU2" s="106"/>
      <c r="CV2" s="106"/>
      <c r="CW2" s="106"/>
      <c r="CX2" s="106"/>
      <c r="CY2" s="106"/>
      <c r="CZ2" s="106"/>
      <c r="DA2" s="106"/>
      <c r="DB2" s="106"/>
      <c r="DC2" s="106"/>
      <c r="DD2" s="106"/>
      <c r="DE2" s="106"/>
      <c r="DF2" s="106"/>
      <c r="DG2" s="106"/>
      <c r="DH2" s="106"/>
      <c r="DI2" s="106"/>
      <c r="DJ2" s="106"/>
      <c r="DK2" s="106"/>
      <c r="DL2" s="106"/>
      <c r="DM2" s="106"/>
      <c r="DN2" s="106"/>
      <c r="DO2" s="106"/>
      <c r="DP2" s="106"/>
      <c r="DQ2" s="106"/>
      <c r="DR2" s="106"/>
      <c r="DS2" s="106"/>
      <c r="DT2" s="106"/>
      <c r="DU2" s="106"/>
      <c r="DV2" s="106"/>
      <c r="DW2" s="106"/>
      <c r="DX2" s="106"/>
      <c r="DY2" s="106"/>
      <c r="DZ2" s="106"/>
      <c r="EA2" s="106"/>
      <c r="EB2" s="106"/>
      <c r="EC2" s="106"/>
      <c r="ED2" s="106"/>
      <c r="EE2" s="106"/>
      <c r="EF2" s="106"/>
      <c r="EG2" s="106"/>
      <c r="EH2" s="106"/>
      <c r="EI2" s="106"/>
      <c r="EJ2" s="106"/>
      <c r="EK2" s="106"/>
      <c r="EL2" s="106"/>
      <c r="EM2" s="106"/>
      <c r="EN2" s="106"/>
      <c r="EO2" s="106"/>
      <c r="EP2" s="106"/>
      <c r="EQ2" s="106"/>
      <c r="ER2" s="106"/>
      <c r="ES2" s="106"/>
      <c r="ET2" s="106"/>
      <c r="EU2" s="106"/>
      <c r="EV2" s="106"/>
      <c r="EW2" s="106"/>
      <c r="EX2" s="106"/>
      <c r="EY2" s="106"/>
      <c r="EZ2" s="106"/>
    </row>
    <row r="3" spans="1:156" s="109" customFormat="1" ht="9" customHeight="1" x14ac:dyDescent="0.2">
      <c r="A3" s="108"/>
      <c r="B3" s="108"/>
      <c r="C3" s="108"/>
      <c r="D3" s="108"/>
      <c r="E3" s="108"/>
      <c r="F3" s="108"/>
      <c r="G3" s="108"/>
      <c r="H3" s="108"/>
      <c r="I3" s="108"/>
      <c r="J3" s="108"/>
      <c r="K3" s="108"/>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c r="BL3" s="106"/>
      <c r="BM3" s="106"/>
      <c r="BN3" s="106"/>
      <c r="BO3" s="106"/>
      <c r="BP3" s="106"/>
      <c r="BQ3" s="106"/>
      <c r="BR3" s="106"/>
      <c r="BS3" s="106"/>
      <c r="BT3" s="106"/>
      <c r="BU3" s="106"/>
      <c r="BV3" s="106"/>
      <c r="BW3" s="106"/>
      <c r="BX3" s="106"/>
      <c r="BY3" s="106"/>
      <c r="BZ3" s="106"/>
      <c r="CA3" s="106"/>
      <c r="CB3" s="106"/>
      <c r="CC3" s="106"/>
      <c r="CD3" s="106"/>
      <c r="CE3" s="106"/>
      <c r="CF3" s="106"/>
      <c r="CG3" s="106"/>
      <c r="CH3" s="106"/>
      <c r="CI3" s="106"/>
      <c r="CJ3" s="106"/>
      <c r="CK3" s="106"/>
      <c r="CL3" s="106"/>
      <c r="CM3" s="106"/>
      <c r="CN3" s="106"/>
      <c r="CO3" s="106"/>
      <c r="CP3" s="106"/>
      <c r="CQ3" s="106"/>
      <c r="CR3" s="106"/>
      <c r="CS3" s="106"/>
      <c r="CT3" s="106"/>
      <c r="CU3" s="106"/>
      <c r="CV3" s="106"/>
      <c r="CW3" s="106"/>
      <c r="CX3" s="106"/>
      <c r="CY3" s="106"/>
      <c r="CZ3" s="106"/>
      <c r="DA3" s="106"/>
      <c r="DB3" s="106"/>
      <c r="DC3" s="106"/>
      <c r="DD3" s="106"/>
      <c r="DE3" s="106"/>
      <c r="DF3" s="106"/>
      <c r="DG3" s="106"/>
      <c r="DH3" s="106"/>
      <c r="DI3" s="106"/>
      <c r="DJ3" s="106"/>
      <c r="DK3" s="106"/>
      <c r="DL3" s="106"/>
      <c r="DM3" s="106"/>
      <c r="DN3" s="106"/>
      <c r="DO3" s="106"/>
      <c r="DP3" s="106"/>
      <c r="DQ3" s="106"/>
      <c r="DR3" s="106"/>
      <c r="DS3" s="106"/>
      <c r="DT3" s="106"/>
      <c r="DU3" s="106"/>
      <c r="DV3" s="106"/>
      <c r="DW3" s="106"/>
      <c r="DX3" s="106"/>
      <c r="DY3" s="106"/>
      <c r="DZ3" s="106"/>
      <c r="EA3" s="106"/>
      <c r="EB3" s="106"/>
      <c r="EC3" s="106"/>
      <c r="ED3" s="106"/>
      <c r="EE3" s="106"/>
      <c r="EF3" s="106"/>
      <c r="EG3" s="106"/>
      <c r="EH3" s="106"/>
      <c r="EI3" s="106"/>
      <c r="EJ3" s="106"/>
      <c r="EK3" s="106"/>
      <c r="EL3" s="106"/>
      <c r="EM3" s="106"/>
      <c r="EN3" s="106"/>
      <c r="EO3" s="106"/>
      <c r="EP3" s="106"/>
      <c r="EQ3" s="106"/>
      <c r="ER3" s="106"/>
      <c r="ES3" s="106"/>
      <c r="ET3" s="106"/>
      <c r="EU3" s="106"/>
      <c r="EV3" s="106"/>
      <c r="EW3" s="106"/>
      <c r="EX3" s="106"/>
      <c r="EY3" s="106"/>
      <c r="EZ3" s="106"/>
    </row>
    <row r="4" spans="1:156" ht="26.25" customHeight="1" x14ac:dyDescent="0.2">
      <c r="B4" s="308" t="s">
        <v>510</v>
      </c>
      <c r="C4" s="309"/>
      <c r="D4" s="309"/>
      <c r="E4" s="309"/>
      <c r="F4" s="309"/>
      <c r="G4" s="309"/>
      <c r="H4" s="309"/>
      <c r="I4" s="310"/>
      <c r="L4" s="308" t="s">
        <v>526</v>
      </c>
      <c r="M4" s="309"/>
      <c r="N4" s="309"/>
      <c r="O4" s="309"/>
      <c r="P4" s="309"/>
      <c r="Q4" s="309"/>
      <c r="R4" s="309"/>
      <c r="S4" s="309"/>
      <c r="T4" s="310"/>
    </row>
    <row r="5" spans="1:156" ht="18" customHeight="1" x14ac:dyDescent="0.2">
      <c r="B5" s="312" t="s">
        <v>547</v>
      </c>
      <c r="C5" s="312"/>
      <c r="D5" s="312"/>
      <c r="E5" s="312"/>
      <c r="F5" s="312"/>
      <c r="G5" s="312"/>
      <c r="H5" s="312"/>
      <c r="I5" s="312"/>
      <c r="L5" s="312" t="s">
        <v>549</v>
      </c>
      <c r="M5" s="312"/>
      <c r="N5" s="312"/>
      <c r="O5" s="312"/>
      <c r="P5" s="312"/>
      <c r="Q5" s="312"/>
      <c r="R5" s="312"/>
      <c r="S5" s="312"/>
      <c r="T5" s="312"/>
    </row>
    <row r="6" spans="1:156" s="110" customFormat="1" ht="27.75" customHeight="1" x14ac:dyDescent="0.2">
      <c r="B6" s="311" t="s">
        <v>553</v>
      </c>
      <c r="C6" s="311"/>
      <c r="D6" s="311"/>
      <c r="E6" s="311"/>
      <c r="F6" s="311"/>
      <c r="G6" s="311"/>
      <c r="H6" s="311"/>
      <c r="I6" s="311"/>
      <c r="L6" s="311" t="s">
        <v>554</v>
      </c>
      <c r="M6" s="311"/>
      <c r="N6" s="311"/>
      <c r="O6" s="311"/>
      <c r="P6" s="311"/>
      <c r="Q6" s="311"/>
      <c r="R6" s="311"/>
      <c r="S6" s="311"/>
      <c r="T6" s="311"/>
    </row>
    <row r="7" spans="1:156" ht="18" customHeight="1" x14ac:dyDescent="0.2">
      <c r="B7" s="312" t="s">
        <v>548</v>
      </c>
      <c r="C7" s="312"/>
      <c r="D7" s="312"/>
      <c r="E7" s="312"/>
      <c r="F7" s="312"/>
      <c r="G7" s="312"/>
      <c r="H7" s="312"/>
      <c r="I7" s="312"/>
      <c r="L7" s="312" t="s">
        <v>550</v>
      </c>
      <c r="M7" s="312"/>
      <c r="N7" s="312"/>
      <c r="O7" s="312"/>
      <c r="P7" s="312"/>
      <c r="Q7" s="312"/>
      <c r="R7" s="312"/>
      <c r="S7" s="312"/>
      <c r="T7" s="312"/>
    </row>
    <row r="8" spans="1:156" ht="8.25" customHeight="1" x14ac:dyDescent="0.2"/>
    <row r="9" spans="1:156" ht="72" customHeight="1" x14ac:dyDescent="0.2">
      <c r="B9" s="111" t="s">
        <v>551</v>
      </c>
      <c r="C9" s="112" t="str">
        <f>'Annex 1 LV and HV charges'!D11</f>
        <v>Unit charge 1 (NHH)
or red/black charge (HH)
p/kWh</v>
      </c>
      <c r="D9" s="112" t="str">
        <f>'Annex 1 LV and HV charges'!E11</f>
        <v>Unit charge 2 (NHH)
or amber/yellow charge (HH)
p/kWh</v>
      </c>
      <c r="E9" s="112" t="str">
        <f>'Annex 1 LV and HV charges'!F11</f>
        <v>Green charge(HH)
p/kWh</v>
      </c>
      <c r="F9" s="112" t="str">
        <f>'Annex 1 LV and HV charges'!G11</f>
        <v>Fixed charge p/MPAN/day</v>
      </c>
      <c r="G9" s="112" t="str">
        <f>'Annex 1 LV and HV charges'!H11</f>
        <v>Capacity charge p/kVA/day</v>
      </c>
      <c r="H9" s="112" t="str">
        <f>'Annex 1 LV and HV charges'!I11</f>
        <v>Exceeded capacity charge
p/kVA/day</v>
      </c>
      <c r="I9" s="112" t="str">
        <f>'Annex 1 LV and HV charges'!J11</f>
        <v>Reactive power charge
p/kVArh</v>
      </c>
      <c r="L9" s="111" t="s">
        <v>552</v>
      </c>
      <c r="M9" s="131" t="str">
        <f>'Annex 2 EHV charges'!H9</f>
        <v>Import
Super Red
unit charge
(p/kWh)</v>
      </c>
      <c r="N9" s="131" t="str">
        <f>'Annex 2 EHV charges'!I9</f>
        <v>Import
fixed charge
(p/day)</v>
      </c>
      <c r="O9" s="131" t="str">
        <f>'Annex 2 EHV charges'!J9</f>
        <v>Import
capacity charge
(p/kVA/day)</v>
      </c>
      <c r="P9" s="131" t="str">
        <f>'Annex 2 EHV charges'!K9</f>
        <v>Import
exceeded capacity charge
(p/kVA/day)</v>
      </c>
      <c r="Q9" s="132" t="str">
        <f>'Annex 2 EHV charges'!L9</f>
        <v>Export
Super Red
unit charge
(p/kWh)</v>
      </c>
      <c r="R9" s="132" t="str">
        <f>'Annex 2 EHV charges'!M9</f>
        <v>Export
fixed charge
(p/day)</v>
      </c>
      <c r="S9" s="132" t="str">
        <f>'Annex 2 EHV charges'!N9</f>
        <v>Export
capacity charge
(p/kVA/day)</v>
      </c>
      <c r="T9" s="132" t="str">
        <f>'Annex 2 EHV charges'!O9</f>
        <v>Export
exceeded capacity charge
(p/kVA/day)</v>
      </c>
    </row>
    <row r="10" spans="1:156" ht="30" customHeight="1" x14ac:dyDescent="0.2">
      <c r="B10" s="99"/>
      <c r="C10" s="126" t="str">
        <f>IFERROR(VLOOKUP($B$10,'Annex 1 LV and HV charges'!$A:$K,4,FALSE),"")</f>
        <v/>
      </c>
      <c r="D10" s="127" t="str">
        <f>IFERROR(VLOOKUP($B$10,'Annex 1 LV and HV charges'!$A:$K,5,FALSE),"")</f>
        <v/>
      </c>
      <c r="E10" s="127" t="str">
        <f>IFERROR(VLOOKUP($B$10,'Annex 1 LV and HV charges'!$A:$K,6,FALSE),"")</f>
        <v/>
      </c>
      <c r="F10" s="101" t="str">
        <f>IFERROR(VLOOKUP($B$10,'Annex 1 LV and HV charges'!$A:$K,7,FALSE),"")</f>
        <v/>
      </c>
      <c r="G10" s="101" t="str">
        <f>IFERROR(VLOOKUP($B$10,'Annex 1 LV and HV charges'!$A:$K,8,FALSE),"")</f>
        <v/>
      </c>
      <c r="H10" s="101" t="str">
        <f>IFERROR(VLOOKUP($B$10,'Annex 1 LV and HV charges'!$A:$K,9,FALSE),"")</f>
        <v/>
      </c>
      <c r="I10" s="101" t="str">
        <f>IFERROR(VLOOKUP($B$10,'Annex 1 LV and HV charges'!$A:$K,10,FALSE),"")</f>
        <v/>
      </c>
      <c r="L10" s="99"/>
      <c r="M10" s="101" t="str">
        <f>IFERROR(VLOOKUP($L$10,'Annex 2 EHV charges'!$G:$O,2,FALSE),"")</f>
        <v/>
      </c>
      <c r="N10" s="101" t="str">
        <f>IFERROR(VLOOKUP($L$10,'Annex 2 EHV charges'!$G:$O,3,FALSE),"")</f>
        <v/>
      </c>
      <c r="O10" s="101" t="str">
        <f>IFERROR(VLOOKUP($L$10,'Annex 2 EHV charges'!$G:$O,4,FALSE),"")</f>
        <v/>
      </c>
      <c r="P10" s="101" t="str">
        <f>IFERROR(VLOOKUP($L$10,'Annex 2 EHV charges'!$G:$O,5,FALSE),"")</f>
        <v/>
      </c>
      <c r="Q10" s="114" t="str">
        <f>IFERROR(VLOOKUP($L$10,'Annex 2 EHV charges'!$G:$O,6,FALSE),"")</f>
        <v/>
      </c>
      <c r="R10" s="114" t="str">
        <f>IFERROR(VLOOKUP($L$10,'Annex 2 EHV charges'!$G:$O,7,FALSE),"")</f>
        <v/>
      </c>
      <c r="S10" s="114" t="str">
        <f>IFERROR(VLOOKUP($L$10,'Annex 2 EHV charges'!$G:$O,8,FALSE),"")</f>
        <v/>
      </c>
      <c r="T10" s="114" t="str">
        <f>IFERROR(VLOOKUP($L$10,'Annex 2 EHV charges'!$G:$O,9,FALSE),"")</f>
        <v/>
      </c>
    </row>
    <row r="11" spans="1:156" ht="7.5" customHeight="1" x14ac:dyDescent="0.2"/>
    <row r="12" spans="1:156" ht="88.5" customHeight="1" x14ac:dyDescent="0.2">
      <c r="B12" s="115" t="s">
        <v>513</v>
      </c>
      <c r="C12" s="112" t="s">
        <v>527</v>
      </c>
      <c r="D12" s="112" t="s">
        <v>528</v>
      </c>
      <c r="E12" s="112" t="s">
        <v>529</v>
      </c>
      <c r="F12" s="112" t="s">
        <v>514</v>
      </c>
      <c r="G12" s="112" t="s">
        <v>511</v>
      </c>
      <c r="H12" s="112" t="s">
        <v>679</v>
      </c>
      <c r="I12" s="112" t="s">
        <v>512</v>
      </c>
      <c r="L12" s="115" t="s">
        <v>513</v>
      </c>
      <c r="M12" s="112" t="s">
        <v>537</v>
      </c>
      <c r="N12" s="112" t="s">
        <v>514</v>
      </c>
      <c r="O12" s="112" t="s">
        <v>533</v>
      </c>
      <c r="P12" s="112" t="s">
        <v>679</v>
      </c>
      <c r="Q12" s="113" t="s">
        <v>535</v>
      </c>
      <c r="R12" s="113" t="s">
        <v>514</v>
      </c>
      <c r="S12" s="113" t="s">
        <v>534</v>
      </c>
      <c r="T12" s="113" t="s">
        <v>679</v>
      </c>
    </row>
    <row r="13" spans="1:156" ht="30" customHeight="1" x14ac:dyDescent="0.2">
      <c r="B13" s="116" t="s">
        <v>515</v>
      </c>
      <c r="C13" s="121"/>
      <c r="D13" s="121"/>
      <c r="E13" s="121"/>
      <c r="F13" s="121"/>
      <c r="G13" s="121"/>
      <c r="H13" s="121"/>
      <c r="I13" s="121"/>
      <c r="L13" s="116" t="s">
        <v>515</v>
      </c>
      <c r="M13" s="102"/>
      <c r="N13" s="102"/>
      <c r="O13" s="102"/>
      <c r="P13" s="102"/>
      <c r="Q13" s="103"/>
      <c r="R13" s="103">
        <f>N13</f>
        <v>0</v>
      </c>
      <c r="S13" s="103"/>
      <c r="T13" s="103"/>
    </row>
    <row r="14" spans="1:156" ht="30" customHeight="1" x14ac:dyDescent="0.2">
      <c r="B14" s="117" t="s">
        <v>517</v>
      </c>
      <c r="C14" s="100">
        <f t="shared" ref="C14:I14" si="0">C13</f>
        <v>0</v>
      </c>
      <c r="D14" s="100">
        <f t="shared" si="0"/>
        <v>0</v>
      </c>
      <c r="E14" s="100">
        <f t="shared" si="0"/>
        <v>0</v>
      </c>
      <c r="F14" s="100">
        <f t="shared" si="0"/>
        <v>0</v>
      </c>
      <c r="G14" s="100">
        <f t="shared" si="0"/>
        <v>0</v>
      </c>
      <c r="H14" s="100">
        <f t="shared" si="0"/>
        <v>0</v>
      </c>
      <c r="I14" s="100">
        <f t="shared" si="0"/>
        <v>0</v>
      </c>
      <c r="L14" s="117" t="s">
        <v>517</v>
      </c>
      <c r="M14" s="100">
        <f>M13</f>
        <v>0</v>
      </c>
      <c r="N14" s="100">
        <f t="shared" ref="N14:T14" si="1">N13</f>
        <v>0</v>
      </c>
      <c r="O14" s="100">
        <f t="shared" si="1"/>
        <v>0</v>
      </c>
      <c r="P14" s="100">
        <f t="shared" si="1"/>
        <v>0</v>
      </c>
      <c r="Q14" s="104">
        <f t="shared" si="1"/>
        <v>0</v>
      </c>
      <c r="R14" s="104">
        <f t="shared" si="1"/>
        <v>0</v>
      </c>
      <c r="S14" s="104">
        <f t="shared" si="1"/>
        <v>0</v>
      </c>
      <c r="T14" s="104">
        <f t="shared" si="1"/>
        <v>0</v>
      </c>
    </row>
    <row r="15" spans="1:156" ht="7.5" customHeight="1" x14ac:dyDescent="0.2"/>
    <row r="16" spans="1:156" ht="63.75" customHeight="1" x14ac:dyDescent="0.2">
      <c r="B16" s="115" t="s">
        <v>516</v>
      </c>
      <c r="C16" s="112" t="s">
        <v>530</v>
      </c>
      <c r="D16" s="112" t="s">
        <v>531</v>
      </c>
      <c r="E16" s="112" t="s">
        <v>532</v>
      </c>
      <c r="F16" s="112" t="s">
        <v>522</v>
      </c>
      <c r="G16" s="112" t="s">
        <v>521</v>
      </c>
      <c r="H16" s="112" t="s">
        <v>680</v>
      </c>
      <c r="I16" s="112" t="s">
        <v>520</v>
      </c>
      <c r="L16" s="115" t="s">
        <v>516</v>
      </c>
      <c r="M16" s="112" t="s">
        <v>538</v>
      </c>
      <c r="N16" s="112" t="s">
        <v>536</v>
      </c>
      <c r="O16" s="112" t="s">
        <v>541</v>
      </c>
      <c r="P16" s="112" t="s">
        <v>681</v>
      </c>
      <c r="Q16" s="113" t="s">
        <v>539</v>
      </c>
      <c r="R16" s="113" t="s">
        <v>540</v>
      </c>
      <c r="S16" s="113" t="s">
        <v>542</v>
      </c>
      <c r="T16" s="113" t="s">
        <v>682</v>
      </c>
    </row>
    <row r="17" spans="2:20" ht="30" customHeight="1" x14ac:dyDescent="0.2">
      <c r="B17" s="116" t="s">
        <v>518</v>
      </c>
      <c r="C17" s="122" t="str">
        <f>IFERROR(C10*C13/100,"")</f>
        <v/>
      </c>
      <c r="D17" s="122" t="str">
        <f t="shared" ref="D17:I17" si="2">IFERROR(D10*D13/100,"")</f>
        <v/>
      </c>
      <c r="E17" s="122" t="str">
        <f t="shared" si="2"/>
        <v/>
      </c>
      <c r="F17" s="122" t="str">
        <f t="shared" si="2"/>
        <v/>
      </c>
      <c r="G17" s="122" t="str">
        <f>IFERROR(G10*G13*F13/100,"")</f>
        <v/>
      </c>
      <c r="H17" s="122" t="str">
        <f>IFERROR(H10*H13*F13/100,"")</f>
        <v/>
      </c>
      <c r="I17" s="122" t="str">
        <f t="shared" si="2"/>
        <v/>
      </c>
      <c r="L17" s="118" t="s">
        <v>518</v>
      </c>
      <c r="M17" s="122" t="str">
        <f>IFERROR(M10*M13/100,"")</f>
        <v/>
      </c>
      <c r="N17" s="122" t="str">
        <f>IFERROR(N10*N13/100,"")</f>
        <v/>
      </c>
      <c r="O17" s="122" t="str">
        <f>IFERROR(O10*O13*N13/100,"")</f>
        <v/>
      </c>
      <c r="P17" s="122" t="str">
        <f>IFERROR(P10*P13*N13/100,"")</f>
        <v/>
      </c>
      <c r="Q17" s="123" t="str">
        <f>IFERROR(Q10*Q13/100,"")</f>
        <v/>
      </c>
      <c r="R17" s="123" t="str">
        <f>IFERROR(R10*R13/100,"")</f>
        <v/>
      </c>
      <c r="S17" s="123" t="str">
        <f>IFERROR(S10*S13*R13/100,"")</f>
        <v/>
      </c>
      <c r="T17" s="123" t="str">
        <f>IFERROR(T10*T13*R13/100,"")</f>
        <v/>
      </c>
    </row>
    <row r="18" spans="2:20" ht="30" customHeight="1" x14ac:dyDescent="0.2">
      <c r="B18" s="117" t="s">
        <v>519</v>
      </c>
      <c r="C18" s="124" t="str">
        <f>IFERROR(C10*C14/100,"")</f>
        <v/>
      </c>
      <c r="D18" s="124" t="str">
        <f t="shared" ref="D18:I18" si="3">IFERROR(D10*D14/100,"")</f>
        <v/>
      </c>
      <c r="E18" s="124" t="str">
        <f t="shared" si="3"/>
        <v/>
      </c>
      <c r="F18" s="124" t="str">
        <f t="shared" si="3"/>
        <v/>
      </c>
      <c r="G18" s="124" t="str">
        <f>IFERROR(G10*G14*F14/100,"")</f>
        <v/>
      </c>
      <c r="H18" s="124" t="str">
        <f>IFERROR(H10*H14*F14/100,"")</f>
        <v/>
      </c>
      <c r="I18" s="124" t="str">
        <f t="shared" si="3"/>
        <v/>
      </c>
      <c r="L18" s="119" t="s">
        <v>519</v>
      </c>
      <c r="M18" s="124" t="str">
        <f>IFERROR(M10*M14/100,"")</f>
        <v/>
      </c>
      <c r="N18" s="124" t="str">
        <f>IFERROR(N10*N14/100,"")</f>
        <v/>
      </c>
      <c r="O18" s="124" t="str">
        <f>IFERROR(O10*O14*N14/100,"")</f>
        <v/>
      </c>
      <c r="P18" s="124" t="str">
        <f>IFERROR(P10*P14*N14/100,"")</f>
        <v/>
      </c>
      <c r="Q18" s="125" t="str">
        <f>IFERROR(Q10*Q14/100,"")</f>
        <v/>
      </c>
      <c r="R18" s="125" t="str">
        <f>IFERROR(R10*R14/100,"")</f>
        <v/>
      </c>
      <c r="S18" s="125" t="str">
        <f>IFERROR(S10*S14*R14/100,"")</f>
        <v/>
      </c>
      <c r="T18" s="125" t="str">
        <f>IFERROR(T10*T14*R14/100,"")</f>
        <v/>
      </c>
    </row>
    <row r="19" spans="2:20" ht="7.5" customHeight="1" x14ac:dyDescent="0.2"/>
    <row r="20" spans="2:20" ht="39.75" customHeight="1" x14ac:dyDescent="0.2">
      <c r="C20" s="120" t="s">
        <v>523</v>
      </c>
      <c r="M20" s="112" t="s">
        <v>543</v>
      </c>
      <c r="N20" s="113" t="s">
        <v>544</v>
      </c>
    </row>
    <row r="21" spans="2:20" ht="30" customHeight="1" x14ac:dyDescent="0.2">
      <c r="B21" s="116" t="s">
        <v>518</v>
      </c>
      <c r="C21" s="122">
        <f>SUM(C17:I17)</f>
        <v>0</v>
      </c>
      <c r="L21" s="116" t="s">
        <v>518</v>
      </c>
      <c r="M21" s="122">
        <f>SUM(M17:P17)</f>
        <v>0</v>
      </c>
      <c r="N21" s="123">
        <f>SUM(Q17:T17)</f>
        <v>0</v>
      </c>
    </row>
    <row r="22" spans="2:20" ht="30" customHeight="1" x14ac:dyDescent="0.2">
      <c r="B22" s="117" t="s">
        <v>519</v>
      </c>
      <c r="C22" s="124">
        <f>SUM(C18:I18)</f>
        <v>0</v>
      </c>
      <c r="L22" s="117" t="s">
        <v>519</v>
      </c>
      <c r="M22" s="124">
        <f>SUM(M18:P18)</f>
        <v>0</v>
      </c>
      <c r="N22" s="125">
        <f>SUM(Q18:T18)</f>
        <v>0</v>
      </c>
    </row>
    <row r="24" spans="2:20" ht="30.75" customHeight="1" x14ac:dyDescent="0.2">
      <c r="B24" s="305" t="s">
        <v>545</v>
      </c>
      <c r="C24" s="306"/>
      <c r="D24" s="307"/>
      <c r="L24" s="305" t="s">
        <v>546</v>
      </c>
      <c r="M24" s="306"/>
      <c r="N24" s="307"/>
    </row>
  </sheetData>
  <dataConsolidate link="1"/>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xr:uid="{00000000-0004-0000-0B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B00-000000000000}">
          <x14:formula1>
            <xm:f>'Annex 1 LV and HV charges'!$A$12:$A$44</xm:f>
          </x14:formula1>
          <xm:sqref>B10</xm:sqref>
        </x14:dataValidation>
        <x14:dataValidation type="list" errorStyle="information" allowBlank="1" showInputMessage="1" showErrorMessage="1" promptTitle="Choose site" prompt="Select the EHV site that you would like to calculate charges." xr:uid="{00000000-0002-0000-0B00-000001000000}">
          <x14:formula1>
            <xm:f>'Annex 2 EHV charges'!$G$10:$G$501</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or amended EHV</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or amended EHV'!Print_Titles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Matthew Hart</cp:lastModifiedBy>
  <cp:lastPrinted>2019-05-03T10:42:24Z</cp:lastPrinted>
  <dcterms:created xsi:type="dcterms:W3CDTF">2009-11-12T11:38:00Z</dcterms:created>
  <dcterms:modified xsi:type="dcterms:W3CDTF">2021-02-18T01:19:55Z</dcterms:modified>
</cp:coreProperties>
</file>